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Z:\1 FINANCEIRO\4 PLANEJAMENTO 2025\FINANCEIRO-ADM\"/>
    </mc:Choice>
  </mc:AlternateContent>
  <xr:revisionPtr revIDLastSave="0" documentId="13_ncr:1_{3D0F15CD-806A-4AA0-AA40-DF117242DEC0}" xr6:coauthVersionLast="47" xr6:coauthVersionMax="47" xr10:uidLastSave="{00000000-0000-0000-0000-000000000000}"/>
  <bookViews>
    <workbookView xWindow="-120" yWindow="-120" windowWidth="20730" windowHeight="11160" tabRatio="979" activeTab="15" xr2:uid="{00000000-000D-0000-FFFF-FFFF00000000}"/>
  </bookViews>
  <sheets>
    <sheet name="RESUMO" sheetId="17" r:id="rId1"/>
    <sheet name="GERAL" sheetId="16" r:id="rId2"/>
    <sheet name="ADM" sheetId="1" r:id="rId3"/>
    <sheet name="VALOR SETORIZADO" sheetId="3" state="hidden" r:id="rId4"/>
    <sheet name="PREVISTO X REALIZADO" sheetId="2" state="hidden" r:id="rId5"/>
    <sheet name="MARKETING" sheetId="10" r:id="rId6"/>
    <sheet name="FAVELA 3D" sheetId="18" r:id="rId7"/>
    <sheet name="COMERCIAL" sheetId="15" r:id="rId8"/>
    <sheet name="OPERAÇÕES" sheetId="14" r:id="rId9"/>
    <sheet name="GRIFFTE" sheetId="12" r:id="rId10"/>
    <sheet name="OUTLET" sheetId="11" r:id="rId11"/>
    <sheet name="EDITAIS" sheetId="4" r:id="rId12"/>
    <sheet name="PEC" sheetId="6" r:id="rId13"/>
    <sheet name="CASA SONHAR" sheetId="5" r:id="rId14"/>
    <sheet name="Q. PROF." sheetId="7" r:id="rId15"/>
    <sheet name="PSICOSSOCIAL" sheetId="8" r:id="rId16"/>
  </sheets>
  <definedNames>
    <definedName name="_xlnm._FilterDatabase" localSheetId="2" hidden="1">ADM!$B$3:$F$3</definedName>
    <definedName name="_xlnm._FilterDatabase" localSheetId="13" hidden="1">'CASA SONHAR'!$B$3:$F$3</definedName>
    <definedName name="_xlnm._FilterDatabase" localSheetId="7" hidden="1">COMERCIAL!$B$3:$F$3</definedName>
    <definedName name="_xlnm._FilterDatabase" localSheetId="11" hidden="1">EDITAIS!$B$3:$F$3</definedName>
    <definedName name="_xlnm._FilterDatabase" localSheetId="6" hidden="1">'FAVELA 3D'!$B$3:$F$3</definedName>
    <definedName name="_xlnm._FilterDatabase" localSheetId="1" hidden="1">GERAL!$B$3:$F$3</definedName>
    <definedName name="_xlnm._FilterDatabase" localSheetId="9" hidden="1">GRIFFTE!$B$3:$F$3</definedName>
    <definedName name="_xlnm._FilterDatabase" localSheetId="5" hidden="1">MARKETING!$B$3:$F$3</definedName>
    <definedName name="_xlnm._FilterDatabase" localSheetId="8" hidden="1">OPERAÇÕES!$B$3:$F$3</definedName>
    <definedName name="_xlnm._FilterDatabase" localSheetId="10" hidden="1">OUTLET!$B$3:$F$3</definedName>
    <definedName name="_xlnm._FilterDatabase" localSheetId="12" hidden="1">PEC!$B$3:$F$3</definedName>
    <definedName name="_xlnm._FilterDatabase" localSheetId="15" hidden="1">PSICOSSOCIAL!$B$3:$F$3</definedName>
    <definedName name="_xlnm._FilterDatabase" localSheetId="14" hidden="1">'Q. PROF.'!$B$3:$F$3</definedName>
    <definedName name="_xlnm.Print_Area" localSheetId="2">ADM!$A$1:$O$138</definedName>
    <definedName name="_xlnm.Print_Area" localSheetId="6">'FAVELA 3D'!$A$1:$O$138</definedName>
    <definedName name="_xlnm.Print_Area" localSheetId="1">GERAL!$A$1:$O$138</definedName>
    <definedName name="_xlnm.Print_Titles" localSheetId="2">ADM!$1:$3</definedName>
    <definedName name="_xlnm.Print_Titles" localSheetId="13">'CASA SONHAR'!$1:$3</definedName>
    <definedName name="_xlnm.Print_Titles" localSheetId="7">COMERCIAL!$1:$3</definedName>
    <definedName name="_xlnm.Print_Titles" localSheetId="11">EDITAIS!$1:$3</definedName>
    <definedName name="_xlnm.Print_Titles" localSheetId="6">'FAVELA 3D'!$1:$3</definedName>
    <definedName name="_xlnm.Print_Titles" localSheetId="1">GERAL!$1:$3</definedName>
    <definedName name="_xlnm.Print_Titles" localSheetId="9">GRIFFTE!$1:$3</definedName>
    <definedName name="_xlnm.Print_Titles" localSheetId="5">MARKETING!$1:$3</definedName>
    <definedName name="_xlnm.Print_Titles" localSheetId="8">OPERAÇÕES!$1:$3</definedName>
    <definedName name="_xlnm.Print_Titles" localSheetId="10">OUTLET!$1:$3</definedName>
    <definedName name="_xlnm.Print_Titles" localSheetId="12">PEC!$1:$3</definedName>
    <definedName name="_xlnm.Print_Titles" localSheetId="15">PSICOSSOCIAL!$1:$3</definedName>
    <definedName name="_xlnm.Print_Titles" localSheetId="14">'Q. PROF.'!$1:$3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I8" i="1"/>
  <c r="H8" i="1"/>
  <c r="N6" i="7" l="1"/>
  <c r="M6" i="7"/>
  <c r="L6" i="7"/>
  <c r="K6" i="7"/>
  <c r="N47" i="7"/>
  <c r="M47" i="7"/>
  <c r="L47" i="7"/>
  <c r="K22" i="16"/>
  <c r="N47" i="16"/>
  <c r="M47" i="16"/>
  <c r="L47" i="16"/>
  <c r="K47" i="16"/>
  <c r="J6" i="16"/>
  <c r="K37" i="16"/>
  <c r="J8" i="16"/>
  <c r="K46" i="16"/>
  <c r="K45" i="16"/>
  <c r="J45" i="16"/>
  <c r="N39" i="16"/>
  <c r="O47" i="6"/>
  <c r="D12" i="17"/>
  <c r="D10" i="17"/>
  <c r="D11" i="17"/>
  <c r="C11" i="17"/>
  <c r="C10" i="17"/>
  <c r="G39" i="17"/>
  <c r="H35" i="17"/>
  <c r="I35" i="17"/>
  <c r="D89" i="16" l="1"/>
  <c r="E88" i="16"/>
  <c r="D37" i="18"/>
  <c r="O138" i="18"/>
  <c r="O137" i="18"/>
  <c r="O136" i="18"/>
  <c r="O135" i="18"/>
  <c r="O134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O133" i="18" s="1"/>
  <c r="O132" i="18"/>
  <c r="O131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O130" i="18" s="1"/>
  <c r="O129" i="18"/>
  <c r="O128" i="18"/>
  <c r="O127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O126" i="18" s="1"/>
  <c r="O125" i="18"/>
  <c r="O124" i="18"/>
  <c r="N123" i="18"/>
  <c r="M123" i="18"/>
  <c r="L123" i="18"/>
  <c r="K123" i="18"/>
  <c r="J123" i="18"/>
  <c r="I123" i="18"/>
  <c r="H123" i="18"/>
  <c r="G123" i="18"/>
  <c r="F123" i="18"/>
  <c r="E123" i="18"/>
  <c r="D123" i="18"/>
  <c r="C123" i="18"/>
  <c r="O123" i="18" s="1"/>
  <c r="O122" i="18"/>
  <c r="O121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O120" i="18" s="1"/>
  <c r="O119" i="18"/>
  <c r="O118" i="18"/>
  <c r="O117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O116" i="18" s="1"/>
  <c r="O115" i="18"/>
  <c r="O114" i="18"/>
  <c r="O113" i="18"/>
  <c r="O112" i="18"/>
  <c r="O111" i="18"/>
  <c r="O110" i="18"/>
  <c r="O109" i="18"/>
  <c r="O108" i="18"/>
  <c r="O107" i="18"/>
  <c r="O106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O105" i="18" s="1"/>
  <c r="O104" i="18"/>
  <c r="O103" i="18"/>
  <c r="O102" i="18"/>
  <c r="O101" i="18"/>
  <c r="O100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O99" i="18" s="1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O52" i="18"/>
  <c r="O51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O49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O48" i="18" s="1"/>
  <c r="O46" i="18"/>
  <c r="O45" i="18"/>
  <c r="O44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O43" i="18" s="1"/>
  <c r="O42" i="18"/>
  <c r="O41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O40" i="18" s="1"/>
  <c r="O39" i="18"/>
  <c r="O38" i="18"/>
  <c r="N37" i="18"/>
  <c r="M37" i="18"/>
  <c r="L37" i="18"/>
  <c r="K37" i="18"/>
  <c r="J37" i="18"/>
  <c r="I37" i="18"/>
  <c r="H37" i="18"/>
  <c r="G37" i="18"/>
  <c r="F37" i="18"/>
  <c r="E37" i="18"/>
  <c r="C37" i="18"/>
  <c r="O36" i="18"/>
  <c r="O35" i="18"/>
  <c r="O34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O33" i="18" s="1"/>
  <c r="O32" i="18"/>
  <c r="O31" i="18"/>
  <c r="O30" i="18"/>
  <c r="O29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O28" i="18" s="1"/>
  <c r="O27" i="18"/>
  <c r="O26" i="18"/>
  <c r="O25" i="18"/>
  <c r="O24" i="18"/>
  <c r="O23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O22" i="18" s="1"/>
  <c r="O21" i="18"/>
  <c r="O20" i="18"/>
  <c r="O19" i="18"/>
  <c r="O18" i="18"/>
  <c r="O17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O16" i="18" s="1"/>
  <c r="O15" i="18"/>
  <c r="O14" i="18"/>
  <c r="O13" i="18"/>
  <c r="O12" i="18"/>
  <c r="O11" i="18"/>
  <c r="O10" i="18"/>
  <c r="N9" i="18"/>
  <c r="N8" i="18" s="1"/>
  <c r="M9" i="18"/>
  <c r="L9" i="18"/>
  <c r="K9" i="18"/>
  <c r="J9" i="18"/>
  <c r="J8" i="18" s="1"/>
  <c r="I9" i="18"/>
  <c r="H9" i="18"/>
  <c r="H8" i="18" s="1"/>
  <c r="G9" i="18"/>
  <c r="F9" i="18"/>
  <c r="E9" i="18"/>
  <c r="D9" i="18"/>
  <c r="C9" i="18"/>
  <c r="O9" i="18" s="1"/>
  <c r="L8" i="18"/>
  <c r="K8" i="18"/>
  <c r="I8" i="18"/>
  <c r="F8" i="18"/>
  <c r="E8" i="18"/>
  <c r="O118" i="5"/>
  <c r="O119" i="5"/>
  <c r="O117" i="5"/>
  <c r="D116" i="5"/>
  <c r="E116" i="5"/>
  <c r="F116" i="5"/>
  <c r="G116" i="5"/>
  <c r="H116" i="5"/>
  <c r="I116" i="5"/>
  <c r="J116" i="5"/>
  <c r="K116" i="5"/>
  <c r="L116" i="5"/>
  <c r="M116" i="5"/>
  <c r="N116" i="5"/>
  <c r="C11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76" i="5"/>
  <c r="D75" i="5"/>
  <c r="E75" i="5"/>
  <c r="F75" i="5"/>
  <c r="G75" i="5"/>
  <c r="H75" i="5"/>
  <c r="I75" i="5"/>
  <c r="J75" i="5"/>
  <c r="K75" i="5"/>
  <c r="L75" i="5"/>
  <c r="M75" i="5"/>
  <c r="N75" i="5"/>
  <c r="C75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54" i="5"/>
  <c r="D53" i="5"/>
  <c r="E53" i="5"/>
  <c r="F53" i="5"/>
  <c r="G53" i="5"/>
  <c r="H53" i="5"/>
  <c r="I53" i="5"/>
  <c r="J53" i="5"/>
  <c r="K53" i="5"/>
  <c r="L53" i="5"/>
  <c r="M53" i="5"/>
  <c r="N53" i="5"/>
  <c r="C53" i="5"/>
  <c r="D50" i="5"/>
  <c r="E50" i="5"/>
  <c r="F50" i="5"/>
  <c r="G50" i="5"/>
  <c r="H50" i="5"/>
  <c r="I50" i="5"/>
  <c r="J50" i="5"/>
  <c r="K50" i="5"/>
  <c r="L50" i="5"/>
  <c r="M50" i="5"/>
  <c r="N50" i="5"/>
  <c r="C50" i="5"/>
  <c r="D48" i="5"/>
  <c r="E48" i="5"/>
  <c r="F48" i="5"/>
  <c r="G48" i="5"/>
  <c r="H48" i="5"/>
  <c r="I48" i="5"/>
  <c r="J48" i="5"/>
  <c r="K48" i="5"/>
  <c r="L48" i="5"/>
  <c r="M48" i="5"/>
  <c r="N48" i="5"/>
  <c r="C48" i="5"/>
  <c r="O52" i="5"/>
  <c r="L4" i="17"/>
  <c r="B52" i="17"/>
  <c r="B51" i="17"/>
  <c r="B50" i="17"/>
  <c r="B49" i="17"/>
  <c r="B48" i="17"/>
  <c r="B43" i="17"/>
  <c r="L13" i="17"/>
  <c r="B34" i="17"/>
  <c r="B42" i="17"/>
  <c r="B41" i="17"/>
  <c r="B40" i="17"/>
  <c r="B39" i="17"/>
  <c r="B38" i="17"/>
  <c r="B37" i="17"/>
  <c r="B36" i="17"/>
  <c r="B35" i="17"/>
  <c r="G8" i="18" l="1"/>
  <c r="M8" i="18"/>
  <c r="C47" i="18"/>
  <c r="L47" i="18"/>
  <c r="L6" i="18" s="1"/>
  <c r="F47" i="18"/>
  <c r="F6" i="18" s="1"/>
  <c r="I47" i="18"/>
  <c r="I6" i="18" s="1"/>
  <c r="G47" i="18"/>
  <c r="G6" i="18" s="1"/>
  <c r="M47" i="18"/>
  <c r="M6" i="18" s="1"/>
  <c r="O75" i="18"/>
  <c r="D47" i="18"/>
  <c r="J47" i="18"/>
  <c r="J6" i="18" s="1"/>
  <c r="E47" i="18"/>
  <c r="E6" i="18" s="1"/>
  <c r="K47" i="18"/>
  <c r="K6" i="18" s="1"/>
  <c r="H47" i="18"/>
  <c r="N47" i="18"/>
  <c r="N6" i="18" s="1"/>
  <c r="O53" i="18"/>
  <c r="C8" i="18"/>
  <c r="O37" i="18"/>
  <c r="D8" i="18"/>
  <c r="O50" i="18"/>
  <c r="O75" i="5"/>
  <c r="O53" i="5"/>
  <c r="I20" i="17" s="1"/>
  <c r="O44" i="5"/>
  <c r="G42" i="17"/>
  <c r="G41" i="17"/>
  <c r="G40" i="17"/>
  <c r="G38" i="17"/>
  <c r="G37" i="17"/>
  <c r="G36" i="17"/>
  <c r="G35" i="17"/>
  <c r="G34" i="17"/>
  <c r="L27" i="17"/>
  <c r="L26" i="17"/>
  <c r="L25" i="17"/>
  <c r="L24" i="17"/>
  <c r="L23" i="17"/>
  <c r="L22" i="17"/>
  <c r="L21" i="17"/>
  <c r="L20" i="17"/>
  <c r="L19" i="17"/>
  <c r="G27" i="17"/>
  <c r="G26" i="17"/>
  <c r="G25" i="17"/>
  <c r="G24" i="17"/>
  <c r="G23" i="17"/>
  <c r="G22" i="17"/>
  <c r="G21" i="17"/>
  <c r="G20" i="17"/>
  <c r="G19" i="17"/>
  <c r="B27" i="17"/>
  <c r="B26" i="17"/>
  <c r="B25" i="17"/>
  <c r="B24" i="17"/>
  <c r="B23" i="17"/>
  <c r="B22" i="17"/>
  <c r="B21" i="17"/>
  <c r="B20" i="17"/>
  <c r="B19" i="17"/>
  <c r="L12" i="17"/>
  <c r="L11" i="17"/>
  <c r="L10" i="17"/>
  <c r="L9" i="17"/>
  <c r="L8" i="17"/>
  <c r="L7" i="17"/>
  <c r="L6" i="17"/>
  <c r="L5" i="17"/>
  <c r="G12" i="17"/>
  <c r="G11" i="17"/>
  <c r="G10" i="17"/>
  <c r="G9" i="17"/>
  <c r="G8" i="17"/>
  <c r="G7" i="17"/>
  <c r="G6" i="17"/>
  <c r="G5" i="17"/>
  <c r="G4" i="17"/>
  <c r="B12" i="17"/>
  <c r="B11" i="17"/>
  <c r="B10" i="17"/>
  <c r="B9" i="17"/>
  <c r="B8" i="17"/>
  <c r="B7" i="17"/>
  <c r="B6" i="17"/>
  <c r="B5" i="17"/>
  <c r="B4" i="17"/>
  <c r="E67" i="14"/>
  <c r="C6" i="18" l="1"/>
  <c r="C5" i="18" s="1"/>
  <c r="D6" i="18"/>
  <c r="O47" i="18"/>
  <c r="N2" i="18" s="1"/>
  <c r="H6" i="18"/>
  <c r="O8" i="18"/>
  <c r="O65" i="1"/>
  <c r="O44" i="1"/>
  <c r="O44" i="8"/>
  <c r="D38" i="15"/>
  <c r="E38" i="15"/>
  <c r="F38" i="15"/>
  <c r="G38" i="15"/>
  <c r="H38" i="15"/>
  <c r="I38" i="15"/>
  <c r="J38" i="15"/>
  <c r="K38" i="15"/>
  <c r="L38" i="15"/>
  <c r="M38" i="15"/>
  <c r="N38" i="15"/>
  <c r="D39" i="15"/>
  <c r="E39" i="15"/>
  <c r="F39" i="15"/>
  <c r="G39" i="15"/>
  <c r="H39" i="15"/>
  <c r="I39" i="15"/>
  <c r="J39" i="15"/>
  <c r="K39" i="15"/>
  <c r="L39" i="15"/>
  <c r="M39" i="15"/>
  <c r="N39" i="15"/>
  <c r="C39" i="15"/>
  <c r="C38" i="15"/>
  <c r="O138" i="11"/>
  <c r="O137" i="11"/>
  <c r="O136" i="11"/>
  <c r="O135" i="11"/>
  <c r="O134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O133" i="11" s="1"/>
  <c r="N12" i="17" s="1"/>
  <c r="M12" i="17" s="1"/>
  <c r="O132" i="11"/>
  <c r="O131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O130" i="11" s="1"/>
  <c r="N11" i="17" s="1"/>
  <c r="M11" i="17" s="1"/>
  <c r="O129" i="11"/>
  <c r="O128" i="11"/>
  <c r="O127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O126" i="11" s="1"/>
  <c r="N10" i="17" s="1"/>
  <c r="M10" i="17" s="1"/>
  <c r="O125" i="11"/>
  <c r="O124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O123" i="11" s="1"/>
  <c r="O122" i="11"/>
  <c r="O121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O120" i="11" s="1"/>
  <c r="O119" i="11"/>
  <c r="O118" i="11"/>
  <c r="O117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O116" i="11" s="1"/>
  <c r="N9" i="17" s="1"/>
  <c r="M9" i="17" s="1"/>
  <c r="O115" i="11"/>
  <c r="O114" i="11"/>
  <c r="O113" i="11"/>
  <c r="O112" i="11"/>
  <c r="O111" i="11"/>
  <c r="O110" i="11"/>
  <c r="O109" i="11"/>
  <c r="O108" i="11"/>
  <c r="O107" i="11"/>
  <c r="O106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O105" i="11" s="1"/>
  <c r="N8" i="17" s="1"/>
  <c r="M8" i="17" s="1"/>
  <c r="O104" i="11"/>
  <c r="O103" i="11"/>
  <c r="O102" i="11"/>
  <c r="O101" i="11"/>
  <c r="O100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O99" i="11" s="1"/>
  <c r="N7" i="17" s="1"/>
  <c r="M7" i="17" s="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O52" i="11"/>
  <c r="O51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O49" i="11"/>
  <c r="N13" i="17" s="1"/>
  <c r="M13" i="17" s="1"/>
  <c r="N48" i="11"/>
  <c r="M48" i="11"/>
  <c r="L48" i="11"/>
  <c r="K48" i="11"/>
  <c r="J48" i="11"/>
  <c r="I48" i="11"/>
  <c r="H48" i="11"/>
  <c r="G48" i="11"/>
  <c r="F48" i="11"/>
  <c r="E48" i="11"/>
  <c r="D48" i="11"/>
  <c r="C48" i="11"/>
  <c r="O46" i="11"/>
  <c r="O45" i="11"/>
  <c r="O44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O43" i="11" s="1"/>
  <c r="O42" i="11"/>
  <c r="O41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O40" i="11" s="1"/>
  <c r="O39" i="11"/>
  <c r="O38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O36" i="11"/>
  <c r="O35" i="11"/>
  <c r="O34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O33" i="11" s="1"/>
  <c r="O32" i="11"/>
  <c r="O31" i="11"/>
  <c r="O30" i="11"/>
  <c r="O29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O28" i="11" s="1"/>
  <c r="O27" i="11"/>
  <c r="O26" i="11"/>
  <c r="O25" i="11"/>
  <c r="O24" i="11"/>
  <c r="O23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O22" i="11" s="1"/>
  <c r="O21" i="11"/>
  <c r="O20" i="11"/>
  <c r="O19" i="11"/>
  <c r="O18" i="11"/>
  <c r="O17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O16" i="11" s="1"/>
  <c r="O15" i="11"/>
  <c r="O14" i="11"/>
  <c r="O13" i="11"/>
  <c r="O12" i="11"/>
  <c r="O11" i="11"/>
  <c r="O10" i="11"/>
  <c r="N9" i="11"/>
  <c r="M9" i="11"/>
  <c r="L9" i="11"/>
  <c r="K9" i="11"/>
  <c r="J9" i="11"/>
  <c r="I9" i="11"/>
  <c r="H9" i="11"/>
  <c r="G9" i="11"/>
  <c r="F9" i="11"/>
  <c r="E9" i="11"/>
  <c r="D9" i="11"/>
  <c r="C9" i="11"/>
  <c r="O9" i="11" s="1"/>
  <c r="O137" i="1"/>
  <c r="O136" i="1"/>
  <c r="O135" i="1"/>
  <c r="O134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O133" i="1" s="1"/>
  <c r="I42" i="17" s="1"/>
  <c r="H42" i="17" s="1"/>
  <c r="O132" i="1"/>
  <c r="O131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O130" i="1" s="1"/>
  <c r="I41" i="17" s="1"/>
  <c r="H41" i="17" s="1"/>
  <c r="O129" i="1"/>
  <c r="O128" i="1"/>
  <c r="O127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O126" i="1" s="1"/>
  <c r="I40" i="17" s="1"/>
  <c r="H40" i="17" s="1"/>
  <c r="O125" i="1"/>
  <c r="O124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O122" i="1"/>
  <c r="O121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O119" i="1"/>
  <c r="O118" i="1"/>
  <c r="O117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O116" i="1" s="1"/>
  <c r="I39" i="17" s="1"/>
  <c r="H39" i="17" s="1"/>
  <c r="O115" i="1"/>
  <c r="O114" i="1"/>
  <c r="O113" i="1"/>
  <c r="O112" i="1"/>
  <c r="O111" i="1"/>
  <c r="O110" i="1"/>
  <c r="O109" i="1"/>
  <c r="O108" i="1"/>
  <c r="O107" i="1"/>
  <c r="O106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O105" i="1" s="1"/>
  <c r="I38" i="17" s="1"/>
  <c r="H38" i="17" s="1"/>
  <c r="O104" i="1"/>
  <c r="O103" i="1"/>
  <c r="O102" i="1"/>
  <c r="O101" i="1"/>
  <c r="O100" i="1"/>
  <c r="N99" i="1"/>
  <c r="M99" i="1"/>
  <c r="L99" i="1"/>
  <c r="K99" i="1"/>
  <c r="J99" i="1"/>
  <c r="I99" i="1"/>
  <c r="H99" i="1"/>
  <c r="G99" i="1"/>
  <c r="F99" i="1"/>
  <c r="E99" i="1"/>
  <c r="D99" i="1"/>
  <c r="C99" i="1"/>
  <c r="O99" i="1" s="1"/>
  <c r="I37" i="17" s="1"/>
  <c r="H37" i="17" s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N75" i="1"/>
  <c r="M75" i="1"/>
  <c r="L75" i="1"/>
  <c r="K75" i="1"/>
  <c r="J75" i="1"/>
  <c r="I75" i="1"/>
  <c r="H75" i="1"/>
  <c r="G75" i="1"/>
  <c r="F75" i="1"/>
  <c r="E75" i="1"/>
  <c r="D75" i="1"/>
  <c r="C75" i="1"/>
  <c r="O74" i="1"/>
  <c r="O73" i="1"/>
  <c r="O72" i="1"/>
  <c r="O71" i="1"/>
  <c r="O70" i="1"/>
  <c r="O69" i="1"/>
  <c r="O68" i="1"/>
  <c r="O67" i="1"/>
  <c r="O66" i="1"/>
  <c r="O64" i="1"/>
  <c r="O63" i="1"/>
  <c r="O62" i="1"/>
  <c r="O61" i="1"/>
  <c r="O60" i="1"/>
  <c r="O59" i="1"/>
  <c r="O58" i="1"/>
  <c r="O57" i="1"/>
  <c r="O56" i="1"/>
  <c r="O55" i="1"/>
  <c r="O54" i="1"/>
  <c r="N53" i="1"/>
  <c r="M53" i="1"/>
  <c r="L53" i="1"/>
  <c r="K53" i="1"/>
  <c r="J53" i="1"/>
  <c r="I53" i="1"/>
  <c r="H53" i="1"/>
  <c r="G53" i="1"/>
  <c r="F53" i="1"/>
  <c r="E53" i="1"/>
  <c r="D53" i="1"/>
  <c r="C53" i="1"/>
  <c r="O52" i="1"/>
  <c r="O51" i="1"/>
  <c r="N50" i="1"/>
  <c r="M50" i="1"/>
  <c r="L50" i="1"/>
  <c r="K50" i="1"/>
  <c r="J50" i="1"/>
  <c r="I50" i="1"/>
  <c r="H50" i="1"/>
  <c r="G50" i="1"/>
  <c r="F50" i="1"/>
  <c r="E50" i="1"/>
  <c r="D50" i="1"/>
  <c r="C50" i="1"/>
  <c r="O50" i="1" s="1"/>
  <c r="I34" i="17" s="1"/>
  <c r="O49" i="1"/>
  <c r="N48" i="1"/>
  <c r="M48" i="1"/>
  <c r="L48" i="1"/>
  <c r="K48" i="1"/>
  <c r="J48" i="1"/>
  <c r="I48" i="1"/>
  <c r="H48" i="1"/>
  <c r="G48" i="1"/>
  <c r="F48" i="1"/>
  <c r="E48" i="1"/>
  <c r="D48" i="1"/>
  <c r="C48" i="1"/>
  <c r="O48" i="1" s="1"/>
  <c r="O46" i="1"/>
  <c r="O45" i="1"/>
  <c r="N43" i="1"/>
  <c r="M43" i="1"/>
  <c r="L43" i="1"/>
  <c r="K43" i="1"/>
  <c r="J43" i="1"/>
  <c r="I43" i="1"/>
  <c r="H43" i="1"/>
  <c r="G43" i="1"/>
  <c r="F43" i="1"/>
  <c r="E43" i="1"/>
  <c r="D43" i="1"/>
  <c r="C43" i="1"/>
  <c r="O42" i="1"/>
  <c r="J40" i="1"/>
  <c r="I40" i="1"/>
  <c r="H40" i="1"/>
  <c r="G40" i="1"/>
  <c r="F40" i="1"/>
  <c r="E40" i="1"/>
  <c r="D40" i="1"/>
  <c r="C40" i="1"/>
  <c r="O39" i="1"/>
  <c r="O38" i="1"/>
  <c r="N37" i="1"/>
  <c r="M37" i="1"/>
  <c r="L37" i="1"/>
  <c r="K37" i="1"/>
  <c r="J37" i="1"/>
  <c r="I37" i="1"/>
  <c r="H37" i="1"/>
  <c r="G37" i="1"/>
  <c r="F37" i="1"/>
  <c r="E37" i="1"/>
  <c r="D37" i="1"/>
  <c r="C37" i="1"/>
  <c r="O37" i="1" s="1"/>
  <c r="O36" i="1"/>
  <c r="O35" i="1"/>
  <c r="O34" i="1"/>
  <c r="N33" i="1"/>
  <c r="M33" i="1"/>
  <c r="L33" i="1"/>
  <c r="K33" i="1"/>
  <c r="J33" i="1"/>
  <c r="I33" i="1"/>
  <c r="H33" i="1"/>
  <c r="G33" i="1"/>
  <c r="F33" i="1"/>
  <c r="E33" i="1"/>
  <c r="D33" i="1"/>
  <c r="C33" i="1"/>
  <c r="O33" i="1" s="1"/>
  <c r="O32" i="1"/>
  <c r="O31" i="1"/>
  <c r="O30" i="1"/>
  <c r="O29" i="1"/>
  <c r="N28" i="1"/>
  <c r="M28" i="1"/>
  <c r="L28" i="1"/>
  <c r="K28" i="1"/>
  <c r="J28" i="1"/>
  <c r="I28" i="1"/>
  <c r="H28" i="1"/>
  <c r="G28" i="1"/>
  <c r="F28" i="1"/>
  <c r="E28" i="1"/>
  <c r="D28" i="1"/>
  <c r="C28" i="1"/>
  <c r="O28" i="1" s="1"/>
  <c r="O27" i="1"/>
  <c r="O26" i="1"/>
  <c r="O25" i="1"/>
  <c r="O24" i="1"/>
  <c r="O23" i="1"/>
  <c r="N22" i="1"/>
  <c r="M22" i="1"/>
  <c r="L22" i="1"/>
  <c r="K22" i="1"/>
  <c r="J22" i="1"/>
  <c r="I22" i="1"/>
  <c r="H22" i="1"/>
  <c r="G22" i="1"/>
  <c r="F22" i="1"/>
  <c r="E22" i="1"/>
  <c r="D22" i="1"/>
  <c r="C22" i="1"/>
  <c r="O22" i="1" s="1"/>
  <c r="O21" i="1"/>
  <c r="O20" i="1"/>
  <c r="O19" i="1"/>
  <c r="O18" i="1"/>
  <c r="O17" i="1"/>
  <c r="N16" i="1"/>
  <c r="M16" i="1"/>
  <c r="L16" i="1"/>
  <c r="K16" i="1"/>
  <c r="J16" i="1"/>
  <c r="I16" i="1"/>
  <c r="H16" i="1"/>
  <c r="G16" i="1"/>
  <c r="F16" i="1"/>
  <c r="E16" i="1"/>
  <c r="D16" i="1"/>
  <c r="C16" i="1"/>
  <c r="O16" i="1" s="1"/>
  <c r="O15" i="1"/>
  <c r="O14" i="1"/>
  <c r="O13" i="1"/>
  <c r="O12" i="1"/>
  <c r="O11" i="1"/>
  <c r="O10" i="1"/>
  <c r="N9" i="1"/>
  <c r="M9" i="1"/>
  <c r="L9" i="1"/>
  <c r="K9" i="1"/>
  <c r="J9" i="1"/>
  <c r="I9" i="1"/>
  <c r="H9" i="1"/>
  <c r="G9" i="1"/>
  <c r="F9" i="1"/>
  <c r="E9" i="1"/>
  <c r="D9" i="1"/>
  <c r="C9" i="1"/>
  <c r="O9" i="1" s="1"/>
  <c r="O44" i="12"/>
  <c r="N43" i="10"/>
  <c r="M43" i="10"/>
  <c r="L43" i="10"/>
  <c r="K43" i="10"/>
  <c r="J43" i="10"/>
  <c r="I43" i="10"/>
  <c r="H43" i="10"/>
  <c r="G43" i="10"/>
  <c r="F43" i="10"/>
  <c r="E43" i="10"/>
  <c r="D43" i="10"/>
  <c r="C43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N37" i="10"/>
  <c r="M37" i="10"/>
  <c r="L37" i="10"/>
  <c r="L8" i="10" s="1"/>
  <c r="K37" i="10"/>
  <c r="K8" i="10" s="1"/>
  <c r="J37" i="10"/>
  <c r="J8" i="10" s="1"/>
  <c r="I37" i="10"/>
  <c r="H37" i="10"/>
  <c r="G37" i="10"/>
  <c r="F37" i="10"/>
  <c r="E37" i="10"/>
  <c r="D37" i="10"/>
  <c r="C37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N9" i="10"/>
  <c r="M9" i="10"/>
  <c r="L9" i="10"/>
  <c r="K9" i="10"/>
  <c r="J9" i="10"/>
  <c r="I9" i="10"/>
  <c r="H9" i="10"/>
  <c r="G9" i="10"/>
  <c r="F9" i="10"/>
  <c r="E9" i="10"/>
  <c r="D9" i="10"/>
  <c r="C9" i="10"/>
  <c r="M8" i="10"/>
  <c r="H8" i="10"/>
  <c r="G8" i="10"/>
  <c r="E8" i="10"/>
  <c r="C8" i="10"/>
  <c r="N8" i="10" l="1"/>
  <c r="I8" i="10"/>
  <c r="D5" i="18"/>
  <c r="E5" i="18" s="1"/>
  <c r="F5" i="18" s="1"/>
  <c r="G5" i="18" s="1"/>
  <c r="H5" i="18" s="1"/>
  <c r="I5" i="18" s="1"/>
  <c r="J5" i="18" s="1"/>
  <c r="K5" i="18" s="1"/>
  <c r="L5" i="18" s="1"/>
  <c r="M5" i="18" s="1"/>
  <c r="N5" i="18" s="1"/>
  <c r="C8" i="1"/>
  <c r="O120" i="1"/>
  <c r="O123" i="1"/>
  <c r="O6" i="18"/>
  <c r="F2" i="18"/>
  <c r="K2" i="18"/>
  <c r="E2" i="18"/>
  <c r="I2" i="18"/>
  <c r="C2" i="18"/>
  <c r="L2" i="18"/>
  <c r="G2" i="18"/>
  <c r="J2" i="18"/>
  <c r="H2" i="18"/>
  <c r="M2" i="18"/>
  <c r="D2" i="18"/>
  <c r="D8" i="10"/>
  <c r="D8" i="1"/>
  <c r="E8" i="1"/>
  <c r="F8" i="1"/>
  <c r="G8" i="1"/>
  <c r="H34" i="17"/>
  <c r="E47" i="1"/>
  <c r="F47" i="1"/>
  <c r="G47" i="1"/>
  <c r="H47" i="1"/>
  <c r="K47" i="1"/>
  <c r="M47" i="1"/>
  <c r="N47" i="1"/>
  <c r="C8" i="11"/>
  <c r="D8" i="11"/>
  <c r="E8" i="11"/>
  <c r="F8" i="11"/>
  <c r="G8" i="11"/>
  <c r="H8" i="11"/>
  <c r="I8" i="11"/>
  <c r="J8" i="11"/>
  <c r="K8" i="11"/>
  <c r="L8" i="11"/>
  <c r="M8" i="11"/>
  <c r="N8" i="11"/>
  <c r="I47" i="11"/>
  <c r="O37" i="11"/>
  <c r="O8" i="11"/>
  <c r="I6" i="11"/>
  <c r="J47" i="11"/>
  <c r="J6" i="11" s="1"/>
  <c r="O48" i="11"/>
  <c r="O50" i="11"/>
  <c r="N4" i="17" s="1"/>
  <c r="G47" i="11"/>
  <c r="G6" i="11" s="1"/>
  <c r="M47" i="11"/>
  <c r="M6" i="11" s="1"/>
  <c r="H47" i="11"/>
  <c r="H6" i="11" s="1"/>
  <c r="N47" i="11"/>
  <c r="N6" i="11" s="1"/>
  <c r="E47" i="11"/>
  <c r="E6" i="11" s="1"/>
  <c r="K47" i="11"/>
  <c r="K6" i="11" s="1"/>
  <c r="D47" i="11"/>
  <c r="D6" i="11" s="1"/>
  <c r="F47" i="11"/>
  <c r="F6" i="11" s="1"/>
  <c r="L47" i="11"/>
  <c r="L6" i="11" s="1"/>
  <c r="O75" i="11"/>
  <c r="N6" i="17" s="1"/>
  <c r="M6" i="17" s="1"/>
  <c r="O53" i="11"/>
  <c r="N5" i="17" s="1"/>
  <c r="M5" i="17" s="1"/>
  <c r="C47" i="11"/>
  <c r="E6" i="1"/>
  <c r="F6" i="1"/>
  <c r="O43" i="1"/>
  <c r="C47" i="1"/>
  <c r="C6" i="1" s="1"/>
  <c r="L47" i="1"/>
  <c r="O75" i="1"/>
  <c r="I36" i="17" s="1"/>
  <c r="H36" i="17" s="1"/>
  <c r="O53" i="1"/>
  <c r="D47" i="1"/>
  <c r="I47" i="1"/>
  <c r="J47" i="1"/>
  <c r="J6" i="1" s="1"/>
  <c r="F8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N47" i="10"/>
  <c r="C75" i="7"/>
  <c r="D75" i="7"/>
  <c r="E75" i="7"/>
  <c r="F75" i="7"/>
  <c r="G75" i="7"/>
  <c r="H75" i="7"/>
  <c r="I75" i="7"/>
  <c r="J75" i="7"/>
  <c r="K75" i="7"/>
  <c r="L75" i="7"/>
  <c r="M75" i="7"/>
  <c r="N75" i="7"/>
  <c r="H6" i="1" l="1"/>
  <c r="G6" i="1"/>
  <c r="I6" i="1"/>
  <c r="D6" i="1"/>
  <c r="I45" i="17"/>
  <c r="H55" i="17" s="1"/>
  <c r="M4" i="17"/>
  <c r="N15" i="17"/>
  <c r="H52" i="17" s="1"/>
  <c r="M47" i="10"/>
  <c r="K47" i="10"/>
  <c r="E47" i="10"/>
  <c r="O47" i="11"/>
  <c r="C2" i="11" s="1"/>
  <c r="C6" i="11"/>
  <c r="O47" i="1"/>
  <c r="L2" i="1" s="1"/>
  <c r="C5" i="1"/>
  <c r="D5" i="1" s="1"/>
  <c r="E5" i="1" s="1"/>
  <c r="F5" i="1" s="1"/>
  <c r="G5" i="1" s="1"/>
  <c r="H5" i="1" s="1"/>
  <c r="I5" i="1" s="1"/>
  <c r="J5" i="1" s="1"/>
  <c r="L47" i="10"/>
  <c r="D47" i="10"/>
  <c r="F47" i="10"/>
  <c r="J47" i="10"/>
  <c r="H47" i="10"/>
  <c r="C47" i="10"/>
  <c r="G47" i="10"/>
  <c r="I47" i="10"/>
  <c r="O6" i="11" l="1"/>
  <c r="C5" i="11"/>
  <c r="D5" i="11" s="1"/>
  <c r="E5" i="11" s="1"/>
  <c r="F5" i="11" s="1"/>
  <c r="G5" i="11" s="1"/>
  <c r="H5" i="11" s="1"/>
  <c r="I5" i="11" s="1"/>
  <c r="J5" i="11" s="1"/>
  <c r="K5" i="11" s="1"/>
  <c r="L5" i="11" s="1"/>
  <c r="M5" i="11" s="1"/>
  <c r="N5" i="11" s="1"/>
  <c r="I2" i="11"/>
  <c r="N2" i="11"/>
  <c r="H2" i="11"/>
  <c r="G2" i="11"/>
  <c r="M2" i="11"/>
  <c r="L2" i="11"/>
  <c r="F2" i="11"/>
  <c r="K2" i="11"/>
  <c r="E2" i="11"/>
  <c r="J2" i="11"/>
  <c r="D2" i="11"/>
  <c r="D2" i="1"/>
  <c r="C2" i="1"/>
  <c r="J2" i="1"/>
  <c r="F2" i="1"/>
  <c r="M2" i="1"/>
  <c r="I2" i="1"/>
  <c r="K2" i="1"/>
  <c r="G2" i="1"/>
  <c r="H2" i="1"/>
  <c r="E2" i="1"/>
  <c r="N2" i="1"/>
  <c r="F71" i="14" l="1"/>
  <c r="F70" i="14"/>
  <c r="F67" i="14"/>
  <c r="E67" i="15" l="1"/>
  <c r="E67" i="16" s="1"/>
  <c r="D76" i="15" l="1"/>
  <c r="E76" i="15"/>
  <c r="F76" i="15"/>
  <c r="G76" i="15"/>
  <c r="H76" i="15"/>
  <c r="I76" i="15"/>
  <c r="J76" i="15"/>
  <c r="K76" i="15"/>
  <c r="L76" i="15"/>
  <c r="M76" i="15"/>
  <c r="N76" i="15"/>
  <c r="D77" i="15"/>
  <c r="E77" i="15"/>
  <c r="F77" i="15"/>
  <c r="G77" i="15"/>
  <c r="H77" i="15"/>
  <c r="I77" i="15"/>
  <c r="J77" i="15"/>
  <c r="K77" i="15"/>
  <c r="L77" i="15"/>
  <c r="M77" i="15"/>
  <c r="N77" i="15"/>
  <c r="D78" i="15"/>
  <c r="E78" i="15"/>
  <c r="F78" i="15"/>
  <c r="G78" i="15"/>
  <c r="H78" i="15"/>
  <c r="I78" i="15"/>
  <c r="J78" i="15"/>
  <c r="K78" i="15"/>
  <c r="L78" i="15"/>
  <c r="M78" i="15"/>
  <c r="N78" i="15"/>
  <c r="D79" i="15"/>
  <c r="E79" i="15"/>
  <c r="F79" i="15"/>
  <c r="G79" i="15"/>
  <c r="H79" i="15"/>
  <c r="I79" i="15"/>
  <c r="J79" i="15"/>
  <c r="K79" i="15"/>
  <c r="L79" i="15"/>
  <c r="M79" i="15"/>
  <c r="N79" i="15"/>
  <c r="D80" i="15"/>
  <c r="E80" i="15"/>
  <c r="F80" i="15"/>
  <c r="G80" i="15"/>
  <c r="H80" i="15"/>
  <c r="I80" i="15"/>
  <c r="J80" i="15"/>
  <c r="K80" i="15"/>
  <c r="L80" i="15"/>
  <c r="M80" i="15"/>
  <c r="N80" i="15"/>
  <c r="D81" i="15"/>
  <c r="E81" i="15"/>
  <c r="F81" i="15"/>
  <c r="G81" i="15"/>
  <c r="H81" i="15"/>
  <c r="I81" i="15"/>
  <c r="J81" i="15"/>
  <c r="K81" i="15"/>
  <c r="L81" i="15"/>
  <c r="M81" i="15"/>
  <c r="N81" i="15"/>
  <c r="D82" i="15"/>
  <c r="E82" i="15"/>
  <c r="F82" i="15"/>
  <c r="G82" i="15"/>
  <c r="H82" i="15"/>
  <c r="I82" i="15"/>
  <c r="J82" i="15"/>
  <c r="K82" i="15"/>
  <c r="L82" i="15"/>
  <c r="M82" i="15"/>
  <c r="N82" i="15"/>
  <c r="D83" i="15"/>
  <c r="E83" i="15"/>
  <c r="F83" i="15"/>
  <c r="G83" i="15"/>
  <c r="H83" i="15"/>
  <c r="I83" i="15"/>
  <c r="J83" i="15"/>
  <c r="K83" i="15"/>
  <c r="L83" i="15"/>
  <c r="M83" i="15"/>
  <c r="N83" i="15"/>
  <c r="D84" i="15"/>
  <c r="E84" i="15"/>
  <c r="G84" i="15"/>
  <c r="H84" i="15"/>
  <c r="I84" i="15"/>
  <c r="J84" i="15"/>
  <c r="K84" i="15"/>
  <c r="L84" i="15"/>
  <c r="M84" i="15"/>
  <c r="N84" i="15"/>
  <c r="D85" i="15"/>
  <c r="E85" i="15"/>
  <c r="F85" i="15"/>
  <c r="G85" i="15"/>
  <c r="H85" i="15"/>
  <c r="I85" i="15"/>
  <c r="J85" i="15"/>
  <c r="K85" i="15"/>
  <c r="L85" i="15"/>
  <c r="M85" i="15"/>
  <c r="N85" i="15"/>
  <c r="D86" i="15"/>
  <c r="E86" i="15"/>
  <c r="F86" i="15"/>
  <c r="G86" i="15"/>
  <c r="H86" i="15"/>
  <c r="I86" i="15"/>
  <c r="J86" i="15"/>
  <c r="K86" i="15"/>
  <c r="L86" i="15"/>
  <c r="M86" i="15"/>
  <c r="N86" i="15"/>
  <c r="D87" i="15"/>
  <c r="E87" i="15"/>
  <c r="F87" i="15"/>
  <c r="G87" i="15"/>
  <c r="H87" i="15"/>
  <c r="I87" i="15"/>
  <c r="J87" i="15"/>
  <c r="K87" i="15"/>
  <c r="L87" i="15"/>
  <c r="M87" i="15"/>
  <c r="N87" i="15"/>
  <c r="D88" i="15"/>
  <c r="E88" i="15"/>
  <c r="F88" i="15"/>
  <c r="G88" i="15"/>
  <c r="H88" i="15"/>
  <c r="I88" i="15"/>
  <c r="J88" i="15"/>
  <c r="K88" i="15"/>
  <c r="L88" i="15"/>
  <c r="M88" i="15"/>
  <c r="N88" i="15"/>
  <c r="D89" i="15"/>
  <c r="E89" i="15"/>
  <c r="F89" i="15"/>
  <c r="G89" i="15"/>
  <c r="H89" i="15"/>
  <c r="I89" i="15"/>
  <c r="J89" i="15"/>
  <c r="K89" i="15"/>
  <c r="L89" i="15"/>
  <c r="M89" i="15"/>
  <c r="N89" i="15"/>
  <c r="D90" i="15"/>
  <c r="E90" i="15"/>
  <c r="F90" i="15"/>
  <c r="G90" i="15"/>
  <c r="H90" i="15"/>
  <c r="I90" i="15"/>
  <c r="J90" i="15"/>
  <c r="K90" i="15"/>
  <c r="L90" i="15"/>
  <c r="M90" i="15"/>
  <c r="N90" i="15"/>
  <c r="D91" i="15"/>
  <c r="E91" i="15"/>
  <c r="F91" i="15"/>
  <c r="G91" i="15"/>
  <c r="H91" i="15"/>
  <c r="I91" i="15"/>
  <c r="J91" i="15"/>
  <c r="K91" i="15"/>
  <c r="L91" i="15"/>
  <c r="M91" i="15"/>
  <c r="N91" i="15"/>
  <c r="D92" i="15"/>
  <c r="E92" i="15"/>
  <c r="F92" i="15"/>
  <c r="G92" i="15"/>
  <c r="H92" i="15"/>
  <c r="I92" i="15"/>
  <c r="J92" i="15"/>
  <c r="K92" i="15"/>
  <c r="L92" i="15"/>
  <c r="M92" i="15"/>
  <c r="N92" i="15"/>
  <c r="D93" i="15"/>
  <c r="E93" i="15"/>
  <c r="F93" i="15"/>
  <c r="G93" i="15"/>
  <c r="H93" i="15"/>
  <c r="I93" i="15"/>
  <c r="J93" i="15"/>
  <c r="K93" i="15"/>
  <c r="L93" i="15"/>
  <c r="M93" i="15"/>
  <c r="N93" i="15"/>
  <c r="D95" i="15"/>
  <c r="E95" i="15"/>
  <c r="F95" i="15"/>
  <c r="G95" i="15"/>
  <c r="H95" i="15"/>
  <c r="I95" i="15"/>
  <c r="J95" i="15"/>
  <c r="K95" i="15"/>
  <c r="L95" i="15"/>
  <c r="M95" i="15"/>
  <c r="N95" i="15"/>
  <c r="D96" i="15"/>
  <c r="E96" i="15"/>
  <c r="F96" i="15"/>
  <c r="G96" i="15"/>
  <c r="H96" i="15"/>
  <c r="I96" i="15"/>
  <c r="J96" i="15"/>
  <c r="K96" i="15"/>
  <c r="L96" i="15"/>
  <c r="M96" i="15"/>
  <c r="N96" i="15"/>
  <c r="D97" i="15"/>
  <c r="E97" i="15"/>
  <c r="F97" i="15"/>
  <c r="G97" i="15"/>
  <c r="H97" i="15"/>
  <c r="I97" i="15"/>
  <c r="J97" i="15"/>
  <c r="K97" i="15"/>
  <c r="L97" i="15"/>
  <c r="M97" i="15"/>
  <c r="N97" i="15"/>
  <c r="D98" i="15"/>
  <c r="E98" i="15"/>
  <c r="F98" i="15"/>
  <c r="G98" i="15"/>
  <c r="H98" i="15"/>
  <c r="I98" i="15"/>
  <c r="J98" i="15"/>
  <c r="K98" i="15"/>
  <c r="L98" i="15"/>
  <c r="M98" i="15"/>
  <c r="N98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76" i="15"/>
  <c r="D54" i="15"/>
  <c r="E54" i="15"/>
  <c r="F54" i="15"/>
  <c r="G54" i="15"/>
  <c r="H54" i="15"/>
  <c r="I54" i="15"/>
  <c r="J54" i="15"/>
  <c r="K54" i="15"/>
  <c r="L54" i="15"/>
  <c r="M54" i="15"/>
  <c r="N54" i="15"/>
  <c r="D55" i="15"/>
  <c r="E55" i="15"/>
  <c r="F55" i="15"/>
  <c r="G55" i="15"/>
  <c r="H55" i="15"/>
  <c r="I55" i="15"/>
  <c r="J55" i="15"/>
  <c r="K55" i="15"/>
  <c r="L55" i="15"/>
  <c r="M55" i="15"/>
  <c r="N55" i="15"/>
  <c r="D56" i="15"/>
  <c r="E56" i="15"/>
  <c r="F56" i="15"/>
  <c r="G56" i="15"/>
  <c r="H56" i="15"/>
  <c r="I56" i="15"/>
  <c r="J56" i="15"/>
  <c r="K56" i="15"/>
  <c r="L56" i="15"/>
  <c r="M56" i="15"/>
  <c r="N56" i="15"/>
  <c r="D57" i="15"/>
  <c r="E57" i="15"/>
  <c r="F57" i="15"/>
  <c r="G57" i="15"/>
  <c r="H57" i="15"/>
  <c r="I57" i="15"/>
  <c r="J57" i="15"/>
  <c r="K57" i="15"/>
  <c r="L57" i="15"/>
  <c r="M57" i="15"/>
  <c r="N57" i="15"/>
  <c r="D58" i="15"/>
  <c r="E58" i="15"/>
  <c r="F58" i="15"/>
  <c r="G58" i="15"/>
  <c r="H58" i="15"/>
  <c r="I58" i="15"/>
  <c r="J58" i="15"/>
  <c r="K58" i="15"/>
  <c r="L58" i="15"/>
  <c r="M58" i="15"/>
  <c r="N58" i="15"/>
  <c r="D59" i="15"/>
  <c r="E59" i="15"/>
  <c r="F59" i="15"/>
  <c r="G59" i="15"/>
  <c r="H59" i="15"/>
  <c r="I59" i="15"/>
  <c r="J59" i="15"/>
  <c r="K59" i="15"/>
  <c r="L59" i="15"/>
  <c r="M59" i="15"/>
  <c r="N59" i="15"/>
  <c r="D60" i="15"/>
  <c r="E60" i="15"/>
  <c r="F60" i="15"/>
  <c r="G60" i="15"/>
  <c r="H60" i="15"/>
  <c r="I60" i="15"/>
  <c r="J60" i="15"/>
  <c r="K60" i="15"/>
  <c r="L60" i="15"/>
  <c r="M60" i="15"/>
  <c r="N60" i="15"/>
  <c r="D61" i="15"/>
  <c r="E61" i="15"/>
  <c r="F61" i="15"/>
  <c r="G61" i="15"/>
  <c r="H61" i="15"/>
  <c r="I61" i="15"/>
  <c r="J61" i="15"/>
  <c r="K61" i="15"/>
  <c r="L61" i="15"/>
  <c r="M61" i="15"/>
  <c r="N61" i="15"/>
  <c r="D62" i="15"/>
  <c r="E62" i="15"/>
  <c r="F62" i="15"/>
  <c r="G62" i="15"/>
  <c r="H62" i="15"/>
  <c r="I62" i="15"/>
  <c r="J62" i="15"/>
  <c r="K62" i="15"/>
  <c r="L62" i="15"/>
  <c r="M62" i="15"/>
  <c r="N62" i="15"/>
  <c r="D63" i="15"/>
  <c r="E63" i="15"/>
  <c r="F63" i="15"/>
  <c r="G63" i="15"/>
  <c r="H63" i="15"/>
  <c r="I63" i="15"/>
  <c r="J63" i="15"/>
  <c r="K63" i="15"/>
  <c r="L63" i="15"/>
  <c r="M63" i="15"/>
  <c r="N63" i="15"/>
  <c r="D64" i="15"/>
  <c r="E64" i="15"/>
  <c r="F64" i="15"/>
  <c r="G64" i="15"/>
  <c r="H64" i="15"/>
  <c r="I64" i="15"/>
  <c r="J64" i="15"/>
  <c r="K64" i="15"/>
  <c r="L64" i="15"/>
  <c r="M64" i="15"/>
  <c r="N64" i="15"/>
  <c r="D65" i="15"/>
  <c r="E65" i="15"/>
  <c r="F65" i="15"/>
  <c r="G65" i="15"/>
  <c r="H65" i="15"/>
  <c r="I65" i="15"/>
  <c r="J65" i="15"/>
  <c r="K65" i="15"/>
  <c r="L65" i="15"/>
  <c r="M65" i="15"/>
  <c r="N65" i="15"/>
  <c r="D66" i="15"/>
  <c r="E66" i="15"/>
  <c r="F66" i="15"/>
  <c r="G66" i="15"/>
  <c r="H66" i="15"/>
  <c r="I66" i="15"/>
  <c r="J66" i="15"/>
  <c r="K66" i="15"/>
  <c r="L66" i="15"/>
  <c r="M66" i="15"/>
  <c r="N66" i="15"/>
  <c r="D67" i="15"/>
  <c r="F67" i="15"/>
  <c r="F67" i="16" s="1"/>
  <c r="G67" i="15"/>
  <c r="H67" i="15"/>
  <c r="I67" i="15"/>
  <c r="J67" i="15"/>
  <c r="K67" i="15"/>
  <c r="L67" i="15"/>
  <c r="M67" i="15"/>
  <c r="N67" i="15"/>
  <c r="D68" i="15"/>
  <c r="E68" i="15"/>
  <c r="F68" i="15"/>
  <c r="G68" i="15"/>
  <c r="H68" i="15"/>
  <c r="I68" i="15"/>
  <c r="J68" i="15"/>
  <c r="K68" i="15"/>
  <c r="L68" i="15"/>
  <c r="M68" i="15"/>
  <c r="N68" i="15"/>
  <c r="D69" i="15"/>
  <c r="E69" i="15"/>
  <c r="F69" i="15"/>
  <c r="G69" i="15"/>
  <c r="H69" i="15"/>
  <c r="I69" i="15"/>
  <c r="J69" i="15"/>
  <c r="K69" i="15"/>
  <c r="L69" i="15"/>
  <c r="M69" i="15"/>
  <c r="N69" i="15"/>
  <c r="D70" i="15"/>
  <c r="E70" i="15"/>
  <c r="F70" i="15"/>
  <c r="F70" i="16" s="1"/>
  <c r="G70" i="15"/>
  <c r="H70" i="15"/>
  <c r="I70" i="15"/>
  <c r="J70" i="15"/>
  <c r="K70" i="15"/>
  <c r="L70" i="15"/>
  <c r="M70" i="15"/>
  <c r="N70" i="15"/>
  <c r="D71" i="15"/>
  <c r="E71" i="15"/>
  <c r="F71" i="15"/>
  <c r="F71" i="16" s="1"/>
  <c r="G71" i="15"/>
  <c r="H71" i="15"/>
  <c r="I71" i="15"/>
  <c r="J71" i="15"/>
  <c r="K71" i="15"/>
  <c r="L71" i="15"/>
  <c r="M71" i="15"/>
  <c r="N71" i="15"/>
  <c r="D72" i="15"/>
  <c r="E72" i="15"/>
  <c r="F72" i="15"/>
  <c r="G72" i="15"/>
  <c r="H72" i="15"/>
  <c r="I72" i="15"/>
  <c r="J72" i="15"/>
  <c r="K72" i="15"/>
  <c r="L72" i="15"/>
  <c r="M72" i="15"/>
  <c r="N72" i="15"/>
  <c r="D73" i="15"/>
  <c r="E73" i="15"/>
  <c r="F73" i="15"/>
  <c r="G73" i="15"/>
  <c r="H73" i="15"/>
  <c r="I73" i="15"/>
  <c r="J73" i="15"/>
  <c r="K73" i="15"/>
  <c r="L73" i="15"/>
  <c r="M73" i="15"/>
  <c r="N73" i="15"/>
  <c r="D74" i="15"/>
  <c r="E74" i="15"/>
  <c r="F74" i="15"/>
  <c r="G74" i="15"/>
  <c r="H74" i="15"/>
  <c r="I74" i="15"/>
  <c r="J74" i="15"/>
  <c r="K74" i="15"/>
  <c r="L74" i="15"/>
  <c r="M74" i="15"/>
  <c r="N7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O70" i="10"/>
  <c r="C99" i="12" l="1"/>
  <c r="C105" i="12"/>
  <c r="C116" i="12"/>
  <c r="C120" i="12"/>
  <c r="C123" i="12"/>
  <c r="C126" i="12"/>
  <c r="C130" i="12"/>
  <c r="C133" i="12"/>
  <c r="D52" i="14"/>
  <c r="D54" i="14"/>
  <c r="D54" i="16" s="1"/>
  <c r="C36" i="14" l="1"/>
  <c r="O21" i="16"/>
  <c r="O20" i="16"/>
  <c r="O19" i="16"/>
  <c r="O18" i="16"/>
  <c r="O17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O16" i="16" s="1"/>
  <c r="O15" i="16"/>
  <c r="O14" i="16"/>
  <c r="O13" i="16"/>
  <c r="O12" i="16"/>
  <c r="O11" i="16"/>
  <c r="O10" i="16"/>
  <c r="N9" i="16"/>
  <c r="M9" i="16"/>
  <c r="L9" i="16"/>
  <c r="K9" i="16"/>
  <c r="J9" i="16"/>
  <c r="I9" i="16"/>
  <c r="H9" i="16"/>
  <c r="G9" i="16"/>
  <c r="F9" i="16"/>
  <c r="E9" i="16"/>
  <c r="D9" i="16"/>
  <c r="C9" i="16"/>
  <c r="O9" i="16" s="1"/>
  <c r="C22" i="12"/>
  <c r="J40" i="5"/>
  <c r="R68" i="4"/>
  <c r="D53" i="4"/>
  <c r="D23" i="15"/>
  <c r="E23" i="15"/>
  <c r="F23" i="15"/>
  <c r="G23" i="15"/>
  <c r="H23" i="15"/>
  <c r="I23" i="15"/>
  <c r="J23" i="15"/>
  <c r="K23" i="15"/>
  <c r="L23" i="15"/>
  <c r="M23" i="15"/>
  <c r="N23" i="15"/>
  <c r="D24" i="15"/>
  <c r="E24" i="15"/>
  <c r="F24" i="15"/>
  <c r="G24" i="15"/>
  <c r="H24" i="15"/>
  <c r="I24" i="15"/>
  <c r="J24" i="15"/>
  <c r="K24" i="15"/>
  <c r="L24" i="15"/>
  <c r="M24" i="15"/>
  <c r="N24" i="15"/>
  <c r="D25" i="15"/>
  <c r="E25" i="15"/>
  <c r="F25" i="15"/>
  <c r="G25" i="15"/>
  <c r="H25" i="15"/>
  <c r="I25" i="15"/>
  <c r="J25" i="15"/>
  <c r="K25" i="15"/>
  <c r="L25" i="15"/>
  <c r="M25" i="15"/>
  <c r="N25" i="15"/>
  <c r="D26" i="15"/>
  <c r="E26" i="15"/>
  <c r="F26" i="15"/>
  <c r="G26" i="15"/>
  <c r="H26" i="15"/>
  <c r="I26" i="15"/>
  <c r="J26" i="15"/>
  <c r="K26" i="15"/>
  <c r="L26" i="15"/>
  <c r="M26" i="15"/>
  <c r="N26" i="15"/>
  <c r="D27" i="15"/>
  <c r="E27" i="15"/>
  <c r="F27" i="15"/>
  <c r="G27" i="15"/>
  <c r="H27" i="15"/>
  <c r="I27" i="15"/>
  <c r="J27" i="15"/>
  <c r="K27" i="15"/>
  <c r="L27" i="15"/>
  <c r="M27" i="15"/>
  <c r="N27" i="15"/>
  <c r="D29" i="15"/>
  <c r="E29" i="15"/>
  <c r="F29" i="15"/>
  <c r="G29" i="15"/>
  <c r="H29" i="15"/>
  <c r="I29" i="15"/>
  <c r="J29" i="15"/>
  <c r="K29" i="15"/>
  <c r="L29" i="15"/>
  <c r="M29" i="15"/>
  <c r="N29" i="15"/>
  <c r="D30" i="15"/>
  <c r="E30" i="15"/>
  <c r="F30" i="15"/>
  <c r="G30" i="15"/>
  <c r="H30" i="15"/>
  <c r="I30" i="15"/>
  <c r="J30" i="15"/>
  <c r="K30" i="15"/>
  <c r="L30" i="15"/>
  <c r="M30" i="15"/>
  <c r="N30" i="15"/>
  <c r="D31" i="15"/>
  <c r="E31" i="15"/>
  <c r="F31" i="15"/>
  <c r="G31" i="15"/>
  <c r="H31" i="15"/>
  <c r="I31" i="15"/>
  <c r="J31" i="15"/>
  <c r="K31" i="15"/>
  <c r="L31" i="15"/>
  <c r="M31" i="15"/>
  <c r="N31" i="15"/>
  <c r="D32" i="15"/>
  <c r="E32" i="15"/>
  <c r="F32" i="15"/>
  <c r="G32" i="15"/>
  <c r="H32" i="15"/>
  <c r="I32" i="15"/>
  <c r="J32" i="15"/>
  <c r="K32" i="15"/>
  <c r="L32" i="15"/>
  <c r="M32" i="15"/>
  <c r="N32" i="15"/>
  <c r="D34" i="15"/>
  <c r="E34" i="15"/>
  <c r="F34" i="15"/>
  <c r="G34" i="15"/>
  <c r="H34" i="15"/>
  <c r="I34" i="15"/>
  <c r="J34" i="15"/>
  <c r="K34" i="15"/>
  <c r="L34" i="15"/>
  <c r="M34" i="15"/>
  <c r="N34" i="15"/>
  <c r="D35" i="15"/>
  <c r="E35" i="15"/>
  <c r="F35" i="15"/>
  <c r="G35" i="15"/>
  <c r="H35" i="15"/>
  <c r="I35" i="15"/>
  <c r="J35" i="15"/>
  <c r="K35" i="15"/>
  <c r="L35" i="15"/>
  <c r="M35" i="15"/>
  <c r="N35" i="15"/>
  <c r="D36" i="15"/>
  <c r="E36" i="15"/>
  <c r="F36" i="15"/>
  <c r="G36" i="15"/>
  <c r="H36" i="15"/>
  <c r="I36" i="15"/>
  <c r="J36" i="15"/>
  <c r="K36" i="15"/>
  <c r="L36" i="15"/>
  <c r="M36" i="15"/>
  <c r="N36" i="15"/>
  <c r="D41" i="15"/>
  <c r="E41" i="15"/>
  <c r="F41" i="15"/>
  <c r="G41" i="15"/>
  <c r="H41" i="15"/>
  <c r="I41" i="15"/>
  <c r="J41" i="15"/>
  <c r="K41" i="15"/>
  <c r="L41" i="15"/>
  <c r="M41" i="15"/>
  <c r="N41" i="15"/>
  <c r="D42" i="15"/>
  <c r="E42" i="15"/>
  <c r="F42" i="15"/>
  <c r="G42" i="15"/>
  <c r="H42" i="15"/>
  <c r="I42" i="15"/>
  <c r="J42" i="15"/>
  <c r="K42" i="15"/>
  <c r="L42" i="15"/>
  <c r="M42" i="15"/>
  <c r="N42" i="15"/>
  <c r="D44" i="15"/>
  <c r="E44" i="15"/>
  <c r="F44" i="15"/>
  <c r="G44" i="15"/>
  <c r="H44" i="15"/>
  <c r="I44" i="15"/>
  <c r="J44" i="15"/>
  <c r="K44" i="15"/>
  <c r="L44" i="15"/>
  <c r="M44" i="15"/>
  <c r="N44" i="15"/>
  <c r="D45" i="15"/>
  <c r="E45" i="15"/>
  <c r="F45" i="15"/>
  <c r="G45" i="15"/>
  <c r="H45" i="15"/>
  <c r="I45" i="15"/>
  <c r="J45" i="15"/>
  <c r="K45" i="15"/>
  <c r="L45" i="15"/>
  <c r="M45" i="15"/>
  <c r="N45" i="15"/>
  <c r="D46" i="15"/>
  <c r="E46" i="15"/>
  <c r="F46" i="15"/>
  <c r="G46" i="15"/>
  <c r="H46" i="15"/>
  <c r="I46" i="15"/>
  <c r="J46" i="15"/>
  <c r="K46" i="15"/>
  <c r="L46" i="15"/>
  <c r="M46" i="15"/>
  <c r="N46" i="15"/>
  <c r="D49" i="15"/>
  <c r="E49" i="15"/>
  <c r="F49" i="15"/>
  <c r="G49" i="15"/>
  <c r="H49" i="15"/>
  <c r="I49" i="15"/>
  <c r="J49" i="15"/>
  <c r="K49" i="15"/>
  <c r="L49" i="15"/>
  <c r="M49" i="15"/>
  <c r="N49" i="15"/>
  <c r="D51" i="15"/>
  <c r="E51" i="15"/>
  <c r="F51" i="15"/>
  <c r="G51" i="15"/>
  <c r="H51" i="15"/>
  <c r="I51" i="15"/>
  <c r="J51" i="15"/>
  <c r="K51" i="15"/>
  <c r="L51" i="15"/>
  <c r="M51" i="15"/>
  <c r="N51" i="15"/>
  <c r="D52" i="15"/>
  <c r="D52" i="16" s="1"/>
  <c r="E52" i="15"/>
  <c r="F52" i="15"/>
  <c r="G52" i="15"/>
  <c r="H52" i="15"/>
  <c r="I52" i="15"/>
  <c r="J52" i="15"/>
  <c r="K52" i="15"/>
  <c r="L52" i="15"/>
  <c r="M52" i="15"/>
  <c r="N52" i="15"/>
  <c r="D100" i="15"/>
  <c r="E100" i="15"/>
  <c r="F100" i="15"/>
  <c r="G100" i="15"/>
  <c r="H100" i="15"/>
  <c r="I100" i="15"/>
  <c r="J100" i="15"/>
  <c r="K100" i="15"/>
  <c r="L100" i="15"/>
  <c r="M100" i="15"/>
  <c r="N100" i="15"/>
  <c r="D101" i="15"/>
  <c r="E101" i="15"/>
  <c r="F101" i="15"/>
  <c r="G101" i="15"/>
  <c r="H101" i="15"/>
  <c r="I101" i="15"/>
  <c r="J101" i="15"/>
  <c r="K101" i="15"/>
  <c r="L101" i="15"/>
  <c r="M101" i="15"/>
  <c r="N101" i="15"/>
  <c r="D102" i="15"/>
  <c r="E102" i="15"/>
  <c r="F102" i="15"/>
  <c r="G102" i="15"/>
  <c r="H102" i="15"/>
  <c r="I102" i="15"/>
  <c r="J102" i="15"/>
  <c r="K102" i="15"/>
  <c r="L102" i="15"/>
  <c r="M102" i="15"/>
  <c r="N102" i="15"/>
  <c r="D103" i="15"/>
  <c r="E103" i="15"/>
  <c r="F103" i="15"/>
  <c r="G103" i="15"/>
  <c r="H103" i="15"/>
  <c r="I103" i="15"/>
  <c r="J103" i="15"/>
  <c r="K103" i="15"/>
  <c r="L103" i="15"/>
  <c r="M103" i="15"/>
  <c r="N103" i="15"/>
  <c r="D104" i="15"/>
  <c r="E104" i="15"/>
  <c r="F104" i="15"/>
  <c r="G104" i="15"/>
  <c r="H104" i="15"/>
  <c r="I104" i="15"/>
  <c r="J104" i="15"/>
  <c r="K104" i="15"/>
  <c r="L104" i="15"/>
  <c r="M104" i="15"/>
  <c r="N104" i="15"/>
  <c r="D106" i="15"/>
  <c r="E106" i="15"/>
  <c r="F106" i="15"/>
  <c r="G106" i="15"/>
  <c r="H106" i="15"/>
  <c r="I106" i="15"/>
  <c r="J106" i="15"/>
  <c r="K106" i="15"/>
  <c r="L106" i="15"/>
  <c r="M106" i="15"/>
  <c r="N106" i="15"/>
  <c r="D107" i="15"/>
  <c r="E107" i="15"/>
  <c r="F107" i="15"/>
  <c r="G107" i="15"/>
  <c r="H107" i="15"/>
  <c r="I107" i="15"/>
  <c r="J107" i="15"/>
  <c r="K107" i="15"/>
  <c r="L107" i="15"/>
  <c r="M107" i="15"/>
  <c r="N107" i="15"/>
  <c r="D108" i="15"/>
  <c r="E108" i="15"/>
  <c r="F108" i="15"/>
  <c r="G108" i="15"/>
  <c r="H108" i="15"/>
  <c r="I108" i="15"/>
  <c r="J108" i="15"/>
  <c r="K108" i="15"/>
  <c r="L108" i="15"/>
  <c r="M108" i="15"/>
  <c r="N108" i="15"/>
  <c r="D109" i="15"/>
  <c r="E109" i="15"/>
  <c r="F109" i="15"/>
  <c r="G109" i="15"/>
  <c r="H109" i="15"/>
  <c r="I109" i="15"/>
  <c r="J109" i="15"/>
  <c r="K109" i="15"/>
  <c r="L109" i="15"/>
  <c r="M109" i="15"/>
  <c r="N109" i="15"/>
  <c r="D110" i="15"/>
  <c r="E110" i="15"/>
  <c r="F110" i="15"/>
  <c r="G110" i="15"/>
  <c r="H110" i="15"/>
  <c r="I110" i="15"/>
  <c r="J110" i="15"/>
  <c r="K110" i="15"/>
  <c r="L110" i="15"/>
  <c r="M110" i="15"/>
  <c r="N110" i="15"/>
  <c r="D111" i="15"/>
  <c r="E111" i="15"/>
  <c r="F111" i="15"/>
  <c r="G111" i="15"/>
  <c r="H111" i="15"/>
  <c r="I111" i="15"/>
  <c r="J111" i="15"/>
  <c r="K111" i="15"/>
  <c r="L111" i="15"/>
  <c r="M111" i="15"/>
  <c r="N111" i="15"/>
  <c r="D112" i="15"/>
  <c r="E112" i="15"/>
  <c r="F112" i="15"/>
  <c r="G112" i="15"/>
  <c r="H112" i="15"/>
  <c r="I112" i="15"/>
  <c r="J112" i="15"/>
  <c r="K112" i="15"/>
  <c r="L112" i="15"/>
  <c r="M112" i="15"/>
  <c r="N112" i="15"/>
  <c r="D113" i="15"/>
  <c r="E113" i="15"/>
  <c r="F113" i="15"/>
  <c r="G113" i="15"/>
  <c r="H113" i="15"/>
  <c r="I113" i="15"/>
  <c r="J113" i="15"/>
  <c r="K113" i="15"/>
  <c r="L113" i="15"/>
  <c r="M113" i="15"/>
  <c r="N113" i="15"/>
  <c r="D114" i="15"/>
  <c r="E114" i="15"/>
  <c r="F114" i="15"/>
  <c r="G114" i="15"/>
  <c r="H114" i="15"/>
  <c r="I114" i="15"/>
  <c r="J114" i="15"/>
  <c r="K114" i="15"/>
  <c r="L114" i="15"/>
  <c r="M114" i="15"/>
  <c r="N114" i="15"/>
  <c r="D115" i="15"/>
  <c r="E115" i="15"/>
  <c r="F115" i="15"/>
  <c r="G115" i="15"/>
  <c r="H115" i="15"/>
  <c r="I115" i="15"/>
  <c r="J115" i="15"/>
  <c r="K115" i="15"/>
  <c r="L115" i="15"/>
  <c r="M115" i="15"/>
  <c r="N115" i="15"/>
  <c r="D117" i="15"/>
  <c r="E117" i="15"/>
  <c r="F117" i="15"/>
  <c r="G117" i="15"/>
  <c r="H117" i="15"/>
  <c r="I117" i="15"/>
  <c r="J117" i="15"/>
  <c r="K117" i="15"/>
  <c r="L117" i="15"/>
  <c r="M117" i="15"/>
  <c r="N117" i="15"/>
  <c r="D118" i="15"/>
  <c r="E118" i="15"/>
  <c r="F118" i="15"/>
  <c r="G118" i="15"/>
  <c r="H118" i="15"/>
  <c r="I118" i="15"/>
  <c r="J118" i="15"/>
  <c r="K118" i="15"/>
  <c r="L118" i="15"/>
  <c r="M118" i="15"/>
  <c r="N118" i="15"/>
  <c r="D119" i="15"/>
  <c r="E119" i="15"/>
  <c r="F119" i="15"/>
  <c r="G119" i="15"/>
  <c r="H119" i="15"/>
  <c r="I119" i="15"/>
  <c r="J119" i="15"/>
  <c r="K119" i="15"/>
  <c r="L119" i="15"/>
  <c r="M119" i="15"/>
  <c r="N119" i="15"/>
  <c r="D121" i="15"/>
  <c r="E121" i="15"/>
  <c r="F121" i="15"/>
  <c r="G121" i="15"/>
  <c r="H121" i="15"/>
  <c r="I121" i="15"/>
  <c r="J121" i="15"/>
  <c r="K121" i="15"/>
  <c r="L121" i="15"/>
  <c r="M121" i="15"/>
  <c r="N121" i="15"/>
  <c r="D122" i="15"/>
  <c r="E122" i="15"/>
  <c r="F122" i="15"/>
  <c r="G122" i="15"/>
  <c r="H122" i="15"/>
  <c r="I122" i="15"/>
  <c r="J122" i="15"/>
  <c r="K122" i="15"/>
  <c r="L122" i="15"/>
  <c r="M122" i="15"/>
  <c r="N122" i="15"/>
  <c r="D124" i="15"/>
  <c r="E124" i="15"/>
  <c r="F124" i="15"/>
  <c r="G124" i="15"/>
  <c r="H124" i="15"/>
  <c r="I124" i="15"/>
  <c r="J124" i="15"/>
  <c r="K124" i="15"/>
  <c r="L124" i="15"/>
  <c r="M124" i="15"/>
  <c r="N124" i="15"/>
  <c r="D125" i="15"/>
  <c r="E125" i="15"/>
  <c r="F125" i="15"/>
  <c r="G125" i="15"/>
  <c r="H125" i="15"/>
  <c r="I125" i="15"/>
  <c r="J125" i="15"/>
  <c r="K125" i="15"/>
  <c r="L125" i="15"/>
  <c r="M125" i="15"/>
  <c r="N125" i="15"/>
  <c r="D127" i="15"/>
  <c r="E127" i="15"/>
  <c r="F127" i="15"/>
  <c r="G127" i="15"/>
  <c r="H127" i="15"/>
  <c r="I127" i="15"/>
  <c r="J127" i="15"/>
  <c r="K127" i="15"/>
  <c r="L127" i="15"/>
  <c r="M127" i="15"/>
  <c r="N127" i="15"/>
  <c r="D128" i="15"/>
  <c r="E128" i="15"/>
  <c r="F128" i="15"/>
  <c r="G128" i="15"/>
  <c r="H128" i="15"/>
  <c r="I128" i="15"/>
  <c r="J128" i="15"/>
  <c r="K128" i="15"/>
  <c r="L128" i="15"/>
  <c r="M128" i="15"/>
  <c r="N128" i="15"/>
  <c r="D129" i="15"/>
  <c r="E129" i="15"/>
  <c r="F129" i="15"/>
  <c r="G129" i="15"/>
  <c r="H129" i="15"/>
  <c r="I129" i="15"/>
  <c r="J129" i="15"/>
  <c r="K129" i="15"/>
  <c r="L129" i="15"/>
  <c r="M129" i="15"/>
  <c r="N129" i="15"/>
  <c r="D131" i="15"/>
  <c r="E131" i="15"/>
  <c r="F131" i="15"/>
  <c r="G131" i="15"/>
  <c r="H131" i="15"/>
  <c r="I131" i="15"/>
  <c r="J131" i="15"/>
  <c r="K131" i="15"/>
  <c r="L131" i="15"/>
  <c r="M131" i="15"/>
  <c r="N131" i="15"/>
  <c r="D132" i="15"/>
  <c r="E132" i="15"/>
  <c r="F132" i="15"/>
  <c r="G132" i="15"/>
  <c r="H132" i="15"/>
  <c r="I132" i="15"/>
  <c r="J132" i="15"/>
  <c r="K132" i="15"/>
  <c r="L132" i="15"/>
  <c r="M132" i="15"/>
  <c r="N132" i="15"/>
  <c r="D134" i="15"/>
  <c r="E134" i="15"/>
  <c r="F134" i="15"/>
  <c r="G134" i="15"/>
  <c r="H134" i="15"/>
  <c r="I134" i="15"/>
  <c r="J134" i="15"/>
  <c r="K134" i="15"/>
  <c r="L134" i="15"/>
  <c r="M134" i="15"/>
  <c r="N134" i="15"/>
  <c r="D135" i="15"/>
  <c r="E135" i="15"/>
  <c r="F135" i="15"/>
  <c r="G135" i="15"/>
  <c r="H135" i="15"/>
  <c r="I135" i="15"/>
  <c r="J135" i="15"/>
  <c r="K135" i="15"/>
  <c r="L135" i="15"/>
  <c r="M135" i="15"/>
  <c r="N135" i="15"/>
  <c r="D136" i="15"/>
  <c r="E136" i="15"/>
  <c r="F136" i="15"/>
  <c r="G136" i="15"/>
  <c r="H136" i="15"/>
  <c r="I136" i="15"/>
  <c r="J136" i="15"/>
  <c r="K136" i="15"/>
  <c r="L136" i="15"/>
  <c r="M136" i="15"/>
  <c r="N136" i="15"/>
  <c r="D137" i="15"/>
  <c r="E137" i="15"/>
  <c r="F137" i="15"/>
  <c r="G137" i="15"/>
  <c r="H137" i="15"/>
  <c r="I137" i="15"/>
  <c r="J137" i="15"/>
  <c r="K137" i="15"/>
  <c r="L137" i="15"/>
  <c r="M137" i="15"/>
  <c r="N137" i="15"/>
  <c r="D138" i="15"/>
  <c r="E138" i="15"/>
  <c r="F138" i="15"/>
  <c r="G138" i="15"/>
  <c r="H138" i="15"/>
  <c r="I138" i="15"/>
  <c r="J138" i="15"/>
  <c r="K138" i="15"/>
  <c r="L138" i="15"/>
  <c r="M138" i="15"/>
  <c r="N138" i="15"/>
  <c r="C138" i="15"/>
  <c r="C137" i="15"/>
  <c r="C136" i="15"/>
  <c r="C135" i="15"/>
  <c r="C134" i="15"/>
  <c r="C132" i="15"/>
  <c r="C131" i="15"/>
  <c r="C129" i="15"/>
  <c r="C128" i="15"/>
  <c r="C127" i="15"/>
  <c r="C125" i="15"/>
  <c r="C124" i="15"/>
  <c r="C122" i="15"/>
  <c r="C121" i="15"/>
  <c r="C119" i="15"/>
  <c r="C118" i="15"/>
  <c r="C117" i="15"/>
  <c r="C107" i="15"/>
  <c r="C108" i="15"/>
  <c r="C109" i="15"/>
  <c r="C110" i="15"/>
  <c r="C111" i="15"/>
  <c r="C112" i="15"/>
  <c r="C113" i="15"/>
  <c r="C114" i="15"/>
  <c r="C115" i="15"/>
  <c r="C106" i="15"/>
  <c r="C101" i="15"/>
  <c r="C102" i="15"/>
  <c r="C103" i="15"/>
  <c r="C104" i="15"/>
  <c r="C100" i="15"/>
  <c r="O86" i="15"/>
  <c r="C54" i="15"/>
  <c r="C52" i="15"/>
  <c r="C51" i="15"/>
  <c r="C49" i="15"/>
  <c r="C46" i="15"/>
  <c r="C45" i="15"/>
  <c r="C44" i="15"/>
  <c r="C42" i="15"/>
  <c r="C41" i="15"/>
  <c r="C36" i="15"/>
  <c r="C36" i="16" s="1"/>
  <c r="C35" i="15"/>
  <c r="C34" i="15"/>
  <c r="C32" i="15"/>
  <c r="C31" i="15"/>
  <c r="C30" i="15"/>
  <c r="C29" i="15"/>
  <c r="C24" i="15"/>
  <c r="C25" i="15"/>
  <c r="C26" i="15"/>
  <c r="C27" i="15"/>
  <c r="C23" i="15"/>
  <c r="O138" i="15"/>
  <c r="O134" i="15"/>
  <c r="C133" i="15"/>
  <c r="O129" i="15"/>
  <c r="O128" i="15"/>
  <c r="O122" i="15"/>
  <c r="O117" i="15"/>
  <c r="O114" i="15"/>
  <c r="O113" i="15"/>
  <c r="O112" i="15"/>
  <c r="O110" i="15"/>
  <c r="O109" i="15"/>
  <c r="O108" i="15"/>
  <c r="O104" i="15"/>
  <c r="O102" i="15"/>
  <c r="O101" i="15"/>
  <c r="O74" i="15"/>
  <c r="O73" i="15"/>
  <c r="O72" i="15"/>
  <c r="O71" i="15"/>
  <c r="O70" i="15"/>
  <c r="O69" i="15"/>
  <c r="O68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2" i="15"/>
  <c r="O46" i="15"/>
  <c r="O45" i="15"/>
  <c r="O44" i="15"/>
  <c r="C43" i="15"/>
  <c r="O42" i="15"/>
  <c r="O41" i="15"/>
  <c r="C40" i="15"/>
  <c r="O36" i="15"/>
  <c r="O35" i="15"/>
  <c r="O34" i="15"/>
  <c r="C33" i="15"/>
  <c r="O32" i="15"/>
  <c r="O31" i="15"/>
  <c r="O30" i="15"/>
  <c r="O29" i="15"/>
  <c r="C28" i="15"/>
  <c r="O27" i="15"/>
  <c r="O26" i="15"/>
  <c r="O25" i="15"/>
  <c r="O24" i="15"/>
  <c r="O23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O22" i="15" s="1"/>
  <c r="O21" i="15"/>
  <c r="O20" i="15"/>
  <c r="O19" i="15"/>
  <c r="O18" i="15"/>
  <c r="O17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O16" i="15" s="1"/>
  <c r="O15" i="15"/>
  <c r="O14" i="15"/>
  <c r="O13" i="15"/>
  <c r="O12" i="15"/>
  <c r="O11" i="15"/>
  <c r="O10" i="15"/>
  <c r="N9" i="15"/>
  <c r="M9" i="15"/>
  <c r="L9" i="15"/>
  <c r="K9" i="15"/>
  <c r="J9" i="15"/>
  <c r="I9" i="15"/>
  <c r="H9" i="15"/>
  <c r="G9" i="15"/>
  <c r="F9" i="15"/>
  <c r="E9" i="15"/>
  <c r="D9" i="15"/>
  <c r="C9" i="15"/>
  <c r="O9" i="15" s="1"/>
  <c r="D23" i="14"/>
  <c r="E23" i="14"/>
  <c r="F23" i="14"/>
  <c r="G23" i="14"/>
  <c r="H23" i="14"/>
  <c r="I23" i="14"/>
  <c r="J23" i="14"/>
  <c r="K23" i="14"/>
  <c r="L23" i="14"/>
  <c r="M23" i="14"/>
  <c r="N23" i="14"/>
  <c r="D24" i="14"/>
  <c r="E24" i="14"/>
  <c r="F24" i="14"/>
  <c r="G24" i="14"/>
  <c r="H24" i="14"/>
  <c r="I24" i="14"/>
  <c r="J24" i="14"/>
  <c r="K24" i="14"/>
  <c r="L24" i="14"/>
  <c r="M24" i="14"/>
  <c r="N24" i="14"/>
  <c r="D25" i="14"/>
  <c r="E25" i="14"/>
  <c r="F25" i="14"/>
  <c r="G25" i="14"/>
  <c r="H25" i="14"/>
  <c r="I25" i="14"/>
  <c r="J25" i="14"/>
  <c r="K25" i="14"/>
  <c r="L25" i="14"/>
  <c r="M25" i="14"/>
  <c r="N25" i="14"/>
  <c r="D26" i="14"/>
  <c r="E26" i="14"/>
  <c r="F26" i="14"/>
  <c r="G26" i="14"/>
  <c r="H26" i="14"/>
  <c r="I26" i="14"/>
  <c r="J26" i="14"/>
  <c r="K26" i="14"/>
  <c r="L26" i="14"/>
  <c r="M26" i="14"/>
  <c r="N26" i="14"/>
  <c r="D27" i="14"/>
  <c r="E27" i="14"/>
  <c r="F27" i="14"/>
  <c r="G27" i="14"/>
  <c r="H27" i="14"/>
  <c r="I27" i="14"/>
  <c r="J27" i="14"/>
  <c r="K27" i="14"/>
  <c r="L27" i="14"/>
  <c r="M27" i="14"/>
  <c r="N27" i="14"/>
  <c r="D29" i="14"/>
  <c r="E29" i="14"/>
  <c r="F29" i="14"/>
  <c r="G29" i="14"/>
  <c r="H29" i="14"/>
  <c r="I29" i="14"/>
  <c r="J29" i="14"/>
  <c r="K29" i="14"/>
  <c r="L29" i="14"/>
  <c r="M29" i="14"/>
  <c r="N29" i="14"/>
  <c r="D30" i="14"/>
  <c r="E30" i="14"/>
  <c r="F30" i="14"/>
  <c r="G30" i="14"/>
  <c r="H30" i="14"/>
  <c r="I30" i="14"/>
  <c r="J30" i="14"/>
  <c r="K30" i="14"/>
  <c r="L30" i="14"/>
  <c r="M30" i="14"/>
  <c r="N30" i="14"/>
  <c r="D31" i="14"/>
  <c r="E31" i="14"/>
  <c r="F31" i="14"/>
  <c r="G31" i="14"/>
  <c r="H31" i="14"/>
  <c r="I31" i="14"/>
  <c r="J31" i="14"/>
  <c r="K31" i="14"/>
  <c r="L31" i="14"/>
  <c r="M31" i="14"/>
  <c r="N31" i="14"/>
  <c r="D32" i="14"/>
  <c r="E32" i="14"/>
  <c r="F32" i="14"/>
  <c r="G32" i="14"/>
  <c r="H32" i="14"/>
  <c r="I32" i="14"/>
  <c r="J32" i="14"/>
  <c r="K32" i="14"/>
  <c r="L32" i="14"/>
  <c r="M32" i="14"/>
  <c r="N32" i="14"/>
  <c r="D34" i="14"/>
  <c r="E34" i="14"/>
  <c r="F34" i="14"/>
  <c r="G34" i="14"/>
  <c r="H34" i="14"/>
  <c r="I34" i="14"/>
  <c r="J34" i="14"/>
  <c r="K34" i="14"/>
  <c r="L34" i="14"/>
  <c r="M34" i="14"/>
  <c r="N34" i="14"/>
  <c r="D35" i="14"/>
  <c r="E35" i="14"/>
  <c r="F35" i="14"/>
  <c r="G35" i="14"/>
  <c r="H35" i="14"/>
  <c r="I35" i="14"/>
  <c r="J35" i="14"/>
  <c r="K35" i="14"/>
  <c r="L35" i="14"/>
  <c r="M35" i="14"/>
  <c r="N35" i="14"/>
  <c r="D36" i="14"/>
  <c r="E36" i="14"/>
  <c r="F36" i="14"/>
  <c r="G36" i="14"/>
  <c r="H36" i="14"/>
  <c r="I36" i="14"/>
  <c r="J36" i="14"/>
  <c r="K36" i="14"/>
  <c r="L36" i="14"/>
  <c r="M36" i="14"/>
  <c r="N36" i="14"/>
  <c r="D38" i="14"/>
  <c r="D38" i="16" s="1"/>
  <c r="E38" i="14"/>
  <c r="E38" i="16" s="1"/>
  <c r="F38" i="14"/>
  <c r="F38" i="16" s="1"/>
  <c r="G38" i="14"/>
  <c r="G38" i="16" s="1"/>
  <c r="H38" i="14"/>
  <c r="H38" i="16" s="1"/>
  <c r="I38" i="14"/>
  <c r="I38" i="16" s="1"/>
  <c r="J38" i="14"/>
  <c r="J38" i="16" s="1"/>
  <c r="K38" i="14"/>
  <c r="K38" i="16" s="1"/>
  <c r="L38" i="14"/>
  <c r="L38" i="16" s="1"/>
  <c r="M38" i="14"/>
  <c r="M38" i="16" s="1"/>
  <c r="N38" i="14"/>
  <c r="N38" i="16" s="1"/>
  <c r="D39" i="14"/>
  <c r="D39" i="16" s="1"/>
  <c r="E39" i="14"/>
  <c r="E39" i="16" s="1"/>
  <c r="F39" i="14"/>
  <c r="F39" i="16" s="1"/>
  <c r="G39" i="14"/>
  <c r="G39" i="16" s="1"/>
  <c r="H39" i="14"/>
  <c r="H39" i="16" s="1"/>
  <c r="I39" i="14"/>
  <c r="I39" i="16" s="1"/>
  <c r="J39" i="14"/>
  <c r="J39" i="16" s="1"/>
  <c r="K39" i="14"/>
  <c r="K39" i="16" s="1"/>
  <c r="L39" i="14"/>
  <c r="L39" i="16" s="1"/>
  <c r="M39" i="14"/>
  <c r="M39" i="16" s="1"/>
  <c r="N39" i="14"/>
  <c r="D41" i="14"/>
  <c r="E41" i="14"/>
  <c r="F41" i="14"/>
  <c r="G41" i="14"/>
  <c r="H41" i="14"/>
  <c r="I41" i="14"/>
  <c r="J41" i="14"/>
  <c r="K41" i="14"/>
  <c r="L41" i="14"/>
  <c r="M41" i="14"/>
  <c r="N41" i="14"/>
  <c r="D42" i="14"/>
  <c r="E42" i="14"/>
  <c r="F42" i="14"/>
  <c r="G42" i="14"/>
  <c r="H42" i="14"/>
  <c r="I42" i="14"/>
  <c r="J42" i="14"/>
  <c r="K42" i="14"/>
  <c r="L42" i="14"/>
  <c r="M42" i="14"/>
  <c r="N42" i="14"/>
  <c r="D44" i="14"/>
  <c r="E44" i="14"/>
  <c r="F44" i="14"/>
  <c r="G44" i="14"/>
  <c r="H44" i="14"/>
  <c r="I44" i="14"/>
  <c r="J44" i="14"/>
  <c r="K44" i="14"/>
  <c r="L44" i="14"/>
  <c r="M44" i="14"/>
  <c r="N44" i="14"/>
  <c r="D45" i="14"/>
  <c r="E45" i="14"/>
  <c r="F45" i="14"/>
  <c r="G45" i="14"/>
  <c r="H45" i="14"/>
  <c r="I45" i="14"/>
  <c r="J45" i="14"/>
  <c r="K45" i="14"/>
  <c r="L45" i="14"/>
  <c r="M45" i="14"/>
  <c r="N45" i="14"/>
  <c r="D46" i="14"/>
  <c r="E46" i="14"/>
  <c r="F46" i="14"/>
  <c r="G46" i="14"/>
  <c r="H46" i="14"/>
  <c r="I46" i="14"/>
  <c r="J46" i="14"/>
  <c r="K46" i="14"/>
  <c r="L46" i="14"/>
  <c r="M46" i="14"/>
  <c r="N46" i="14"/>
  <c r="D49" i="14"/>
  <c r="D48" i="14" s="1"/>
  <c r="E49" i="14"/>
  <c r="E48" i="14" s="1"/>
  <c r="F49" i="14"/>
  <c r="F48" i="14" s="1"/>
  <c r="G49" i="14"/>
  <c r="G48" i="14" s="1"/>
  <c r="H49" i="14"/>
  <c r="H48" i="14" s="1"/>
  <c r="I49" i="14"/>
  <c r="I48" i="14" s="1"/>
  <c r="J49" i="14"/>
  <c r="J48" i="14" s="1"/>
  <c r="K49" i="14"/>
  <c r="K48" i="14" s="1"/>
  <c r="L49" i="14"/>
  <c r="L48" i="14" s="1"/>
  <c r="M49" i="14"/>
  <c r="M48" i="14" s="1"/>
  <c r="N49" i="14"/>
  <c r="N48" i="14" s="1"/>
  <c r="D51" i="14"/>
  <c r="E51" i="14"/>
  <c r="F51" i="14"/>
  <c r="G51" i="14"/>
  <c r="H51" i="14"/>
  <c r="I51" i="14"/>
  <c r="J51" i="14"/>
  <c r="K51" i="14"/>
  <c r="L51" i="14"/>
  <c r="M51" i="14"/>
  <c r="N51" i="14"/>
  <c r="E52" i="14"/>
  <c r="F52" i="14"/>
  <c r="G52" i="14"/>
  <c r="H52" i="14"/>
  <c r="I52" i="14"/>
  <c r="J52" i="14"/>
  <c r="K52" i="14"/>
  <c r="L52" i="14"/>
  <c r="M52" i="14"/>
  <c r="N52" i="14"/>
  <c r="E54" i="14"/>
  <c r="E54" i="16" s="1"/>
  <c r="F54" i="14"/>
  <c r="F54" i="16" s="1"/>
  <c r="G54" i="14"/>
  <c r="G54" i="16" s="1"/>
  <c r="H54" i="14"/>
  <c r="H54" i="16" s="1"/>
  <c r="I54" i="14"/>
  <c r="I54" i="16" s="1"/>
  <c r="J54" i="14"/>
  <c r="J54" i="16" s="1"/>
  <c r="K54" i="14"/>
  <c r="K54" i="16" s="1"/>
  <c r="L54" i="14"/>
  <c r="L54" i="16" s="1"/>
  <c r="M54" i="14"/>
  <c r="M54" i="16" s="1"/>
  <c r="N54" i="14"/>
  <c r="N54" i="16" s="1"/>
  <c r="D55" i="14"/>
  <c r="D55" i="16" s="1"/>
  <c r="E55" i="14"/>
  <c r="E55" i="16" s="1"/>
  <c r="F55" i="14"/>
  <c r="F55" i="16" s="1"/>
  <c r="G55" i="14"/>
  <c r="G55" i="16" s="1"/>
  <c r="H55" i="14"/>
  <c r="H55" i="16" s="1"/>
  <c r="I55" i="14"/>
  <c r="I55" i="16" s="1"/>
  <c r="J55" i="14"/>
  <c r="J55" i="16" s="1"/>
  <c r="K55" i="14"/>
  <c r="K55" i="16" s="1"/>
  <c r="L55" i="14"/>
  <c r="L55" i="16" s="1"/>
  <c r="M55" i="14"/>
  <c r="M55" i="16" s="1"/>
  <c r="N55" i="14"/>
  <c r="N55" i="16" s="1"/>
  <c r="D56" i="14"/>
  <c r="D56" i="16" s="1"/>
  <c r="E56" i="14"/>
  <c r="E56" i="16" s="1"/>
  <c r="F56" i="14"/>
  <c r="F56" i="16" s="1"/>
  <c r="G56" i="14"/>
  <c r="G56" i="16" s="1"/>
  <c r="H56" i="14"/>
  <c r="H56" i="16" s="1"/>
  <c r="I56" i="14"/>
  <c r="I56" i="16" s="1"/>
  <c r="J56" i="14"/>
  <c r="J56" i="16" s="1"/>
  <c r="K56" i="14"/>
  <c r="K56" i="16" s="1"/>
  <c r="L56" i="14"/>
  <c r="L56" i="16" s="1"/>
  <c r="M56" i="14"/>
  <c r="M56" i="16" s="1"/>
  <c r="N56" i="14"/>
  <c r="N56" i="16" s="1"/>
  <c r="D57" i="14"/>
  <c r="D57" i="16" s="1"/>
  <c r="E57" i="14"/>
  <c r="E57" i="16" s="1"/>
  <c r="F57" i="14"/>
  <c r="F57" i="16" s="1"/>
  <c r="G57" i="14"/>
  <c r="G57" i="16" s="1"/>
  <c r="H57" i="14"/>
  <c r="H57" i="16" s="1"/>
  <c r="I57" i="14"/>
  <c r="I57" i="16" s="1"/>
  <c r="J57" i="14"/>
  <c r="J57" i="16" s="1"/>
  <c r="K57" i="14"/>
  <c r="K57" i="16" s="1"/>
  <c r="L57" i="14"/>
  <c r="L57" i="16" s="1"/>
  <c r="M57" i="14"/>
  <c r="M57" i="16" s="1"/>
  <c r="N57" i="14"/>
  <c r="N57" i="16" s="1"/>
  <c r="D58" i="14"/>
  <c r="D58" i="16" s="1"/>
  <c r="E58" i="14"/>
  <c r="E58" i="16" s="1"/>
  <c r="F58" i="14"/>
  <c r="F58" i="16" s="1"/>
  <c r="G58" i="14"/>
  <c r="G58" i="16" s="1"/>
  <c r="H58" i="14"/>
  <c r="H58" i="16" s="1"/>
  <c r="I58" i="14"/>
  <c r="I58" i="16" s="1"/>
  <c r="J58" i="14"/>
  <c r="J58" i="16" s="1"/>
  <c r="K58" i="14"/>
  <c r="K58" i="16" s="1"/>
  <c r="L58" i="14"/>
  <c r="L58" i="16" s="1"/>
  <c r="M58" i="14"/>
  <c r="M58" i="16" s="1"/>
  <c r="N58" i="14"/>
  <c r="N58" i="16" s="1"/>
  <c r="D59" i="14"/>
  <c r="D59" i="16" s="1"/>
  <c r="E59" i="14"/>
  <c r="E59" i="16" s="1"/>
  <c r="F59" i="14"/>
  <c r="F59" i="16" s="1"/>
  <c r="G59" i="14"/>
  <c r="G59" i="16" s="1"/>
  <c r="H59" i="14"/>
  <c r="H59" i="16" s="1"/>
  <c r="I59" i="14"/>
  <c r="I59" i="16" s="1"/>
  <c r="J59" i="14"/>
  <c r="J59" i="16" s="1"/>
  <c r="K59" i="14"/>
  <c r="K59" i="16" s="1"/>
  <c r="L59" i="14"/>
  <c r="L59" i="16" s="1"/>
  <c r="M59" i="14"/>
  <c r="M59" i="16" s="1"/>
  <c r="N59" i="14"/>
  <c r="N59" i="16" s="1"/>
  <c r="D60" i="14"/>
  <c r="D60" i="16" s="1"/>
  <c r="E60" i="14"/>
  <c r="E60" i="16" s="1"/>
  <c r="F60" i="14"/>
  <c r="F60" i="16" s="1"/>
  <c r="G60" i="14"/>
  <c r="G60" i="16" s="1"/>
  <c r="H60" i="14"/>
  <c r="H60" i="16" s="1"/>
  <c r="I60" i="14"/>
  <c r="I60" i="16" s="1"/>
  <c r="J60" i="14"/>
  <c r="J60" i="16" s="1"/>
  <c r="K60" i="14"/>
  <c r="K60" i="16" s="1"/>
  <c r="L60" i="14"/>
  <c r="L60" i="16" s="1"/>
  <c r="M60" i="14"/>
  <c r="M60" i="16" s="1"/>
  <c r="N60" i="14"/>
  <c r="N60" i="16" s="1"/>
  <c r="D61" i="14"/>
  <c r="D61" i="16" s="1"/>
  <c r="E61" i="14"/>
  <c r="E61" i="16" s="1"/>
  <c r="F61" i="14"/>
  <c r="F61" i="16" s="1"/>
  <c r="G61" i="14"/>
  <c r="G61" i="16" s="1"/>
  <c r="H61" i="14"/>
  <c r="H61" i="16" s="1"/>
  <c r="I61" i="14"/>
  <c r="I61" i="16" s="1"/>
  <c r="J61" i="14"/>
  <c r="J61" i="16" s="1"/>
  <c r="K61" i="14"/>
  <c r="K61" i="16" s="1"/>
  <c r="L61" i="14"/>
  <c r="L61" i="16" s="1"/>
  <c r="M61" i="14"/>
  <c r="M61" i="16" s="1"/>
  <c r="N61" i="14"/>
  <c r="N61" i="16" s="1"/>
  <c r="D62" i="14"/>
  <c r="D62" i="16" s="1"/>
  <c r="E62" i="14"/>
  <c r="E62" i="16" s="1"/>
  <c r="F62" i="14"/>
  <c r="F62" i="16" s="1"/>
  <c r="G62" i="14"/>
  <c r="G62" i="16" s="1"/>
  <c r="H62" i="14"/>
  <c r="H62" i="16" s="1"/>
  <c r="I62" i="14"/>
  <c r="I62" i="16" s="1"/>
  <c r="J62" i="14"/>
  <c r="J62" i="16" s="1"/>
  <c r="K62" i="14"/>
  <c r="K62" i="16" s="1"/>
  <c r="L62" i="14"/>
  <c r="L62" i="16" s="1"/>
  <c r="M62" i="14"/>
  <c r="M62" i="16" s="1"/>
  <c r="N62" i="14"/>
  <c r="N62" i="16" s="1"/>
  <c r="D63" i="14"/>
  <c r="D63" i="16" s="1"/>
  <c r="E63" i="14"/>
  <c r="E63" i="16" s="1"/>
  <c r="F63" i="14"/>
  <c r="F63" i="16" s="1"/>
  <c r="G63" i="14"/>
  <c r="G63" i="16" s="1"/>
  <c r="H63" i="14"/>
  <c r="H63" i="16" s="1"/>
  <c r="I63" i="14"/>
  <c r="I63" i="16" s="1"/>
  <c r="J63" i="14"/>
  <c r="J63" i="16" s="1"/>
  <c r="K63" i="14"/>
  <c r="K63" i="16" s="1"/>
  <c r="L63" i="14"/>
  <c r="L63" i="16" s="1"/>
  <c r="M63" i="14"/>
  <c r="M63" i="16" s="1"/>
  <c r="N63" i="14"/>
  <c r="N63" i="16" s="1"/>
  <c r="D64" i="14"/>
  <c r="D64" i="16" s="1"/>
  <c r="E64" i="14"/>
  <c r="E64" i="16" s="1"/>
  <c r="F64" i="14"/>
  <c r="F64" i="16" s="1"/>
  <c r="G64" i="14"/>
  <c r="G64" i="16" s="1"/>
  <c r="H64" i="14"/>
  <c r="H64" i="16" s="1"/>
  <c r="I64" i="14"/>
  <c r="I64" i="16" s="1"/>
  <c r="J64" i="14"/>
  <c r="J64" i="16" s="1"/>
  <c r="K64" i="14"/>
  <c r="K64" i="16" s="1"/>
  <c r="L64" i="14"/>
  <c r="L64" i="16" s="1"/>
  <c r="M64" i="14"/>
  <c r="M64" i="16" s="1"/>
  <c r="N64" i="14"/>
  <c r="N64" i="16" s="1"/>
  <c r="D65" i="14"/>
  <c r="D65" i="16" s="1"/>
  <c r="E65" i="14"/>
  <c r="E65" i="16" s="1"/>
  <c r="F65" i="14"/>
  <c r="F65" i="16" s="1"/>
  <c r="G65" i="14"/>
  <c r="G65" i="16" s="1"/>
  <c r="H65" i="14"/>
  <c r="H65" i="16" s="1"/>
  <c r="I65" i="14"/>
  <c r="I65" i="16" s="1"/>
  <c r="J65" i="14"/>
  <c r="J65" i="16" s="1"/>
  <c r="K65" i="14"/>
  <c r="K65" i="16" s="1"/>
  <c r="L65" i="14"/>
  <c r="L65" i="16" s="1"/>
  <c r="M65" i="14"/>
  <c r="M65" i="16" s="1"/>
  <c r="N65" i="14"/>
  <c r="N65" i="16" s="1"/>
  <c r="D66" i="14"/>
  <c r="D66" i="16" s="1"/>
  <c r="E66" i="14"/>
  <c r="E66" i="16" s="1"/>
  <c r="F66" i="14"/>
  <c r="F66" i="16" s="1"/>
  <c r="G66" i="14"/>
  <c r="G66" i="16" s="1"/>
  <c r="H66" i="14"/>
  <c r="H66" i="16" s="1"/>
  <c r="I66" i="14"/>
  <c r="I66" i="16" s="1"/>
  <c r="J66" i="14"/>
  <c r="J66" i="16" s="1"/>
  <c r="K66" i="14"/>
  <c r="K66" i="16" s="1"/>
  <c r="L66" i="14"/>
  <c r="L66" i="16" s="1"/>
  <c r="M66" i="14"/>
  <c r="M66" i="16" s="1"/>
  <c r="N66" i="14"/>
  <c r="N66" i="16" s="1"/>
  <c r="D67" i="14"/>
  <c r="D67" i="16" s="1"/>
  <c r="G67" i="14"/>
  <c r="G67" i="16" s="1"/>
  <c r="H67" i="14"/>
  <c r="H67" i="16" s="1"/>
  <c r="I67" i="14"/>
  <c r="I67" i="16" s="1"/>
  <c r="J67" i="14"/>
  <c r="J67" i="16" s="1"/>
  <c r="K67" i="14"/>
  <c r="K67" i="16" s="1"/>
  <c r="L67" i="14"/>
  <c r="L67" i="16" s="1"/>
  <c r="M67" i="14"/>
  <c r="M67" i="16" s="1"/>
  <c r="N67" i="14"/>
  <c r="N67" i="16" s="1"/>
  <c r="D68" i="14"/>
  <c r="D68" i="16" s="1"/>
  <c r="E68" i="14"/>
  <c r="E68" i="16" s="1"/>
  <c r="F68" i="14"/>
  <c r="F68" i="16" s="1"/>
  <c r="G68" i="14"/>
  <c r="G68" i="16" s="1"/>
  <c r="H68" i="14"/>
  <c r="H68" i="16" s="1"/>
  <c r="I68" i="14"/>
  <c r="I68" i="16" s="1"/>
  <c r="J68" i="14"/>
  <c r="J68" i="16" s="1"/>
  <c r="K68" i="14"/>
  <c r="K68" i="16" s="1"/>
  <c r="L68" i="14"/>
  <c r="L68" i="16" s="1"/>
  <c r="M68" i="14"/>
  <c r="M68" i="16" s="1"/>
  <c r="N68" i="14"/>
  <c r="N68" i="16" s="1"/>
  <c r="D69" i="14"/>
  <c r="D69" i="16" s="1"/>
  <c r="E69" i="14"/>
  <c r="E69" i="16" s="1"/>
  <c r="F69" i="14"/>
  <c r="F69" i="16" s="1"/>
  <c r="G69" i="14"/>
  <c r="G69" i="16" s="1"/>
  <c r="H69" i="14"/>
  <c r="H69" i="16" s="1"/>
  <c r="I69" i="14"/>
  <c r="I69" i="16" s="1"/>
  <c r="J69" i="14"/>
  <c r="J69" i="16" s="1"/>
  <c r="K69" i="14"/>
  <c r="K69" i="16" s="1"/>
  <c r="L69" i="14"/>
  <c r="L69" i="16" s="1"/>
  <c r="M69" i="14"/>
  <c r="M69" i="16" s="1"/>
  <c r="N69" i="14"/>
  <c r="N69" i="16" s="1"/>
  <c r="D70" i="14"/>
  <c r="D70" i="16" s="1"/>
  <c r="E70" i="14"/>
  <c r="E70" i="16" s="1"/>
  <c r="G70" i="14"/>
  <c r="G70" i="16" s="1"/>
  <c r="H70" i="14"/>
  <c r="H70" i="16" s="1"/>
  <c r="I70" i="14"/>
  <c r="I70" i="16" s="1"/>
  <c r="J70" i="14"/>
  <c r="J70" i="16" s="1"/>
  <c r="K70" i="14"/>
  <c r="K70" i="16" s="1"/>
  <c r="L70" i="14"/>
  <c r="L70" i="16" s="1"/>
  <c r="M70" i="14"/>
  <c r="M70" i="16" s="1"/>
  <c r="N70" i="14"/>
  <c r="N70" i="16" s="1"/>
  <c r="D71" i="14"/>
  <c r="D71" i="16" s="1"/>
  <c r="E71" i="14"/>
  <c r="E71" i="16" s="1"/>
  <c r="G71" i="14"/>
  <c r="G71" i="16" s="1"/>
  <c r="H71" i="14"/>
  <c r="H71" i="16" s="1"/>
  <c r="I71" i="14"/>
  <c r="I71" i="16" s="1"/>
  <c r="J71" i="14"/>
  <c r="J71" i="16" s="1"/>
  <c r="K71" i="14"/>
  <c r="K71" i="16" s="1"/>
  <c r="L71" i="14"/>
  <c r="L71" i="16" s="1"/>
  <c r="M71" i="14"/>
  <c r="M71" i="16" s="1"/>
  <c r="N71" i="14"/>
  <c r="N71" i="16" s="1"/>
  <c r="D72" i="14"/>
  <c r="D72" i="16" s="1"/>
  <c r="E72" i="14"/>
  <c r="E72" i="16" s="1"/>
  <c r="F72" i="14"/>
  <c r="F72" i="16" s="1"/>
  <c r="G72" i="14"/>
  <c r="G72" i="16" s="1"/>
  <c r="H72" i="14"/>
  <c r="H72" i="16" s="1"/>
  <c r="I72" i="14"/>
  <c r="I72" i="16" s="1"/>
  <c r="J72" i="14"/>
  <c r="J72" i="16" s="1"/>
  <c r="K72" i="14"/>
  <c r="K72" i="16" s="1"/>
  <c r="L72" i="14"/>
  <c r="L72" i="16" s="1"/>
  <c r="M72" i="14"/>
  <c r="M72" i="16" s="1"/>
  <c r="N72" i="14"/>
  <c r="N72" i="16" s="1"/>
  <c r="D73" i="14"/>
  <c r="D73" i="16" s="1"/>
  <c r="E73" i="14"/>
  <c r="E73" i="16" s="1"/>
  <c r="F73" i="14"/>
  <c r="F73" i="16" s="1"/>
  <c r="G73" i="14"/>
  <c r="G73" i="16" s="1"/>
  <c r="H73" i="14"/>
  <c r="H73" i="16" s="1"/>
  <c r="I73" i="14"/>
  <c r="I73" i="16" s="1"/>
  <c r="J73" i="14"/>
  <c r="J73" i="16" s="1"/>
  <c r="K73" i="14"/>
  <c r="K73" i="16" s="1"/>
  <c r="L73" i="14"/>
  <c r="L73" i="16" s="1"/>
  <c r="M73" i="14"/>
  <c r="M73" i="16" s="1"/>
  <c r="N73" i="14"/>
  <c r="N73" i="16" s="1"/>
  <c r="D74" i="14"/>
  <c r="D74" i="16" s="1"/>
  <c r="E74" i="14"/>
  <c r="E74" i="16" s="1"/>
  <c r="F74" i="14"/>
  <c r="F74" i="16" s="1"/>
  <c r="G74" i="14"/>
  <c r="G74" i="16" s="1"/>
  <c r="H74" i="14"/>
  <c r="H74" i="16" s="1"/>
  <c r="I74" i="14"/>
  <c r="I74" i="16" s="1"/>
  <c r="J74" i="14"/>
  <c r="J74" i="16" s="1"/>
  <c r="K74" i="14"/>
  <c r="K74" i="16" s="1"/>
  <c r="L74" i="14"/>
  <c r="L74" i="16" s="1"/>
  <c r="M74" i="14"/>
  <c r="M74" i="16" s="1"/>
  <c r="N74" i="14"/>
  <c r="N74" i="16" s="1"/>
  <c r="D76" i="14"/>
  <c r="D76" i="16" s="1"/>
  <c r="E76" i="14"/>
  <c r="E76" i="16" s="1"/>
  <c r="F76" i="14"/>
  <c r="F76" i="16" s="1"/>
  <c r="G76" i="14"/>
  <c r="G76" i="16" s="1"/>
  <c r="H76" i="14"/>
  <c r="H76" i="16" s="1"/>
  <c r="I76" i="14"/>
  <c r="I76" i="16" s="1"/>
  <c r="J76" i="14"/>
  <c r="J76" i="16" s="1"/>
  <c r="K76" i="14"/>
  <c r="K76" i="16" s="1"/>
  <c r="L76" i="14"/>
  <c r="L76" i="16" s="1"/>
  <c r="M76" i="14"/>
  <c r="M76" i="16" s="1"/>
  <c r="N76" i="14"/>
  <c r="N76" i="16" s="1"/>
  <c r="D77" i="14"/>
  <c r="D77" i="16" s="1"/>
  <c r="E77" i="14"/>
  <c r="E77" i="16" s="1"/>
  <c r="F77" i="14"/>
  <c r="F77" i="16" s="1"/>
  <c r="G77" i="14"/>
  <c r="G77" i="16" s="1"/>
  <c r="H77" i="14"/>
  <c r="H77" i="16" s="1"/>
  <c r="I77" i="14"/>
  <c r="I77" i="16" s="1"/>
  <c r="J77" i="14"/>
  <c r="J77" i="16" s="1"/>
  <c r="K77" i="14"/>
  <c r="K77" i="16" s="1"/>
  <c r="L77" i="14"/>
  <c r="L77" i="16" s="1"/>
  <c r="M77" i="14"/>
  <c r="M77" i="16" s="1"/>
  <c r="N77" i="14"/>
  <c r="N77" i="16" s="1"/>
  <c r="D78" i="14"/>
  <c r="D78" i="16" s="1"/>
  <c r="E78" i="14"/>
  <c r="E78" i="16" s="1"/>
  <c r="F78" i="14"/>
  <c r="F78" i="16" s="1"/>
  <c r="G78" i="14"/>
  <c r="G78" i="16" s="1"/>
  <c r="H78" i="14"/>
  <c r="H78" i="16" s="1"/>
  <c r="I78" i="14"/>
  <c r="I78" i="16" s="1"/>
  <c r="J78" i="14"/>
  <c r="J78" i="16" s="1"/>
  <c r="K78" i="14"/>
  <c r="K78" i="16" s="1"/>
  <c r="L78" i="14"/>
  <c r="L78" i="16" s="1"/>
  <c r="M78" i="14"/>
  <c r="M78" i="16" s="1"/>
  <c r="N78" i="14"/>
  <c r="N78" i="16" s="1"/>
  <c r="D79" i="14"/>
  <c r="D79" i="16" s="1"/>
  <c r="E79" i="14"/>
  <c r="E79" i="16" s="1"/>
  <c r="F79" i="14"/>
  <c r="F79" i="16" s="1"/>
  <c r="G79" i="14"/>
  <c r="G79" i="16" s="1"/>
  <c r="H79" i="14"/>
  <c r="H79" i="16" s="1"/>
  <c r="I79" i="14"/>
  <c r="I79" i="16" s="1"/>
  <c r="J79" i="14"/>
  <c r="J79" i="16" s="1"/>
  <c r="K79" i="14"/>
  <c r="K79" i="16" s="1"/>
  <c r="L79" i="14"/>
  <c r="L79" i="16" s="1"/>
  <c r="M79" i="14"/>
  <c r="M79" i="16" s="1"/>
  <c r="N79" i="14"/>
  <c r="N79" i="16" s="1"/>
  <c r="D80" i="14"/>
  <c r="D80" i="16" s="1"/>
  <c r="E80" i="14"/>
  <c r="E80" i="16" s="1"/>
  <c r="F80" i="14"/>
  <c r="F80" i="16" s="1"/>
  <c r="G80" i="14"/>
  <c r="G80" i="16" s="1"/>
  <c r="H80" i="14"/>
  <c r="H80" i="16" s="1"/>
  <c r="I80" i="14"/>
  <c r="I80" i="16" s="1"/>
  <c r="J80" i="14"/>
  <c r="J80" i="16" s="1"/>
  <c r="K80" i="14"/>
  <c r="K80" i="16" s="1"/>
  <c r="L80" i="14"/>
  <c r="L80" i="16" s="1"/>
  <c r="M80" i="14"/>
  <c r="M80" i="16" s="1"/>
  <c r="N80" i="14"/>
  <c r="N80" i="16" s="1"/>
  <c r="D81" i="14"/>
  <c r="D81" i="16" s="1"/>
  <c r="E81" i="14"/>
  <c r="E81" i="16" s="1"/>
  <c r="F81" i="14"/>
  <c r="F81" i="16" s="1"/>
  <c r="G81" i="14"/>
  <c r="G81" i="16" s="1"/>
  <c r="H81" i="14"/>
  <c r="H81" i="16" s="1"/>
  <c r="I81" i="14"/>
  <c r="I81" i="16" s="1"/>
  <c r="J81" i="14"/>
  <c r="J81" i="16" s="1"/>
  <c r="K81" i="14"/>
  <c r="K81" i="16" s="1"/>
  <c r="L81" i="14"/>
  <c r="L81" i="16" s="1"/>
  <c r="M81" i="14"/>
  <c r="M81" i="16" s="1"/>
  <c r="N81" i="14"/>
  <c r="N81" i="16" s="1"/>
  <c r="D82" i="14"/>
  <c r="D82" i="16" s="1"/>
  <c r="E82" i="14"/>
  <c r="E82" i="16" s="1"/>
  <c r="F82" i="14"/>
  <c r="F82" i="16" s="1"/>
  <c r="G82" i="14"/>
  <c r="G82" i="16" s="1"/>
  <c r="H82" i="14"/>
  <c r="H82" i="16" s="1"/>
  <c r="I82" i="14"/>
  <c r="I82" i="16" s="1"/>
  <c r="J82" i="14"/>
  <c r="J82" i="16" s="1"/>
  <c r="K82" i="14"/>
  <c r="K82" i="16" s="1"/>
  <c r="L82" i="14"/>
  <c r="L82" i="16" s="1"/>
  <c r="M82" i="14"/>
  <c r="M82" i="16" s="1"/>
  <c r="N82" i="14"/>
  <c r="N82" i="16" s="1"/>
  <c r="D83" i="14"/>
  <c r="D83" i="16" s="1"/>
  <c r="E83" i="14"/>
  <c r="E83" i="16" s="1"/>
  <c r="F83" i="14"/>
  <c r="F83" i="16" s="1"/>
  <c r="G83" i="14"/>
  <c r="G83" i="16" s="1"/>
  <c r="H83" i="14"/>
  <c r="H83" i="16" s="1"/>
  <c r="I83" i="14"/>
  <c r="I83" i="16" s="1"/>
  <c r="J83" i="14"/>
  <c r="J83" i="16" s="1"/>
  <c r="K83" i="14"/>
  <c r="K83" i="16" s="1"/>
  <c r="L83" i="14"/>
  <c r="L83" i="16" s="1"/>
  <c r="M83" i="14"/>
  <c r="M83" i="16" s="1"/>
  <c r="N83" i="14"/>
  <c r="N83" i="16" s="1"/>
  <c r="D84" i="14"/>
  <c r="D84" i="16" s="1"/>
  <c r="E84" i="14"/>
  <c r="E84" i="16" s="1"/>
  <c r="F84" i="14"/>
  <c r="F84" i="16" s="1"/>
  <c r="G84" i="14"/>
  <c r="G84" i="16" s="1"/>
  <c r="H84" i="14"/>
  <c r="H84" i="16" s="1"/>
  <c r="I84" i="14"/>
  <c r="I84" i="16" s="1"/>
  <c r="J84" i="14"/>
  <c r="J84" i="16" s="1"/>
  <c r="K84" i="14"/>
  <c r="K84" i="16" s="1"/>
  <c r="L84" i="14"/>
  <c r="L84" i="16" s="1"/>
  <c r="M84" i="14"/>
  <c r="M84" i="16" s="1"/>
  <c r="N84" i="14"/>
  <c r="N84" i="16" s="1"/>
  <c r="D85" i="14"/>
  <c r="D85" i="16" s="1"/>
  <c r="E85" i="14"/>
  <c r="E85" i="16" s="1"/>
  <c r="F85" i="14"/>
  <c r="F85" i="16" s="1"/>
  <c r="G85" i="14"/>
  <c r="G85" i="16" s="1"/>
  <c r="H85" i="14"/>
  <c r="H85" i="16" s="1"/>
  <c r="I85" i="14"/>
  <c r="I85" i="16" s="1"/>
  <c r="J85" i="14"/>
  <c r="J85" i="16" s="1"/>
  <c r="K85" i="14"/>
  <c r="K85" i="16" s="1"/>
  <c r="L85" i="14"/>
  <c r="L85" i="16" s="1"/>
  <c r="M85" i="14"/>
  <c r="M85" i="16" s="1"/>
  <c r="N85" i="14"/>
  <c r="N85" i="16" s="1"/>
  <c r="D86" i="14"/>
  <c r="D86" i="16" s="1"/>
  <c r="E86" i="14"/>
  <c r="E86" i="16" s="1"/>
  <c r="F86" i="14"/>
  <c r="F86" i="16" s="1"/>
  <c r="G86" i="14"/>
  <c r="G86" i="16" s="1"/>
  <c r="H86" i="14"/>
  <c r="H86" i="16" s="1"/>
  <c r="I86" i="14"/>
  <c r="I86" i="16" s="1"/>
  <c r="J86" i="14"/>
  <c r="J86" i="16" s="1"/>
  <c r="K86" i="14"/>
  <c r="K86" i="16" s="1"/>
  <c r="L86" i="14"/>
  <c r="L86" i="16" s="1"/>
  <c r="M86" i="14"/>
  <c r="M86" i="16" s="1"/>
  <c r="N86" i="14"/>
  <c r="N86" i="16" s="1"/>
  <c r="D87" i="14"/>
  <c r="D87" i="16" s="1"/>
  <c r="E87" i="14"/>
  <c r="E87" i="16" s="1"/>
  <c r="F87" i="14"/>
  <c r="F87" i="16" s="1"/>
  <c r="G87" i="14"/>
  <c r="G87" i="16" s="1"/>
  <c r="H87" i="14"/>
  <c r="H87" i="16" s="1"/>
  <c r="I87" i="14"/>
  <c r="I87" i="16" s="1"/>
  <c r="J87" i="14"/>
  <c r="J87" i="16" s="1"/>
  <c r="K87" i="14"/>
  <c r="K87" i="16" s="1"/>
  <c r="L87" i="14"/>
  <c r="L87" i="16" s="1"/>
  <c r="M87" i="14"/>
  <c r="M87" i="16" s="1"/>
  <c r="N87" i="14"/>
  <c r="N87" i="16" s="1"/>
  <c r="D88" i="14"/>
  <c r="D88" i="16" s="1"/>
  <c r="E88" i="14"/>
  <c r="F88" i="14"/>
  <c r="F88" i="16" s="1"/>
  <c r="G88" i="14"/>
  <c r="G88" i="16" s="1"/>
  <c r="H88" i="14"/>
  <c r="H88" i="16" s="1"/>
  <c r="I88" i="14"/>
  <c r="I88" i="16" s="1"/>
  <c r="J88" i="14"/>
  <c r="J88" i="16" s="1"/>
  <c r="K88" i="14"/>
  <c r="K88" i="16" s="1"/>
  <c r="L88" i="14"/>
  <c r="L88" i="16" s="1"/>
  <c r="M88" i="14"/>
  <c r="M88" i="16" s="1"/>
  <c r="N88" i="14"/>
  <c r="N88" i="16" s="1"/>
  <c r="D89" i="14"/>
  <c r="E89" i="14"/>
  <c r="E89" i="16" s="1"/>
  <c r="F89" i="14"/>
  <c r="F89" i="16" s="1"/>
  <c r="G89" i="14"/>
  <c r="G89" i="16" s="1"/>
  <c r="H89" i="14"/>
  <c r="H89" i="16" s="1"/>
  <c r="I89" i="14"/>
  <c r="I89" i="16" s="1"/>
  <c r="J89" i="14"/>
  <c r="J89" i="16" s="1"/>
  <c r="K89" i="14"/>
  <c r="K89" i="16" s="1"/>
  <c r="L89" i="14"/>
  <c r="L89" i="16" s="1"/>
  <c r="M89" i="14"/>
  <c r="M89" i="16" s="1"/>
  <c r="N89" i="14"/>
  <c r="N89" i="16" s="1"/>
  <c r="D90" i="14"/>
  <c r="D90" i="16" s="1"/>
  <c r="E90" i="14"/>
  <c r="E90" i="16" s="1"/>
  <c r="F90" i="14"/>
  <c r="F90" i="16" s="1"/>
  <c r="G90" i="14"/>
  <c r="G90" i="16" s="1"/>
  <c r="H90" i="14"/>
  <c r="H90" i="16" s="1"/>
  <c r="I90" i="14"/>
  <c r="I90" i="16" s="1"/>
  <c r="J90" i="14"/>
  <c r="J90" i="16" s="1"/>
  <c r="K90" i="14"/>
  <c r="K90" i="16" s="1"/>
  <c r="L90" i="14"/>
  <c r="L90" i="16" s="1"/>
  <c r="M90" i="14"/>
  <c r="M90" i="16" s="1"/>
  <c r="N90" i="14"/>
  <c r="N90" i="16" s="1"/>
  <c r="D91" i="14"/>
  <c r="D91" i="16" s="1"/>
  <c r="E91" i="14"/>
  <c r="E91" i="16" s="1"/>
  <c r="F91" i="14"/>
  <c r="F91" i="16" s="1"/>
  <c r="G91" i="14"/>
  <c r="G91" i="16" s="1"/>
  <c r="H91" i="14"/>
  <c r="H91" i="16" s="1"/>
  <c r="I91" i="14"/>
  <c r="I91" i="16" s="1"/>
  <c r="J91" i="14"/>
  <c r="J91" i="16" s="1"/>
  <c r="K91" i="14"/>
  <c r="K91" i="16" s="1"/>
  <c r="L91" i="14"/>
  <c r="L91" i="16" s="1"/>
  <c r="M91" i="14"/>
  <c r="M91" i="16" s="1"/>
  <c r="N91" i="14"/>
  <c r="N91" i="16" s="1"/>
  <c r="D92" i="14"/>
  <c r="D92" i="16" s="1"/>
  <c r="E92" i="14"/>
  <c r="E92" i="16" s="1"/>
  <c r="F92" i="14"/>
  <c r="F92" i="16" s="1"/>
  <c r="G92" i="14"/>
  <c r="G92" i="16" s="1"/>
  <c r="H92" i="14"/>
  <c r="H92" i="16" s="1"/>
  <c r="I92" i="14"/>
  <c r="I92" i="16" s="1"/>
  <c r="J92" i="14"/>
  <c r="J92" i="16" s="1"/>
  <c r="K92" i="14"/>
  <c r="K92" i="16" s="1"/>
  <c r="L92" i="14"/>
  <c r="L92" i="16" s="1"/>
  <c r="M92" i="14"/>
  <c r="M92" i="16" s="1"/>
  <c r="N92" i="14"/>
  <c r="N92" i="16" s="1"/>
  <c r="D93" i="14"/>
  <c r="D93" i="16" s="1"/>
  <c r="E93" i="14"/>
  <c r="E93" i="16" s="1"/>
  <c r="F93" i="14"/>
  <c r="F93" i="16" s="1"/>
  <c r="G93" i="14"/>
  <c r="G93" i="16" s="1"/>
  <c r="H93" i="14"/>
  <c r="H93" i="16" s="1"/>
  <c r="I93" i="14"/>
  <c r="I93" i="16" s="1"/>
  <c r="J93" i="14"/>
  <c r="J93" i="16" s="1"/>
  <c r="K93" i="14"/>
  <c r="K93" i="16" s="1"/>
  <c r="L93" i="14"/>
  <c r="L93" i="16" s="1"/>
  <c r="M93" i="14"/>
  <c r="M93" i="16" s="1"/>
  <c r="N93" i="14"/>
  <c r="N93" i="16" s="1"/>
  <c r="D94" i="14"/>
  <c r="D94" i="16" s="1"/>
  <c r="E94" i="14"/>
  <c r="E94" i="16" s="1"/>
  <c r="F94" i="14"/>
  <c r="F94" i="16" s="1"/>
  <c r="G94" i="14"/>
  <c r="G94" i="16" s="1"/>
  <c r="H94" i="14"/>
  <c r="H94" i="16" s="1"/>
  <c r="I94" i="14"/>
  <c r="I94" i="16" s="1"/>
  <c r="J94" i="14"/>
  <c r="J94" i="16" s="1"/>
  <c r="K94" i="14"/>
  <c r="K94" i="16" s="1"/>
  <c r="L94" i="14"/>
  <c r="L94" i="16" s="1"/>
  <c r="M94" i="14"/>
  <c r="M94" i="16" s="1"/>
  <c r="N94" i="14"/>
  <c r="N94" i="16" s="1"/>
  <c r="D95" i="14"/>
  <c r="D95" i="16" s="1"/>
  <c r="E95" i="14"/>
  <c r="E95" i="16" s="1"/>
  <c r="F95" i="14"/>
  <c r="F95" i="16" s="1"/>
  <c r="G95" i="14"/>
  <c r="G95" i="16" s="1"/>
  <c r="H95" i="14"/>
  <c r="H95" i="16" s="1"/>
  <c r="I95" i="14"/>
  <c r="I95" i="16" s="1"/>
  <c r="J95" i="14"/>
  <c r="J95" i="16" s="1"/>
  <c r="K95" i="14"/>
  <c r="K95" i="16" s="1"/>
  <c r="L95" i="14"/>
  <c r="L95" i="16" s="1"/>
  <c r="M95" i="14"/>
  <c r="M95" i="16" s="1"/>
  <c r="N95" i="14"/>
  <c r="N95" i="16" s="1"/>
  <c r="D96" i="14"/>
  <c r="D96" i="16" s="1"/>
  <c r="E96" i="14"/>
  <c r="E96" i="16" s="1"/>
  <c r="F96" i="14"/>
  <c r="F96" i="16" s="1"/>
  <c r="G96" i="14"/>
  <c r="G96" i="16" s="1"/>
  <c r="H96" i="14"/>
  <c r="H96" i="16" s="1"/>
  <c r="I96" i="14"/>
  <c r="I96" i="16" s="1"/>
  <c r="J96" i="14"/>
  <c r="J96" i="16" s="1"/>
  <c r="K96" i="14"/>
  <c r="K96" i="16" s="1"/>
  <c r="L96" i="14"/>
  <c r="L96" i="16" s="1"/>
  <c r="M96" i="14"/>
  <c r="M96" i="16" s="1"/>
  <c r="N96" i="14"/>
  <c r="N96" i="16" s="1"/>
  <c r="D97" i="14"/>
  <c r="D97" i="16" s="1"/>
  <c r="E97" i="14"/>
  <c r="E97" i="16" s="1"/>
  <c r="F97" i="14"/>
  <c r="F97" i="16" s="1"/>
  <c r="G97" i="14"/>
  <c r="G97" i="16" s="1"/>
  <c r="H97" i="14"/>
  <c r="H97" i="16" s="1"/>
  <c r="I97" i="14"/>
  <c r="I97" i="16" s="1"/>
  <c r="J97" i="14"/>
  <c r="J97" i="16" s="1"/>
  <c r="K97" i="14"/>
  <c r="K97" i="16" s="1"/>
  <c r="L97" i="14"/>
  <c r="L97" i="16" s="1"/>
  <c r="M97" i="14"/>
  <c r="M97" i="16" s="1"/>
  <c r="N97" i="14"/>
  <c r="N97" i="16" s="1"/>
  <c r="D98" i="14"/>
  <c r="D98" i="16" s="1"/>
  <c r="E98" i="14"/>
  <c r="E98" i="16" s="1"/>
  <c r="F98" i="14"/>
  <c r="F98" i="16" s="1"/>
  <c r="G98" i="14"/>
  <c r="G98" i="16" s="1"/>
  <c r="H98" i="14"/>
  <c r="H98" i="16" s="1"/>
  <c r="I98" i="14"/>
  <c r="I98" i="16" s="1"/>
  <c r="J98" i="14"/>
  <c r="J98" i="16" s="1"/>
  <c r="K98" i="14"/>
  <c r="K98" i="16" s="1"/>
  <c r="L98" i="14"/>
  <c r="L98" i="16" s="1"/>
  <c r="M98" i="14"/>
  <c r="M98" i="16" s="1"/>
  <c r="N98" i="14"/>
  <c r="N98" i="16" s="1"/>
  <c r="D100" i="14"/>
  <c r="E100" i="14"/>
  <c r="F100" i="14"/>
  <c r="G100" i="14"/>
  <c r="H100" i="14"/>
  <c r="I100" i="14"/>
  <c r="J100" i="14"/>
  <c r="K100" i="14"/>
  <c r="L100" i="14"/>
  <c r="M100" i="14"/>
  <c r="N100" i="14"/>
  <c r="D101" i="14"/>
  <c r="E101" i="14"/>
  <c r="F101" i="14"/>
  <c r="G101" i="14"/>
  <c r="H101" i="14"/>
  <c r="I101" i="14"/>
  <c r="J101" i="14"/>
  <c r="K101" i="14"/>
  <c r="L101" i="14"/>
  <c r="M101" i="14"/>
  <c r="N101" i="14"/>
  <c r="D102" i="14"/>
  <c r="E102" i="14"/>
  <c r="F102" i="14"/>
  <c r="G102" i="14"/>
  <c r="H102" i="14"/>
  <c r="I102" i="14"/>
  <c r="J102" i="14"/>
  <c r="K102" i="14"/>
  <c r="L102" i="14"/>
  <c r="M102" i="14"/>
  <c r="N102" i="14"/>
  <c r="D103" i="14"/>
  <c r="E103" i="14"/>
  <c r="F103" i="14"/>
  <c r="G103" i="14"/>
  <c r="H103" i="14"/>
  <c r="I103" i="14"/>
  <c r="J103" i="14"/>
  <c r="K103" i="14"/>
  <c r="L103" i="14"/>
  <c r="M103" i="14"/>
  <c r="N103" i="14"/>
  <c r="D104" i="14"/>
  <c r="E104" i="14"/>
  <c r="F104" i="14"/>
  <c r="G104" i="14"/>
  <c r="H104" i="14"/>
  <c r="I104" i="14"/>
  <c r="J104" i="14"/>
  <c r="K104" i="14"/>
  <c r="L104" i="14"/>
  <c r="M104" i="14"/>
  <c r="N104" i="14"/>
  <c r="D106" i="14"/>
  <c r="E106" i="14"/>
  <c r="F106" i="14"/>
  <c r="G106" i="14"/>
  <c r="H106" i="14"/>
  <c r="I106" i="14"/>
  <c r="J106" i="14"/>
  <c r="K106" i="14"/>
  <c r="L106" i="14"/>
  <c r="M106" i="14"/>
  <c r="N106" i="14"/>
  <c r="D107" i="14"/>
  <c r="E107" i="14"/>
  <c r="F107" i="14"/>
  <c r="G107" i="14"/>
  <c r="H107" i="14"/>
  <c r="I107" i="14"/>
  <c r="J107" i="14"/>
  <c r="K107" i="14"/>
  <c r="L107" i="14"/>
  <c r="M107" i="14"/>
  <c r="N107" i="14"/>
  <c r="D108" i="14"/>
  <c r="E108" i="14"/>
  <c r="F108" i="14"/>
  <c r="G108" i="14"/>
  <c r="H108" i="14"/>
  <c r="I108" i="14"/>
  <c r="J108" i="14"/>
  <c r="K108" i="14"/>
  <c r="L108" i="14"/>
  <c r="M108" i="14"/>
  <c r="N108" i="14"/>
  <c r="D109" i="14"/>
  <c r="E109" i="14"/>
  <c r="F109" i="14"/>
  <c r="G109" i="14"/>
  <c r="H109" i="14"/>
  <c r="I109" i="14"/>
  <c r="J109" i="14"/>
  <c r="K109" i="14"/>
  <c r="L109" i="14"/>
  <c r="M109" i="14"/>
  <c r="N109" i="14"/>
  <c r="D110" i="14"/>
  <c r="E110" i="14"/>
  <c r="F110" i="14"/>
  <c r="G110" i="14"/>
  <c r="H110" i="14"/>
  <c r="I110" i="14"/>
  <c r="J110" i="14"/>
  <c r="K110" i="14"/>
  <c r="L110" i="14"/>
  <c r="M110" i="14"/>
  <c r="N110" i="14"/>
  <c r="D111" i="14"/>
  <c r="E111" i="14"/>
  <c r="F111" i="14"/>
  <c r="G111" i="14"/>
  <c r="H111" i="14"/>
  <c r="I111" i="14"/>
  <c r="J111" i="14"/>
  <c r="K111" i="14"/>
  <c r="L111" i="14"/>
  <c r="M111" i="14"/>
  <c r="N111" i="14"/>
  <c r="D112" i="14"/>
  <c r="E112" i="14"/>
  <c r="F112" i="14"/>
  <c r="G112" i="14"/>
  <c r="H112" i="14"/>
  <c r="I112" i="14"/>
  <c r="J112" i="14"/>
  <c r="K112" i="14"/>
  <c r="L112" i="14"/>
  <c r="M112" i="14"/>
  <c r="N112" i="14"/>
  <c r="D113" i="14"/>
  <c r="E113" i="14"/>
  <c r="F113" i="14"/>
  <c r="G113" i="14"/>
  <c r="H113" i="14"/>
  <c r="I113" i="14"/>
  <c r="J113" i="14"/>
  <c r="K113" i="14"/>
  <c r="L113" i="14"/>
  <c r="M113" i="14"/>
  <c r="N113" i="14"/>
  <c r="D114" i="14"/>
  <c r="E114" i="14"/>
  <c r="F114" i="14"/>
  <c r="G114" i="14"/>
  <c r="H114" i="14"/>
  <c r="I114" i="14"/>
  <c r="J114" i="14"/>
  <c r="K114" i="14"/>
  <c r="L114" i="14"/>
  <c r="M114" i="14"/>
  <c r="N114" i="14"/>
  <c r="D115" i="14"/>
  <c r="E115" i="14"/>
  <c r="F115" i="14"/>
  <c r="G115" i="14"/>
  <c r="H115" i="14"/>
  <c r="I115" i="14"/>
  <c r="J115" i="14"/>
  <c r="K115" i="14"/>
  <c r="L115" i="14"/>
  <c r="M115" i="14"/>
  <c r="N115" i="14"/>
  <c r="D117" i="14"/>
  <c r="E117" i="14"/>
  <c r="F117" i="14"/>
  <c r="G117" i="14"/>
  <c r="H117" i="14"/>
  <c r="I117" i="14"/>
  <c r="J117" i="14"/>
  <c r="K117" i="14"/>
  <c r="L117" i="14"/>
  <c r="M117" i="14"/>
  <c r="N117" i="14"/>
  <c r="D118" i="14"/>
  <c r="E118" i="14"/>
  <c r="F118" i="14"/>
  <c r="G118" i="14"/>
  <c r="H118" i="14"/>
  <c r="I118" i="14"/>
  <c r="J118" i="14"/>
  <c r="K118" i="14"/>
  <c r="L118" i="14"/>
  <c r="M118" i="14"/>
  <c r="N118" i="14"/>
  <c r="D119" i="14"/>
  <c r="E119" i="14"/>
  <c r="F119" i="14"/>
  <c r="G119" i="14"/>
  <c r="H119" i="14"/>
  <c r="I119" i="14"/>
  <c r="J119" i="14"/>
  <c r="K119" i="14"/>
  <c r="L119" i="14"/>
  <c r="M119" i="14"/>
  <c r="N119" i="14"/>
  <c r="D121" i="14"/>
  <c r="E121" i="14"/>
  <c r="F121" i="14"/>
  <c r="G121" i="14"/>
  <c r="H121" i="14"/>
  <c r="I121" i="14"/>
  <c r="J121" i="14"/>
  <c r="K121" i="14"/>
  <c r="L121" i="14"/>
  <c r="M121" i="14"/>
  <c r="N121" i="14"/>
  <c r="D122" i="14"/>
  <c r="E122" i="14"/>
  <c r="F122" i="14"/>
  <c r="G122" i="14"/>
  <c r="H122" i="14"/>
  <c r="I122" i="14"/>
  <c r="J122" i="14"/>
  <c r="K122" i="14"/>
  <c r="L122" i="14"/>
  <c r="M122" i="14"/>
  <c r="N122" i="14"/>
  <c r="D124" i="14"/>
  <c r="E124" i="14"/>
  <c r="F124" i="14"/>
  <c r="G124" i="14"/>
  <c r="H124" i="14"/>
  <c r="I124" i="14"/>
  <c r="J124" i="14"/>
  <c r="K124" i="14"/>
  <c r="L124" i="14"/>
  <c r="M124" i="14"/>
  <c r="N124" i="14"/>
  <c r="D125" i="14"/>
  <c r="E125" i="14"/>
  <c r="F125" i="14"/>
  <c r="G125" i="14"/>
  <c r="H125" i="14"/>
  <c r="I125" i="14"/>
  <c r="J125" i="14"/>
  <c r="K125" i="14"/>
  <c r="L125" i="14"/>
  <c r="M125" i="14"/>
  <c r="N125" i="14"/>
  <c r="D127" i="14"/>
  <c r="E127" i="14"/>
  <c r="F127" i="14"/>
  <c r="G127" i="14"/>
  <c r="H127" i="14"/>
  <c r="I127" i="14"/>
  <c r="J127" i="14"/>
  <c r="K127" i="14"/>
  <c r="L127" i="14"/>
  <c r="M127" i="14"/>
  <c r="N127" i="14"/>
  <c r="D128" i="14"/>
  <c r="E128" i="14"/>
  <c r="F128" i="14"/>
  <c r="G128" i="14"/>
  <c r="H128" i="14"/>
  <c r="I128" i="14"/>
  <c r="J128" i="14"/>
  <c r="K128" i="14"/>
  <c r="L128" i="14"/>
  <c r="M128" i="14"/>
  <c r="N128" i="14"/>
  <c r="D129" i="14"/>
  <c r="E129" i="14"/>
  <c r="F129" i="14"/>
  <c r="G129" i="14"/>
  <c r="H129" i="14"/>
  <c r="I129" i="14"/>
  <c r="J129" i="14"/>
  <c r="K129" i="14"/>
  <c r="L129" i="14"/>
  <c r="M129" i="14"/>
  <c r="N129" i="14"/>
  <c r="D131" i="14"/>
  <c r="E131" i="14"/>
  <c r="F131" i="14"/>
  <c r="G131" i="14"/>
  <c r="H131" i="14"/>
  <c r="I131" i="14"/>
  <c r="J131" i="14"/>
  <c r="K131" i="14"/>
  <c r="L131" i="14"/>
  <c r="M131" i="14"/>
  <c r="N131" i="14"/>
  <c r="D132" i="14"/>
  <c r="E132" i="14"/>
  <c r="F132" i="14"/>
  <c r="G132" i="14"/>
  <c r="H132" i="14"/>
  <c r="I132" i="14"/>
  <c r="J132" i="14"/>
  <c r="K132" i="14"/>
  <c r="L132" i="14"/>
  <c r="M132" i="14"/>
  <c r="N132" i="14"/>
  <c r="D134" i="14"/>
  <c r="E134" i="14"/>
  <c r="F134" i="14"/>
  <c r="G134" i="14"/>
  <c r="H134" i="14"/>
  <c r="I134" i="14"/>
  <c r="J134" i="14"/>
  <c r="K134" i="14"/>
  <c r="L134" i="14"/>
  <c r="M134" i="14"/>
  <c r="N134" i="14"/>
  <c r="D135" i="14"/>
  <c r="E135" i="14"/>
  <c r="F135" i="14"/>
  <c r="G135" i="14"/>
  <c r="H135" i="14"/>
  <c r="I135" i="14"/>
  <c r="J135" i="14"/>
  <c r="K135" i="14"/>
  <c r="L135" i="14"/>
  <c r="M135" i="14"/>
  <c r="N135" i="14"/>
  <c r="D136" i="14"/>
  <c r="E136" i="14"/>
  <c r="F136" i="14"/>
  <c r="G136" i="14"/>
  <c r="H136" i="14"/>
  <c r="I136" i="14"/>
  <c r="J136" i="14"/>
  <c r="K136" i="14"/>
  <c r="L136" i="14"/>
  <c r="M136" i="14"/>
  <c r="N136" i="14"/>
  <c r="D137" i="14"/>
  <c r="E137" i="14"/>
  <c r="F137" i="14"/>
  <c r="G137" i="14"/>
  <c r="H137" i="14"/>
  <c r="I137" i="14"/>
  <c r="J137" i="14"/>
  <c r="K137" i="14"/>
  <c r="L137" i="14"/>
  <c r="M137" i="14"/>
  <c r="N137" i="14"/>
  <c r="D138" i="14"/>
  <c r="E138" i="14"/>
  <c r="F138" i="14"/>
  <c r="G138" i="14"/>
  <c r="H138" i="14"/>
  <c r="I138" i="14"/>
  <c r="J138" i="14"/>
  <c r="K138" i="14"/>
  <c r="L138" i="14"/>
  <c r="M138" i="14"/>
  <c r="N138" i="14"/>
  <c r="C138" i="14"/>
  <c r="C137" i="14"/>
  <c r="C136" i="14"/>
  <c r="C135" i="14"/>
  <c r="C134" i="14"/>
  <c r="C132" i="14"/>
  <c r="C131" i="14"/>
  <c r="C129" i="14"/>
  <c r="C128" i="14"/>
  <c r="C127" i="14"/>
  <c r="C125" i="14"/>
  <c r="C124" i="14"/>
  <c r="C122" i="14"/>
  <c r="C121" i="14"/>
  <c r="C119" i="14"/>
  <c r="C118" i="14"/>
  <c r="C117" i="14"/>
  <c r="C107" i="14"/>
  <c r="C108" i="14"/>
  <c r="C109" i="14"/>
  <c r="C110" i="14"/>
  <c r="C111" i="14"/>
  <c r="C112" i="14"/>
  <c r="C113" i="14"/>
  <c r="C114" i="14"/>
  <c r="C115" i="14"/>
  <c r="C106" i="14"/>
  <c r="C101" i="14"/>
  <c r="C102" i="14"/>
  <c r="C103" i="14"/>
  <c r="C104" i="14"/>
  <c r="C100" i="14"/>
  <c r="C77" i="14"/>
  <c r="C77" i="16" s="1"/>
  <c r="C78" i="14"/>
  <c r="C78" i="16" s="1"/>
  <c r="C79" i="14"/>
  <c r="C79" i="16" s="1"/>
  <c r="C80" i="14"/>
  <c r="C80" i="16" s="1"/>
  <c r="C81" i="14"/>
  <c r="C81" i="16" s="1"/>
  <c r="C82" i="14"/>
  <c r="C82" i="16" s="1"/>
  <c r="C83" i="14"/>
  <c r="C83" i="16" s="1"/>
  <c r="C84" i="14"/>
  <c r="C84" i="16" s="1"/>
  <c r="C85" i="14"/>
  <c r="C85" i="16" s="1"/>
  <c r="C86" i="14"/>
  <c r="C86" i="16" s="1"/>
  <c r="C87" i="14"/>
  <c r="C87" i="16" s="1"/>
  <c r="C88" i="14"/>
  <c r="C88" i="16" s="1"/>
  <c r="C89" i="14"/>
  <c r="C89" i="16" s="1"/>
  <c r="C90" i="14"/>
  <c r="C90" i="16" s="1"/>
  <c r="C91" i="14"/>
  <c r="C91" i="16" s="1"/>
  <c r="C92" i="14"/>
  <c r="C92" i="16" s="1"/>
  <c r="C93" i="14"/>
  <c r="C93" i="16" s="1"/>
  <c r="C94" i="14"/>
  <c r="C94" i="16" s="1"/>
  <c r="C95" i="14"/>
  <c r="C95" i="16" s="1"/>
  <c r="C96" i="14"/>
  <c r="C96" i="16" s="1"/>
  <c r="C97" i="14"/>
  <c r="C97" i="16" s="1"/>
  <c r="C98" i="14"/>
  <c r="C98" i="16" s="1"/>
  <c r="C76" i="14"/>
  <c r="C76" i="16" s="1"/>
  <c r="C56" i="14"/>
  <c r="C56" i="16" s="1"/>
  <c r="C57" i="14"/>
  <c r="C57" i="16" s="1"/>
  <c r="C58" i="14"/>
  <c r="C58" i="16" s="1"/>
  <c r="C59" i="14"/>
  <c r="C59" i="16" s="1"/>
  <c r="C60" i="14"/>
  <c r="C60" i="16" s="1"/>
  <c r="C61" i="14"/>
  <c r="C61" i="16" s="1"/>
  <c r="C62" i="14"/>
  <c r="C62" i="16" s="1"/>
  <c r="C63" i="14"/>
  <c r="C63" i="16" s="1"/>
  <c r="C64" i="14"/>
  <c r="C64" i="16" s="1"/>
  <c r="C65" i="14"/>
  <c r="C65" i="16" s="1"/>
  <c r="C66" i="14"/>
  <c r="C66" i="16" s="1"/>
  <c r="C67" i="14"/>
  <c r="C67" i="16" s="1"/>
  <c r="C68" i="14"/>
  <c r="C68" i="16" s="1"/>
  <c r="C69" i="14"/>
  <c r="C69" i="16" s="1"/>
  <c r="C70" i="14"/>
  <c r="C70" i="16" s="1"/>
  <c r="C71" i="14"/>
  <c r="C71" i="16" s="1"/>
  <c r="C72" i="14"/>
  <c r="C72" i="16" s="1"/>
  <c r="C73" i="14"/>
  <c r="C73" i="16" s="1"/>
  <c r="C74" i="14"/>
  <c r="C74" i="16" s="1"/>
  <c r="C55" i="14"/>
  <c r="C55" i="16" s="1"/>
  <c r="C54" i="14"/>
  <c r="C52" i="14"/>
  <c r="C51" i="14"/>
  <c r="C49" i="14"/>
  <c r="C46" i="14"/>
  <c r="C45" i="14"/>
  <c r="C44" i="14"/>
  <c r="C42" i="14"/>
  <c r="C41" i="14"/>
  <c r="C39" i="14"/>
  <c r="C39" i="16" s="1"/>
  <c r="C38" i="14"/>
  <c r="C38" i="16" s="1"/>
  <c r="C35" i="14"/>
  <c r="C34" i="14"/>
  <c r="C30" i="14"/>
  <c r="C31" i="14"/>
  <c r="C32" i="14"/>
  <c r="C29" i="14"/>
  <c r="C24" i="14"/>
  <c r="C25" i="14"/>
  <c r="C26" i="14"/>
  <c r="C27" i="14"/>
  <c r="C23" i="14"/>
  <c r="O137" i="14"/>
  <c r="O136" i="14"/>
  <c r="O135" i="14"/>
  <c r="O134" i="14"/>
  <c r="C133" i="14"/>
  <c r="O131" i="14"/>
  <c r="C130" i="14"/>
  <c r="O129" i="14"/>
  <c r="O128" i="14"/>
  <c r="C126" i="14"/>
  <c r="O125" i="14"/>
  <c r="O124" i="14"/>
  <c r="C123" i="14"/>
  <c r="O122" i="14"/>
  <c r="O121" i="14"/>
  <c r="C120" i="14"/>
  <c r="O115" i="14"/>
  <c r="O114" i="14"/>
  <c r="O113" i="14"/>
  <c r="O112" i="14"/>
  <c r="O111" i="14"/>
  <c r="O110" i="14"/>
  <c r="O109" i="14"/>
  <c r="O108" i="14"/>
  <c r="O107" i="14"/>
  <c r="O106" i="14"/>
  <c r="C105" i="14"/>
  <c r="O104" i="14"/>
  <c r="O103" i="14"/>
  <c r="O102" i="14"/>
  <c r="O101" i="14"/>
  <c r="O100" i="14"/>
  <c r="C99" i="14"/>
  <c r="O83" i="14"/>
  <c r="O63" i="14"/>
  <c r="O62" i="14"/>
  <c r="O61" i="14"/>
  <c r="O60" i="14"/>
  <c r="O59" i="14"/>
  <c r="O58" i="14"/>
  <c r="O56" i="14"/>
  <c r="O55" i="14"/>
  <c r="O54" i="14"/>
  <c r="C50" i="14"/>
  <c r="C48" i="14"/>
  <c r="O46" i="14"/>
  <c r="O45" i="14"/>
  <c r="O44" i="14"/>
  <c r="C43" i="14"/>
  <c r="O42" i="14"/>
  <c r="O41" i="14"/>
  <c r="C40" i="14"/>
  <c r="O39" i="14"/>
  <c r="O38" i="14"/>
  <c r="C37" i="14"/>
  <c r="O35" i="14"/>
  <c r="O34" i="14"/>
  <c r="C33" i="14"/>
  <c r="O32" i="14"/>
  <c r="O31" i="14"/>
  <c r="O30" i="14"/>
  <c r="O29" i="14"/>
  <c r="C28" i="14"/>
  <c r="O27" i="14"/>
  <c r="O26" i="14"/>
  <c r="O25" i="14"/>
  <c r="O24" i="14"/>
  <c r="O23" i="14"/>
  <c r="C22" i="14"/>
  <c r="O21" i="14"/>
  <c r="O20" i="14"/>
  <c r="O19" i="14"/>
  <c r="O18" i="14"/>
  <c r="O17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O16" i="14" s="1"/>
  <c r="O15" i="14"/>
  <c r="O14" i="14"/>
  <c r="O13" i="14"/>
  <c r="O12" i="14"/>
  <c r="O11" i="14"/>
  <c r="O10" i="14"/>
  <c r="N9" i="14"/>
  <c r="M9" i="14"/>
  <c r="L9" i="14"/>
  <c r="K9" i="14"/>
  <c r="J9" i="14"/>
  <c r="I9" i="14"/>
  <c r="H9" i="14"/>
  <c r="G9" i="14"/>
  <c r="F9" i="14"/>
  <c r="E9" i="14"/>
  <c r="D9" i="14"/>
  <c r="C9" i="14"/>
  <c r="O9" i="14" s="1"/>
  <c r="O138" i="12"/>
  <c r="O137" i="12"/>
  <c r="O136" i="12"/>
  <c r="O135" i="12"/>
  <c r="O134" i="12"/>
  <c r="N133" i="12"/>
  <c r="M133" i="12"/>
  <c r="L133" i="12"/>
  <c r="K133" i="12"/>
  <c r="J133" i="12"/>
  <c r="I133" i="12"/>
  <c r="H133" i="12"/>
  <c r="G133" i="12"/>
  <c r="F133" i="12"/>
  <c r="E133" i="12"/>
  <c r="D133" i="12"/>
  <c r="O133" i="12"/>
  <c r="N27" i="17" s="1"/>
  <c r="M27" i="17" s="1"/>
  <c r="O132" i="12"/>
  <c r="O131" i="12"/>
  <c r="N130" i="12"/>
  <c r="M130" i="12"/>
  <c r="L130" i="12"/>
  <c r="K130" i="12"/>
  <c r="J130" i="12"/>
  <c r="I130" i="12"/>
  <c r="H130" i="12"/>
  <c r="G130" i="12"/>
  <c r="F130" i="12"/>
  <c r="E130" i="12"/>
  <c r="D130" i="12"/>
  <c r="O130" i="12"/>
  <c r="N26" i="17" s="1"/>
  <c r="M26" i="17" s="1"/>
  <c r="O129" i="12"/>
  <c r="O128" i="12"/>
  <c r="O127" i="12"/>
  <c r="N126" i="12"/>
  <c r="M126" i="12"/>
  <c r="L126" i="12"/>
  <c r="K126" i="12"/>
  <c r="J126" i="12"/>
  <c r="I126" i="12"/>
  <c r="H126" i="12"/>
  <c r="G126" i="12"/>
  <c r="F126" i="12"/>
  <c r="E126" i="12"/>
  <c r="D126" i="12"/>
  <c r="O126" i="12"/>
  <c r="N25" i="17" s="1"/>
  <c r="O125" i="12"/>
  <c r="O124" i="12"/>
  <c r="N123" i="12"/>
  <c r="M123" i="12"/>
  <c r="L123" i="12"/>
  <c r="K123" i="12"/>
  <c r="J123" i="12"/>
  <c r="I123" i="12"/>
  <c r="H123" i="12"/>
  <c r="G123" i="12"/>
  <c r="F123" i="12"/>
  <c r="E123" i="12"/>
  <c r="D123" i="12"/>
  <c r="O123" i="12"/>
  <c r="O122" i="12"/>
  <c r="O121" i="12"/>
  <c r="N120" i="12"/>
  <c r="M120" i="12"/>
  <c r="L120" i="12"/>
  <c r="K120" i="12"/>
  <c r="J120" i="12"/>
  <c r="I120" i="12"/>
  <c r="H120" i="12"/>
  <c r="G120" i="12"/>
  <c r="F120" i="12"/>
  <c r="E120" i="12"/>
  <c r="D120" i="12"/>
  <c r="O120" i="12"/>
  <c r="O119" i="12"/>
  <c r="O118" i="12"/>
  <c r="O117" i="12"/>
  <c r="N116" i="12"/>
  <c r="M116" i="12"/>
  <c r="L116" i="12"/>
  <c r="K116" i="12"/>
  <c r="J116" i="12"/>
  <c r="I116" i="12"/>
  <c r="H116" i="12"/>
  <c r="G116" i="12"/>
  <c r="F116" i="12"/>
  <c r="E116" i="12"/>
  <c r="D116" i="12"/>
  <c r="O115" i="12"/>
  <c r="O114" i="12"/>
  <c r="O113" i="12"/>
  <c r="O112" i="12"/>
  <c r="O111" i="12"/>
  <c r="O110" i="12"/>
  <c r="O109" i="12"/>
  <c r="O108" i="12"/>
  <c r="O107" i="12"/>
  <c r="O106" i="12"/>
  <c r="N105" i="12"/>
  <c r="M105" i="12"/>
  <c r="L105" i="12"/>
  <c r="K105" i="12"/>
  <c r="J105" i="12"/>
  <c r="I105" i="12"/>
  <c r="H105" i="12"/>
  <c r="G105" i="12"/>
  <c r="F105" i="12"/>
  <c r="E105" i="12"/>
  <c r="D105" i="12"/>
  <c r="O105" i="12"/>
  <c r="N23" i="17" s="1"/>
  <c r="O104" i="12"/>
  <c r="O103" i="12"/>
  <c r="O102" i="12"/>
  <c r="O101" i="12"/>
  <c r="O100" i="12"/>
  <c r="N99" i="12"/>
  <c r="M99" i="12"/>
  <c r="L99" i="12"/>
  <c r="K99" i="12"/>
  <c r="J99" i="12"/>
  <c r="I99" i="12"/>
  <c r="H99" i="12"/>
  <c r="G99" i="12"/>
  <c r="F99" i="12"/>
  <c r="E99" i="12"/>
  <c r="D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O52" i="12"/>
  <c r="O51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O49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O48" i="12" s="1"/>
  <c r="O46" i="12"/>
  <c r="O45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O43" i="12" s="1"/>
  <c r="O42" i="12"/>
  <c r="O41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O40" i="12" s="1"/>
  <c r="O39" i="12"/>
  <c r="O38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O36" i="12"/>
  <c r="O35" i="12"/>
  <c r="O34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O33" i="12" s="1"/>
  <c r="O32" i="12"/>
  <c r="O31" i="12"/>
  <c r="O30" i="12"/>
  <c r="O29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O28" i="12" s="1"/>
  <c r="O27" i="12"/>
  <c r="O26" i="12"/>
  <c r="O25" i="12"/>
  <c r="O24" i="12"/>
  <c r="O23" i="12"/>
  <c r="N22" i="12"/>
  <c r="M22" i="12"/>
  <c r="L22" i="12"/>
  <c r="K22" i="12"/>
  <c r="J22" i="12"/>
  <c r="I22" i="12"/>
  <c r="H22" i="12"/>
  <c r="G22" i="12"/>
  <c r="F22" i="12"/>
  <c r="E22" i="12"/>
  <c r="D22" i="12"/>
  <c r="O22" i="12"/>
  <c r="O21" i="12"/>
  <c r="O20" i="12"/>
  <c r="O19" i="12"/>
  <c r="O18" i="12"/>
  <c r="O17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O16" i="12" s="1"/>
  <c r="O15" i="12"/>
  <c r="O14" i="12"/>
  <c r="O13" i="12"/>
  <c r="O12" i="12"/>
  <c r="O11" i="12"/>
  <c r="O10" i="12"/>
  <c r="N9" i="12"/>
  <c r="M9" i="12"/>
  <c r="L9" i="12"/>
  <c r="K9" i="12"/>
  <c r="J9" i="12"/>
  <c r="I9" i="12"/>
  <c r="H9" i="12"/>
  <c r="G9" i="12"/>
  <c r="F9" i="12"/>
  <c r="E9" i="12"/>
  <c r="D9" i="12"/>
  <c r="C9" i="12"/>
  <c r="O9" i="12" s="1"/>
  <c r="N8" i="12"/>
  <c r="O138" i="10"/>
  <c r="O137" i="10"/>
  <c r="O136" i="10"/>
  <c r="O135" i="10"/>
  <c r="O134" i="10"/>
  <c r="O133" i="10"/>
  <c r="D42" i="17" s="1"/>
  <c r="O132" i="10"/>
  <c r="O131" i="10"/>
  <c r="O129" i="10"/>
  <c r="O128" i="10"/>
  <c r="O127" i="10"/>
  <c r="O126" i="10"/>
  <c r="D40" i="17" s="1"/>
  <c r="O125" i="10"/>
  <c r="O124" i="10"/>
  <c r="O123" i="10"/>
  <c r="O122" i="10"/>
  <c r="O121" i="10"/>
  <c r="O120" i="10"/>
  <c r="O119" i="10"/>
  <c r="O118" i="10"/>
  <c r="O117" i="10"/>
  <c r="O115" i="10"/>
  <c r="O114" i="10"/>
  <c r="O113" i="10"/>
  <c r="O112" i="10"/>
  <c r="O111" i="10"/>
  <c r="O110" i="10"/>
  <c r="O109" i="10"/>
  <c r="O108" i="10"/>
  <c r="O107" i="10"/>
  <c r="O106" i="10"/>
  <c r="O105" i="10"/>
  <c r="D38" i="17" s="1"/>
  <c r="O104" i="10"/>
  <c r="O103" i="10"/>
  <c r="O102" i="10"/>
  <c r="O101" i="10"/>
  <c r="O100" i="10"/>
  <c r="O99" i="10"/>
  <c r="D37" i="17" s="1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4" i="10"/>
  <c r="O73" i="10"/>
  <c r="O72" i="10"/>
  <c r="O71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N6" i="10"/>
  <c r="G6" i="10"/>
  <c r="O52" i="10"/>
  <c r="O51" i="10"/>
  <c r="M6" i="10"/>
  <c r="L6" i="10"/>
  <c r="I6" i="10"/>
  <c r="E6" i="10"/>
  <c r="O49" i="10"/>
  <c r="O48" i="10"/>
  <c r="D43" i="17" s="1"/>
  <c r="C43" i="17" s="1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138" i="8"/>
  <c r="O137" i="8"/>
  <c r="O136" i="8"/>
  <c r="O135" i="8"/>
  <c r="O134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O132" i="8"/>
  <c r="O131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O129" i="8"/>
  <c r="O128" i="8"/>
  <c r="O127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O125" i="8"/>
  <c r="O124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O123" i="8" s="1"/>
  <c r="O122" i="8"/>
  <c r="O121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O120" i="8" s="1"/>
  <c r="O119" i="8"/>
  <c r="O118" i="8"/>
  <c r="O117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O116" i="8" s="1"/>
  <c r="D24" i="17" s="1"/>
  <c r="C24" i="17" s="1"/>
  <c r="O115" i="8"/>
  <c r="O114" i="8"/>
  <c r="O113" i="8"/>
  <c r="O112" i="8"/>
  <c r="O111" i="8"/>
  <c r="O110" i="8"/>
  <c r="O109" i="8"/>
  <c r="O108" i="8"/>
  <c r="O107" i="8"/>
  <c r="O106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O105" i="8" s="1"/>
  <c r="D23" i="17" s="1"/>
  <c r="C23" i="17" s="1"/>
  <c r="O104" i="8"/>
  <c r="O103" i="8"/>
  <c r="O102" i="8"/>
  <c r="O101" i="8"/>
  <c r="O100" i="8"/>
  <c r="N99" i="8"/>
  <c r="M99" i="8"/>
  <c r="L99" i="8"/>
  <c r="K99" i="8"/>
  <c r="J99" i="8"/>
  <c r="I99" i="8"/>
  <c r="H99" i="8"/>
  <c r="G99" i="8"/>
  <c r="F99" i="8"/>
  <c r="E99" i="8"/>
  <c r="D99" i="8"/>
  <c r="C99" i="8"/>
  <c r="O99" i="8" s="1"/>
  <c r="D22" i="17" s="1"/>
  <c r="C22" i="17" s="1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N75" i="8"/>
  <c r="M75" i="8"/>
  <c r="L75" i="8"/>
  <c r="K75" i="8"/>
  <c r="J75" i="8"/>
  <c r="I75" i="8"/>
  <c r="H75" i="8"/>
  <c r="G75" i="8"/>
  <c r="F75" i="8"/>
  <c r="E75" i="8"/>
  <c r="D75" i="8"/>
  <c r="C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N53" i="8"/>
  <c r="M53" i="8"/>
  <c r="L53" i="8"/>
  <c r="K53" i="8"/>
  <c r="J53" i="8"/>
  <c r="I53" i="8"/>
  <c r="H53" i="8"/>
  <c r="G53" i="8"/>
  <c r="F53" i="8"/>
  <c r="E53" i="8"/>
  <c r="D53" i="8"/>
  <c r="C53" i="8"/>
  <c r="O52" i="8"/>
  <c r="O51" i="8"/>
  <c r="N50" i="8"/>
  <c r="M50" i="8"/>
  <c r="L50" i="8"/>
  <c r="K50" i="8"/>
  <c r="J50" i="8"/>
  <c r="I50" i="8"/>
  <c r="H50" i="8"/>
  <c r="G50" i="8"/>
  <c r="F50" i="8"/>
  <c r="E50" i="8"/>
  <c r="D50" i="8"/>
  <c r="C50" i="8"/>
  <c r="O50" i="8" s="1"/>
  <c r="D19" i="17" s="1"/>
  <c r="O49" i="8"/>
  <c r="N48" i="8"/>
  <c r="M48" i="8"/>
  <c r="L48" i="8"/>
  <c r="K48" i="8"/>
  <c r="J48" i="8"/>
  <c r="I48" i="8"/>
  <c r="H48" i="8"/>
  <c r="G48" i="8"/>
  <c r="F48" i="8"/>
  <c r="E48" i="8"/>
  <c r="D48" i="8"/>
  <c r="C48" i="8"/>
  <c r="O48" i="8" s="1"/>
  <c r="O46" i="8"/>
  <c r="O45" i="8"/>
  <c r="N43" i="8"/>
  <c r="M43" i="8"/>
  <c r="L43" i="8"/>
  <c r="K43" i="8"/>
  <c r="J43" i="8"/>
  <c r="I43" i="8"/>
  <c r="H43" i="8"/>
  <c r="G43" i="8"/>
  <c r="F43" i="8"/>
  <c r="E43" i="8"/>
  <c r="D43" i="8"/>
  <c r="C43" i="8"/>
  <c r="O43" i="8" s="1"/>
  <c r="O42" i="8"/>
  <c r="O41" i="8"/>
  <c r="N40" i="8"/>
  <c r="M40" i="8"/>
  <c r="L40" i="8"/>
  <c r="K40" i="8"/>
  <c r="J40" i="8"/>
  <c r="I40" i="8"/>
  <c r="H40" i="8"/>
  <c r="G40" i="8"/>
  <c r="F40" i="8"/>
  <c r="E40" i="8"/>
  <c r="D40" i="8"/>
  <c r="C40" i="8"/>
  <c r="O40" i="8" s="1"/>
  <c r="O39" i="8"/>
  <c r="O38" i="8"/>
  <c r="N37" i="8"/>
  <c r="M37" i="8"/>
  <c r="L37" i="8"/>
  <c r="K37" i="8"/>
  <c r="J37" i="8"/>
  <c r="I37" i="8"/>
  <c r="H37" i="8"/>
  <c r="G37" i="8"/>
  <c r="F37" i="8"/>
  <c r="E37" i="8"/>
  <c r="D37" i="8"/>
  <c r="C37" i="8"/>
  <c r="O37" i="8" s="1"/>
  <c r="O36" i="8"/>
  <c r="O35" i="8"/>
  <c r="O34" i="8"/>
  <c r="N33" i="8"/>
  <c r="M33" i="8"/>
  <c r="L33" i="8"/>
  <c r="K33" i="8"/>
  <c r="J33" i="8"/>
  <c r="I33" i="8"/>
  <c r="H33" i="8"/>
  <c r="G33" i="8"/>
  <c r="F33" i="8"/>
  <c r="E33" i="8"/>
  <c r="D33" i="8"/>
  <c r="C33" i="8"/>
  <c r="O33" i="8" s="1"/>
  <c r="O32" i="8"/>
  <c r="O31" i="8"/>
  <c r="O30" i="8"/>
  <c r="O29" i="8"/>
  <c r="N28" i="8"/>
  <c r="M28" i="8"/>
  <c r="L28" i="8"/>
  <c r="K28" i="8"/>
  <c r="J28" i="8"/>
  <c r="I28" i="8"/>
  <c r="H28" i="8"/>
  <c r="G28" i="8"/>
  <c r="F28" i="8"/>
  <c r="E28" i="8"/>
  <c r="D28" i="8"/>
  <c r="C28" i="8"/>
  <c r="O28" i="8" s="1"/>
  <c r="O27" i="8"/>
  <c r="O26" i="8"/>
  <c r="O25" i="8"/>
  <c r="O24" i="8"/>
  <c r="O23" i="8"/>
  <c r="N22" i="8"/>
  <c r="M22" i="8"/>
  <c r="L22" i="8"/>
  <c r="K22" i="8"/>
  <c r="J22" i="8"/>
  <c r="I22" i="8"/>
  <c r="H22" i="8"/>
  <c r="G22" i="8"/>
  <c r="F22" i="8"/>
  <c r="E22" i="8"/>
  <c r="D22" i="8"/>
  <c r="C22" i="8"/>
  <c r="O22" i="8" s="1"/>
  <c r="O21" i="8"/>
  <c r="O20" i="8"/>
  <c r="O19" i="8"/>
  <c r="O18" i="8"/>
  <c r="O17" i="8"/>
  <c r="N16" i="8"/>
  <c r="M16" i="8"/>
  <c r="L16" i="8"/>
  <c r="K16" i="8"/>
  <c r="J16" i="8"/>
  <c r="I16" i="8"/>
  <c r="H16" i="8"/>
  <c r="G16" i="8"/>
  <c r="F16" i="8"/>
  <c r="E16" i="8"/>
  <c r="D16" i="8"/>
  <c r="C16" i="8"/>
  <c r="O16" i="8" s="1"/>
  <c r="O15" i="8"/>
  <c r="O14" i="8"/>
  <c r="O13" i="8"/>
  <c r="O12" i="8"/>
  <c r="O11" i="8"/>
  <c r="O10" i="8"/>
  <c r="N9" i="8"/>
  <c r="M9" i="8"/>
  <c r="L9" i="8"/>
  <c r="K9" i="8"/>
  <c r="J9" i="8"/>
  <c r="I9" i="8"/>
  <c r="H9" i="8"/>
  <c r="G9" i="8"/>
  <c r="F9" i="8"/>
  <c r="E9" i="8"/>
  <c r="D9" i="8"/>
  <c r="C9" i="8"/>
  <c r="O9" i="8" s="1"/>
  <c r="N8" i="8"/>
  <c r="M8" i="8"/>
  <c r="L8" i="8"/>
  <c r="K8" i="8"/>
  <c r="J8" i="8"/>
  <c r="I8" i="8"/>
  <c r="H8" i="8"/>
  <c r="G8" i="8"/>
  <c r="F8" i="8"/>
  <c r="E8" i="8"/>
  <c r="D8" i="8"/>
  <c r="C8" i="8"/>
  <c r="O8" i="8" s="1"/>
  <c r="O138" i="7"/>
  <c r="O137" i="7"/>
  <c r="O136" i="7"/>
  <c r="O135" i="7"/>
  <c r="O134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O133" i="7" s="1"/>
  <c r="I12" i="17" s="1"/>
  <c r="H12" i="17" s="1"/>
  <c r="O132" i="7"/>
  <c r="O131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O129" i="7"/>
  <c r="O128" i="7"/>
  <c r="O127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O125" i="7"/>
  <c r="O124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O123" i="7" s="1"/>
  <c r="O122" i="7"/>
  <c r="O121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O120" i="7" s="1"/>
  <c r="O119" i="7"/>
  <c r="O118" i="7"/>
  <c r="O117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O116" i="7" s="1"/>
  <c r="I9" i="17" s="1"/>
  <c r="H9" i="17" s="1"/>
  <c r="O115" i="7"/>
  <c r="O114" i="7"/>
  <c r="O113" i="7"/>
  <c r="O112" i="7"/>
  <c r="O111" i="7"/>
  <c r="O110" i="7"/>
  <c r="O109" i="7"/>
  <c r="O108" i="7"/>
  <c r="O107" i="7"/>
  <c r="O106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O105" i="7" s="1"/>
  <c r="I8" i="17" s="1"/>
  <c r="H8" i="17" s="1"/>
  <c r="O104" i="7"/>
  <c r="O103" i="7"/>
  <c r="O102" i="7"/>
  <c r="O101" i="7"/>
  <c r="O100" i="7"/>
  <c r="N99" i="7"/>
  <c r="M99" i="7"/>
  <c r="L99" i="7"/>
  <c r="K99" i="7"/>
  <c r="J99" i="7"/>
  <c r="I99" i="7"/>
  <c r="H99" i="7"/>
  <c r="G99" i="7"/>
  <c r="F99" i="7"/>
  <c r="E99" i="7"/>
  <c r="D99" i="7"/>
  <c r="C99" i="7"/>
  <c r="O99" i="7" s="1"/>
  <c r="I7" i="17" s="1"/>
  <c r="H7" i="17" s="1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N53" i="7"/>
  <c r="M53" i="7"/>
  <c r="L53" i="7"/>
  <c r="K53" i="7"/>
  <c r="J53" i="7"/>
  <c r="I53" i="7"/>
  <c r="H53" i="7"/>
  <c r="G53" i="7"/>
  <c r="F53" i="7"/>
  <c r="E53" i="7"/>
  <c r="D53" i="7"/>
  <c r="C53" i="7"/>
  <c r="O52" i="7"/>
  <c r="O51" i="7"/>
  <c r="N50" i="7"/>
  <c r="M50" i="7"/>
  <c r="L50" i="7"/>
  <c r="K50" i="7"/>
  <c r="J50" i="7"/>
  <c r="I50" i="7"/>
  <c r="H50" i="7"/>
  <c r="G50" i="7"/>
  <c r="F50" i="7"/>
  <c r="E50" i="7"/>
  <c r="D50" i="7"/>
  <c r="C50" i="7"/>
  <c r="O49" i="7"/>
  <c r="N48" i="7"/>
  <c r="M48" i="7"/>
  <c r="L48" i="7"/>
  <c r="K48" i="7"/>
  <c r="J48" i="7"/>
  <c r="I48" i="7"/>
  <c r="H48" i="7"/>
  <c r="G48" i="7"/>
  <c r="F48" i="7"/>
  <c r="E48" i="7"/>
  <c r="D48" i="7"/>
  <c r="C48" i="7"/>
  <c r="O46" i="7"/>
  <c r="O45" i="7"/>
  <c r="O44" i="7"/>
  <c r="N43" i="7"/>
  <c r="M43" i="7"/>
  <c r="L43" i="7"/>
  <c r="K43" i="7"/>
  <c r="J43" i="7"/>
  <c r="I43" i="7"/>
  <c r="H43" i="7"/>
  <c r="G43" i="7"/>
  <c r="F43" i="7"/>
  <c r="E43" i="7"/>
  <c r="D43" i="7"/>
  <c r="C43" i="7"/>
  <c r="O43" i="7" s="1"/>
  <c r="O42" i="7"/>
  <c r="O41" i="7"/>
  <c r="N40" i="7"/>
  <c r="M40" i="7"/>
  <c r="L40" i="7"/>
  <c r="K40" i="7"/>
  <c r="J40" i="7"/>
  <c r="I40" i="7"/>
  <c r="H40" i="7"/>
  <c r="G40" i="7"/>
  <c r="F40" i="7"/>
  <c r="E40" i="7"/>
  <c r="D40" i="7"/>
  <c r="C40" i="7"/>
  <c r="O40" i="7" s="1"/>
  <c r="O39" i="7"/>
  <c r="O38" i="7"/>
  <c r="N37" i="7"/>
  <c r="M37" i="7"/>
  <c r="L37" i="7"/>
  <c r="K37" i="7"/>
  <c r="J37" i="7"/>
  <c r="I37" i="7"/>
  <c r="H37" i="7"/>
  <c r="G37" i="7"/>
  <c r="F37" i="7"/>
  <c r="E37" i="7"/>
  <c r="D37" i="7"/>
  <c r="C37" i="7"/>
  <c r="O37" i="7" s="1"/>
  <c r="O36" i="7"/>
  <c r="O35" i="7"/>
  <c r="O34" i="7"/>
  <c r="N33" i="7"/>
  <c r="M33" i="7"/>
  <c r="L33" i="7"/>
  <c r="K33" i="7"/>
  <c r="J33" i="7"/>
  <c r="I33" i="7"/>
  <c r="H33" i="7"/>
  <c r="G33" i="7"/>
  <c r="F33" i="7"/>
  <c r="E33" i="7"/>
  <c r="D33" i="7"/>
  <c r="C33" i="7"/>
  <c r="O33" i="7" s="1"/>
  <c r="O32" i="7"/>
  <c r="O31" i="7"/>
  <c r="O30" i="7"/>
  <c r="O29" i="7"/>
  <c r="N28" i="7"/>
  <c r="M28" i="7"/>
  <c r="L28" i="7"/>
  <c r="K28" i="7"/>
  <c r="J28" i="7"/>
  <c r="I28" i="7"/>
  <c r="H28" i="7"/>
  <c r="G28" i="7"/>
  <c r="F28" i="7"/>
  <c r="E28" i="7"/>
  <c r="D28" i="7"/>
  <c r="C28" i="7"/>
  <c r="O28" i="7" s="1"/>
  <c r="O27" i="7"/>
  <c r="O26" i="7"/>
  <c r="O25" i="7"/>
  <c r="O24" i="7"/>
  <c r="O23" i="7"/>
  <c r="N22" i="7"/>
  <c r="M22" i="7"/>
  <c r="L22" i="7"/>
  <c r="K22" i="7"/>
  <c r="J22" i="7"/>
  <c r="I22" i="7"/>
  <c r="H22" i="7"/>
  <c r="G22" i="7"/>
  <c r="F22" i="7"/>
  <c r="E22" i="7"/>
  <c r="D22" i="7"/>
  <c r="C22" i="7"/>
  <c r="O22" i="7" s="1"/>
  <c r="O21" i="7"/>
  <c r="O20" i="7"/>
  <c r="O19" i="7"/>
  <c r="O18" i="7"/>
  <c r="O17" i="7"/>
  <c r="N16" i="7"/>
  <c r="M16" i="7"/>
  <c r="L16" i="7"/>
  <c r="K16" i="7"/>
  <c r="J16" i="7"/>
  <c r="I16" i="7"/>
  <c r="H16" i="7"/>
  <c r="G16" i="7"/>
  <c r="F16" i="7"/>
  <c r="E16" i="7"/>
  <c r="D16" i="7"/>
  <c r="C16" i="7"/>
  <c r="O16" i="7" s="1"/>
  <c r="O15" i="7"/>
  <c r="O14" i="7"/>
  <c r="O13" i="7"/>
  <c r="O12" i="7"/>
  <c r="O11" i="7"/>
  <c r="O10" i="7"/>
  <c r="N9" i="7"/>
  <c r="M9" i="7"/>
  <c r="L9" i="7"/>
  <c r="K9" i="7"/>
  <c r="J9" i="7"/>
  <c r="I9" i="7"/>
  <c r="H9" i="7"/>
  <c r="G9" i="7"/>
  <c r="F9" i="7"/>
  <c r="E9" i="7"/>
  <c r="D9" i="7"/>
  <c r="C9" i="7"/>
  <c r="O9" i="7" s="1"/>
  <c r="N8" i="7"/>
  <c r="M8" i="7"/>
  <c r="L8" i="7"/>
  <c r="K8" i="7"/>
  <c r="J8" i="7"/>
  <c r="I8" i="7"/>
  <c r="H8" i="7"/>
  <c r="G8" i="7"/>
  <c r="F8" i="7"/>
  <c r="E8" i="7"/>
  <c r="D8" i="7"/>
  <c r="C8" i="7"/>
  <c r="O8" i="7" s="1"/>
  <c r="O138" i="6"/>
  <c r="O137" i="6"/>
  <c r="O136" i="6"/>
  <c r="O135" i="6"/>
  <c r="O134" i="6"/>
  <c r="N133" i="6"/>
  <c r="M133" i="6"/>
  <c r="L133" i="6"/>
  <c r="K133" i="6"/>
  <c r="J133" i="6"/>
  <c r="I133" i="6"/>
  <c r="H133" i="6"/>
  <c r="G133" i="6"/>
  <c r="F133" i="6"/>
  <c r="E133" i="6"/>
  <c r="D133" i="6"/>
  <c r="C133" i="6"/>
  <c r="O133" i="6" s="1"/>
  <c r="O132" i="6"/>
  <c r="O131" i="6"/>
  <c r="N130" i="6"/>
  <c r="M130" i="6"/>
  <c r="L130" i="6"/>
  <c r="K130" i="6"/>
  <c r="J130" i="6"/>
  <c r="I130" i="6"/>
  <c r="H130" i="6"/>
  <c r="G130" i="6"/>
  <c r="F130" i="6"/>
  <c r="E130" i="6"/>
  <c r="D130" i="6"/>
  <c r="C130" i="6"/>
  <c r="O129" i="6"/>
  <c r="O128" i="6"/>
  <c r="O127" i="6"/>
  <c r="N126" i="6"/>
  <c r="M126" i="6"/>
  <c r="L126" i="6"/>
  <c r="K126" i="6"/>
  <c r="J126" i="6"/>
  <c r="I126" i="6"/>
  <c r="H126" i="6"/>
  <c r="G126" i="6"/>
  <c r="F126" i="6"/>
  <c r="E126" i="6"/>
  <c r="D126" i="6"/>
  <c r="C126" i="6"/>
  <c r="O125" i="6"/>
  <c r="O124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O123" i="6" s="1"/>
  <c r="O122" i="6"/>
  <c r="O121" i="6"/>
  <c r="N120" i="6"/>
  <c r="M120" i="6"/>
  <c r="L120" i="6"/>
  <c r="K120" i="6"/>
  <c r="J120" i="6"/>
  <c r="I120" i="6"/>
  <c r="H120" i="6"/>
  <c r="G120" i="6"/>
  <c r="F120" i="6"/>
  <c r="E120" i="6"/>
  <c r="D120" i="6"/>
  <c r="C120" i="6"/>
  <c r="O120" i="6" s="1"/>
  <c r="O119" i="6"/>
  <c r="O118" i="6"/>
  <c r="O117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O115" i="6"/>
  <c r="O114" i="6"/>
  <c r="O113" i="6"/>
  <c r="O112" i="6"/>
  <c r="O111" i="6"/>
  <c r="O110" i="6"/>
  <c r="O109" i="6"/>
  <c r="O108" i="6"/>
  <c r="O107" i="6"/>
  <c r="O106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O105" i="6" s="1"/>
  <c r="D8" i="17" s="1"/>
  <c r="C8" i="17" s="1"/>
  <c r="O104" i="6"/>
  <c r="O103" i="6"/>
  <c r="O102" i="6"/>
  <c r="O101" i="6"/>
  <c r="O100" i="6"/>
  <c r="N99" i="6"/>
  <c r="M99" i="6"/>
  <c r="L99" i="6"/>
  <c r="K99" i="6"/>
  <c r="J99" i="6"/>
  <c r="I99" i="6"/>
  <c r="H99" i="6"/>
  <c r="G99" i="6"/>
  <c r="F99" i="6"/>
  <c r="E99" i="6"/>
  <c r="D99" i="6"/>
  <c r="C99" i="6"/>
  <c r="O99" i="6" s="1"/>
  <c r="D7" i="17" s="1"/>
  <c r="C7" i="17" s="1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N75" i="6"/>
  <c r="M75" i="6"/>
  <c r="L75" i="6"/>
  <c r="K75" i="6"/>
  <c r="J75" i="6"/>
  <c r="I75" i="6"/>
  <c r="H75" i="6"/>
  <c r="G75" i="6"/>
  <c r="F75" i="6"/>
  <c r="E75" i="6"/>
  <c r="D75" i="6"/>
  <c r="C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N53" i="6"/>
  <c r="M53" i="6"/>
  <c r="L53" i="6"/>
  <c r="K53" i="6"/>
  <c r="J53" i="6"/>
  <c r="I53" i="6"/>
  <c r="H53" i="6"/>
  <c r="G53" i="6"/>
  <c r="F53" i="6"/>
  <c r="E53" i="6"/>
  <c r="D53" i="6"/>
  <c r="C53" i="6"/>
  <c r="O52" i="6"/>
  <c r="O51" i="6"/>
  <c r="N50" i="6"/>
  <c r="M50" i="6"/>
  <c r="L50" i="6"/>
  <c r="K50" i="6"/>
  <c r="J50" i="6"/>
  <c r="I50" i="6"/>
  <c r="H50" i="6"/>
  <c r="G50" i="6"/>
  <c r="F50" i="6"/>
  <c r="E50" i="6"/>
  <c r="D50" i="6"/>
  <c r="C50" i="6"/>
  <c r="O49" i="6"/>
  <c r="N48" i="6"/>
  <c r="M48" i="6"/>
  <c r="L48" i="6"/>
  <c r="K48" i="6"/>
  <c r="J48" i="6"/>
  <c r="I48" i="6"/>
  <c r="H48" i="6"/>
  <c r="G48" i="6"/>
  <c r="F48" i="6"/>
  <c r="E48" i="6"/>
  <c r="D48" i="6"/>
  <c r="C48" i="6"/>
  <c r="O48" i="6" s="1"/>
  <c r="O46" i="6"/>
  <c r="O45" i="6"/>
  <c r="O44" i="6"/>
  <c r="N43" i="6"/>
  <c r="M43" i="6"/>
  <c r="L43" i="6"/>
  <c r="K43" i="6"/>
  <c r="J43" i="6"/>
  <c r="I43" i="6"/>
  <c r="H43" i="6"/>
  <c r="G43" i="6"/>
  <c r="F43" i="6"/>
  <c r="E43" i="6"/>
  <c r="D43" i="6"/>
  <c r="C43" i="6"/>
  <c r="O43" i="6" s="1"/>
  <c r="O42" i="6"/>
  <c r="O41" i="6"/>
  <c r="N40" i="6"/>
  <c r="M40" i="6"/>
  <c r="L40" i="6"/>
  <c r="K40" i="6"/>
  <c r="J40" i="6"/>
  <c r="I40" i="6"/>
  <c r="H40" i="6"/>
  <c r="G40" i="6"/>
  <c r="F40" i="6"/>
  <c r="E40" i="6"/>
  <c r="D40" i="6"/>
  <c r="C40" i="6"/>
  <c r="O40" i="6" s="1"/>
  <c r="O39" i="6"/>
  <c r="O38" i="6"/>
  <c r="N37" i="6"/>
  <c r="M37" i="6"/>
  <c r="L37" i="6"/>
  <c r="K37" i="6"/>
  <c r="J37" i="6"/>
  <c r="I37" i="6"/>
  <c r="H37" i="6"/>
  <c r="G37" i="6"/>
  <c r="F37" i="6"/>
  <c r="E37" i="6"/>
  <c r="D37" i="6"/>
  <c r="C37" i="6"/>
  <c r="O37" i="6" s="1"/>
  <c r="O36" i="6"/>
  <c r="O35" i="6"/>
  <c r="O34" i="6"/>
  <c r="N33" i="6"/>
  <c r="M33" i="6"/>
  <c r="L33" i="6"/>
  <c r="K33" i="6"/>
  <c r="J33" i="6"/>
  <c r="I33" i="6"/>
  <c r="H33" i="6"/>
  <c r="G33" i="6"/>
  <c r="F33" i="6"/>
  <c r="E33" i="6"/>
  <c r="D33" i="6"/>
  <c r="C33" i="6"/>
  <c r="O32" i="6"/>
  <c r="O31" i="6"/>
  <c r="O30" i="6"/>
  <c r="O29" i="6"/>
  <c r="N28" i="6"/>
  <c r="M28" i="6"/>
  <c r="L28" i="6"/>
  <c r="K28" i="6"/>
  <c r="J28" i="6"/>
  <c r="I28" i="6"/>
  <c r="H28" i="6"/>
  <c r="G28" i="6"/>
  <c r="F28" i="6"/>
  <c r="E28" i="6"/>
  <c r="D28" i="6"/>
  <c r="C28" i="6"/>
  <c r="O28" i="6" s="1"/>
  <c r="O27" i="6"/>
  <c r="O26" i="6"/>
  <c r="O25" i="6"/>
  <c r="O24" i="6"/>
  <c r="O23" i="6"/>
  <c r="N22" i="6"/>
  <c r="M22" i="6"/>
  <c r="L22" i="6"/>
  <c r="K22" i="6"/>
  <c r="J22" i="6"/>
  <c r="I22" i="6"/>
  <c r="H22" i="6"/>
  <c r="G22" i="6"/>
  <c r="F22" i="6"/>
  <c r="E22" i="6"/>
  <c r="D22" i="6"/>
  <c r="C22" i="6"/>
  <c r="O22" i="6" s="1"/>
  <c r="O21" i="6"/>
  <c r="O20" i="6"/>
  <c r="O19" i="6"/>
  <c r="O18" i="6"/>
  <c r="O17" i="6"/>
  <c r="N16" i="6"/>
  <c r="M16" i="6"/>
  <c r="L16" i="6"/>
  <c r="K16" i="6"/>
  <c r="J16" i="6"/>
  <c r="I16" i="6"/>
  <c r="H16" i="6"/>
  <c r="G16" i="6"/>
  <c r="F16" i="6"/>
  <c r="E16" i="6"/>
  <c r="D16" i="6"/>
  <c r="C16" i="6"/>
  <c r="O16" i="6" s="1"/>
  <c r="O15" i="6"/>
  <c r="O14" i="6"/>
  <c r="O13" i="6"/>
  <c r="O12" i="6"/>
  <c r="O11" i="6"/>
  <c r="O10" i="6"/>
  <c r="N9" i="6"/>
  <c r="M9" i="6"/>
  <c r="L9" i="6"/>
  <c r="K9" i="6"/>
  <c r="J9" i="6"/>
  <c r="I9" i="6"/>
  <c r="H9" i="6"/>
  <c r="G9" i="6"/>
  <c r="F9" i="6"/>
  <c r="E9" i="6"/>
  <c r="D9" i="6"/>
  <c r="C9" i="6"/>
  <c r="O9" i="6" s="1"/>
  <c r="N8" i="6"/>
  <c r="M8" i="6"/>
  <c r="L8" i="6"/>
  <c r="K8" i="6"/>
  <c r="J8" i="6"/>
  <c r="I8" i="6"/>
  <c r="H8" i="6"/>
  <c r="G8" i="6"/>
  <c r="F8" i="6"/>
  <c r="E8" i="6"/>
  <c r="D8" i="6"/>
  <c r="C8" i="6"/>
  <c r="O138" i="5"/>
  <c r="O137" i="5"/>
  <c r="O136" i="5"/>
  <c r="O135" i="5"/>
  <c r="O134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O133" i="5" s="1"/>
  <c r="I27" i="17" s="1"/>
  <c r="O132" i="5"/>
  <c r="O131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O129" i="5"/>
  <c r="O128" i="5"/>
  <c r="O127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O126" i="5" s="1"/>
  <c r="I25" i="17" s="1"/>
  <c r="O125" i="5"/>
  <c r="O124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O123" i="5" s="1"/>
  <c r="O122" i="5"/>
  <c r="O121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O120" i="5" s="1"/>
  <c r="O115" i="5"/>
  <c r="O114" i="5"/>
  <c r="O113" i="5"/>
  <c r="O112" i="5"/>
  <c r="O111" i="5"/>
  <c r="O110" i="5"/>
  <c r="O109" i="5"/>
  <c r="O108" i="5"/>
  <c r="O107" i="5"/>
  <c r="O106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O105" i="5" s="1"/>
  <c r="I23" i="17" s="1"/>
  <c r="O104" i="5"/>
  <c r="O103" i="5"/>
  <c r="O102" i="5"/>
  <c r="O101" i="5"/>
  <c r="O100" i="5"/>
  <c r="N99" i="5"/>
  <c r="N47" i="5" s="1"/>
  <c r="M99" i="5"/>
  <c r="L99" i="5"/>
  <c r="K99" i="5"/>
  <c r="J99" i="5"/>
  <c r="I99" i="5"/>
  <c r="H99" i="5"/>
  <c r="G99" i="5"/>
  <c r="F99" i="5"/>
  <c r="E99" i="5"/>
  <c r="D99" i="5"/>
  <c r="C99" i="5"/>
  <c r="O51" i="5"/>
  <c r="O49" i="5"/>
  <c r="O48" i="5"/>
  <c r="O45" i="5"/>
  <c r="N43" i="5"/>
  <c r="M43" i="5"/>
  <c r="L43" i="5"/>
  <c r="K43" i="5"/>
  <c r="J43" i="5"/>
  <c r="I43" i="5"/>
  <c r="H43" i="5"/>
  <c r="G43" i="5"/>
  <c r="F43" i="5"/>
  <c r="E43" i="5"/>
  <c r="D43" i="5"/>
  <c r="C43" i="5"/>
  <c r="O43" i="5" s="1"/>
  <c r="O42" i="5"/>
  <c r="O41" i="5"/>
  <c r="N40" i="5"/>
  <c r="M40" i="5"/>
  <c r="L40" i="5"/>
  <c r="K40" i="5"/>
  <c r="I40" i="5"/>
  <c r="H40" i="5"/>
  <c r="G40" i="5"/>
  <c r="F40" i="5"/>
  <c r="E40" i="5"/>
  <c r="D40" i="5"/>
  <c r="C40" i="5"/>
  <c r="O40" i="5" s="1"/>
  <c r="O39" i="5"/>
  <c r="O38" i="5"/>
  <c r="N37" i="5"/>
  <c r="M37" i="5"/>
  <c r="L37" i="5"/>
  <c r="K37" i="5"/>
  <c r="J37" i="5"/>
  <c r="I37" i="5"/>
  <c r="H37" i="5"/>
  <c r="G37" i="5"/>
  <c r="F37" i="5"/>
  <c r="E37" i="5"/>
  <c r="D37" i="5"/>
  <c r="C37" i="5"/>
  <c r="O37" i="5" s="1"/>
  <c r="O36" i="5"/>
  <c r="O35" i="5"/>
  <c r="O34" i="5"/>
  <c r="N33" i="5"/>
  <c r="M33" i="5"/>
  <c r="L33" i="5"/>
  <c r="K33" i="5"/>
  <c r="J33" i="5"/>
  <c r="I33" i="5"/>
  <c r="H33" i="5"/>
  <c r="G33" i="5"/>
  <c r="F33" i="5"/>
  <c r="E33" i="5"/>
  <c r="D33" i="5"/>
  <c r="C33" i="5"/>
  <c r="O32" i="5"/>
  <c r="O31" i="5"/>
  <c r="O30" i="5"/>
  <c r="O29" i="5"/>
  <c r="N28" i="5"/>
  <c r="M28" i="5"/>
  <c r="L28" i="5"/>
  <c r="K28" i="5"/>
  <c r="J28" i="5"/>
  <c r="I28" i="5"/>
  <c r="H28" i="5"/>
  <c r="G28" i="5"/>
  <c r="F28" i="5"/>
  <c r="E28" i="5"/>
  <c r="D28" i="5"/>
  <c r="C28" i="5"/>
  <c r="O28" i="5" s="1"/>
  <c r="O27" i="5"/>
  <c r="O26" i="5"/>
  <c r="O25" i="5"/>
  <c r="O24" i="5"/>
  <c r="O23" i="5"/>
  <c r="N22" i="5"/>
  <c r="M22" i="5"/>
  <c r="L22" i="5"/>
  <c r="K22" i="5"/>
  <c r="J22" i="5"/>
  <c r="I22" i="5"/>
  <c r="H22" i="5"/>
  <c r="G22" i="5"/>
  <c r="F22" i="5"/>
  <c r="E22" i="5"/>
  <c r="D22" i="5"/>
  <c r="C22" i="5"/>
  <c r="O22" i="5" s="1"/>
  <c r="O21" i="5"/>
  <c r="O20" i="5"/>
  <c r="O19" i="5"/>
  <c r="O18" i="5"/>
  <c r="O17" i="5"/>
  <c r="N16" i="5"/>
  <c r="M16" i="5"/>
  <c r="L16" i="5"/>
  <c r="K16" i="5"/>
  <c r="J16" i="5"/>
  <c r="I16" i="5"/>
  <c r="H16" i="5"/>
  <c r="G16" i="5"/>
  <c r="F16" i="5"/>
  <c r="E16" i="5"/>
  <c r="D16" i="5"/>
  <c r="C16" i="5"/>
  <c r="O16" i="5" s="1"/>
  <c r="O15" i="5"/>
  <c r="O14" i="5"/>
  <c r="O13" i="5"/>
  <c r="O12" i="5"/>
  <c r="O11" i="5"/>
  <c r="O10" i="5"/>
  <c r="N9" i="5"/>
  <c r="M9" i="5"/>
  <c r="L9" i="5"/>
  <c r="K9" i="5"/>
  <c r="J9" i="5"/>
  <c r="I9" i="5"/>
  <c r="H9" i="5"/>
  <c r="G9" i="5"/>
  <c r="F9" i="5"/>
  <c r="E9" i="5"/>
  <c r="D9" i="5"/>
  <c r="C9" i="5"/>
  <c r="O9" i="5" s="1"/>
  <c r="N8" i="5"/>
  <c r="M8" i="5"/>
  <c r="L8" i="5"/>
  <c r="K8" i="5"/>
  <c r="J8" i="5"/>
  <c r="I8" i="5"/>
  <c r="H8" i="5"/>
  <c r="G8" i="5"/>
  <c r="F8" i="5"/>
  <c r="E8" i="5"/>
  <c r="D8" i="5"/>
  <c r="O138" i="4"/>
  <c r="O137" i="4"/>
  <c r="O136" i="4"/>
  <c r="O135" i="4"/>
  <c r="O134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O133" i="4" s="1"/>
  <c r="O132" i="4"/>
  <c r="O131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O130" i="4" s="1"/>
  <c r="O129" i="4"/>
  <c r="O128" i="4"/>
  <c r="O127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O126" i="4" s="1"/>
  <c r="O125" i="4"/>
  <c r="O124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O123" i="4" s="1"/>
  <c r="O122" i="4"/>
  <c r="O121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O120" i="4" s="1"/>
  <c r="O119" i="4"/>
  <c r="O118" i="4"/>
  <c r="O117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O116" i="4" s="1"/>
  <c r="O115" i="4"/>
  <c r="O114" i="4"/>
  <c r="O113" i="4"/>
  <c r="O112" i="4"/>
  <c r="O111" i="4"/>
  <c r="O110" i="4"/>
  <c r="O109" i="4"/>
  <c r="O108" i="4"/>
  <c r="O107" i="4"/>
  <c r="O106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O105" i="4" s="1"/>
  <c r="O104" i="4"/>
  <c r="O103" i="4"/>
  <c r="O102" i="4"/>
  <c r="O101" i="4"/>
  <c r="O100" i="4"/>
  <c r="N99" i="4"/>
  <c r="M99" i="4"/>
  <c r="L99" i="4"/>
  <c r="K99" i="4"/>
  <c r="J99" i="4"/>
  <c r="I99" i="4"/>
  <c r="H99" i="4"/>
  <c r="G99" i="4"/>
  <c r="F99" i="4"/>
  <c r="E99" i="4"/>
  <c r="D99" i="4"/>
  <c r="C99" i="4"/>
  <c r="O99" i="4" s="1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N75" i="4"/>
  <c r="M75" i="4"/>
  <c r="L75" i="4"/>
  <c r="K75" i="4"/>
  <c r="J75" i="4"/>
  <c r="I75" i="4"/>
  <c r="H75" i="4"/>
  <c r="G75" i="4"/>
  <c r="F75" i="4"/>
  <c r="E75" i="4"/>
  <c r="D75" i="4"/>
  <c r="C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N53" i="4"/>
  <c r="M53" i="4"/>
  <c r="L53" i="4"/>
  <c r="K53" i="4"/>
  <c r="J53" i="4"/>
  <c r="I53" i="4"/>
  <c r="H53" i="4"/>
  <c r="G53" i="4"/>
  <c r="F53" i="4"/>
  <c r="E53" i="4"/>
  <c r="C53" i="4"/>
  <c r="O53" i="4" s="1"/>
  <c r="O52" i="4"/>
  <c r="O51" i="4"/>
  <c r="N50" i="4"/>
  <c r="M50" i="4"/>
  <c r="L50" i="4"/>
  <c r="K50" i="4"/>
  <c r="J50" i="4"/>
  <c r="I50" i="4"/>
  <c r="H50" i="4"/>
  <c r="G50" i="4"/>
  <c r="F50" i="4"/>
  <c r="E50" i="4"/>
  <c r="D50" i="4"/>
  <c r="C50" i="4"/>
  <c r="O49" i="4"/>
  <c r="N48" i="4"/>
  <c r="M48" i="4"/>
  <c r="L48" i="4"/>
  <c r="K48" i="4"/>
  <c r="J48" i="4"/>
  <c r="I48" i="4"/>
  <c r="H48" i="4"/>
  <c r="G48" i="4"/>
  <c r="F48" i="4"/>
  <c r="E48" i="4"/>
  <c r="D48" i="4"/>
  <c r="C48" i="4"/>
  <c r="O48" i="4" s="1"/>
  <c r="M47" i="4"/>
  <c r="K47" i="4"/>
  <c r="G47" i="4"/>
  <c r="D47" i="4"/>
  <c r="O46" i="4"/>
  <c r="O45" i="4"/>
  <c r="O44" i="4"/>
  <c r="N43" i="4"/>
  <c r="M43" i="4"/>
  <c r="L43" i="4"/>
  <c r="K43" i="4"/>
  <c r="J43" i="4"/>
  <c r="I43" i="4"/>
  <c r="H43" i="4"/>
  <c r="G43" i="4"/>
  <c r="F43" i="4"/>
  <c r="E43" i="4"/>
  <c r="D43" i="4"/>
  <c r="C43" i="4"/>
  <c r="O43" i="4" s="1"/>
  <c r="O42" i="4"/>
  <c r="O41" i="4"/>
  <c r="N40" i="4"/>
  <c r="M40" i="4"/>
  <c r="L40" i="4"/>
  <c r="K40" i="4"/>
  <c r="J40" i="4"/>
  <c r="I40" i="4"/>
  <c r="H40" i="4"/>
  <c r="G40" i="4"/>
  <c r="F40" i="4"/>
  <c r="E40" i="4"/>
  <c r="D40" i="4"/>
  <c r="C40" i="4"/>
  <c r="O40" i="4" s="1"/>
  <c r="O39" i="4"/>
  <c r="O38" i="4"/>
  <c r="N37" i="4"/>
  <c r="M37" i="4"/>
  <c r="L37" i="4"/>
  <c r="K37" i="4"/>
  <c r="J37" i="4"/>
  <c r="I37" i="4"/>
  <c r="H37" i="4"/>
  <c r="G37" i="4"/>
  <c r="F37" i="4"/>
  <c r="E37" i="4"/>
  <c r="D37" i="4"/>
  <c r="C37" i="4"/>
  <c r="O37" i="4" s="1"/>
  <c r="O36" i="4"/>
  <c r="O35" i="4"/>
  <c r="O34" i="4"/>
  <c r="N33" i="4"/>
  <c r="M33" i="4"/>
  <c r="L33" i="4"/>
  <c r="K33" i="4"/>
  <c r="J33" i="4"/>
  <c r="I33" i="4"/>
  <c r="H33" i="4"/>
  <c r="G33" i="4"/>
  <c r="F33" i="4"/>
  <c r="E33" i="4"/>
  <c r="D33" i="4"/>
  <c r="C33" i="4"/>
  <c r="O32" i="4"/>
  <c r="O31" i="4"/>
  <c r="O30" i="4"/>
  <c r="O29" i="4"/>
  <c r="N28" i="4"/>
  <c r="M28" i="4"/>
  <c r="L28" i="4"/>
  <c r="K28" i="4"/>
  <c r="J28" i="4"/>
  <c r="I28" i="4"/>
  <c r="H28" i="4"/>
  <c r="G28" i="4"/>
  <c r="F28" i="4"/>
  <c r="E28" i="4"/>
  <c r="D28" i="4"/>
  <c r="C28" i="4"/>
  <c r="O28" i="4" s="1"/>
  <c r="O27" i="4"/>
  <c r="O26" i="4"/>
  <c r="O25" i="4"/>
  <c r="O24" i="4"/>
  <c r="O23" i="4"/>
  <c r="N22" i="4"/>
  <c r="M22" i="4"/>
  <c r="L22" i="4"/>
  <c r="K22" i="4"/>
  <c r="J22" i="4"/>
  <c r="I22" i="4"/>
  <c r="H22" i="4"/>
  <c r="G22" i="4"/>
  <c r="F22" i="4"/>
  <c r="E22" i="4"/>
  <c r="D22" i="4"/>
  <c r="C22" i="4"/>
  <c r="O22" i="4" s="1"/>
  <c r="O21" i="4"/>
  <c r="O20" i="4"/>
  <c r="O19" i="4"/>
  <c r="O18" i="4"/>
  <c r="O17" i="4"/>
  <c r="N16" i="4"/>
  <c r="M16" i="4"/>
  <c r="L16" i="4"/>
  <c r="K16" i="4"/>
  <c r="J16" i="4"/>
  <c r="I16" i="4"/>
  <c r="H16" i="4"/>
  <c r="G16" i="4"/>
  <c r="F16" i="4"/>
  <c r="E16" i="4"/>
  <c r="D16" i="4"/>
  <c r="C16" i="4"/>
  <c r="O16" i="4" s="1"/>
  <c r="O15" i="4"/>
  <c r="O14" i="4"/>
  <c r="O13" i="4"/>
  <c r="O12" i="4"/>
  <c r="O11" i="4"/>
  <c r="O10" i="4"/>
  <c r="N9" i="4"/>
  <c r="M9" i="4"/>
  <c r="L9" i="4"/>
  <c r="K9" i="4"/>
  <c r="J9" i="4"/>
  <c r="I9" i="4"/>
  <c r="H9" i="4"/>
  <c r="G9" i="4"/>
  <c r="F9" i="4"/>
  <c r="E9" i="4"/>
  <c r="D9" i="4"/>
  <c r="C9" i="4"/>
  <c r="O9" i="4" s="1"/>
  <c r="N8" i="4"/>
  <c r="M8" i="4"/>
  <c r="L8" i="4"/>
  <c r="K8" i="4"/>
  <c r="J8" i="4"/>
  <c r="I8" i="4"/>
  <c r="H8" i="4"/>
  <c r="G8" i="4"/>
  <c r="F8" i="4"/>
  <c r="E8" i="4"/>
  <c r="D8" i="4"/>
  <c r="C8" i="4"/>
  <c r="N43" i="3"/>
  <c r="N44" i="3"/>
  <c r="N45" i="3"/>
  <c r="N46" i="3"/>
  <c r="N42" i="3"/>
  <c r="N34" i="3"/>
  <c r="N33" i="3"/>
  <c r="N35" i="3"/>
  <c r="N36" i="3"/>
  <c r="N37" i="3"/>
  <c r="N38" i="3"/>
  <c r="N39" i="3"/>
  <c r="N32" i="3"/>
  <c r="N28" i="3"/>
  <c r="D9" i="3"/>
  <c r="D10" i="3"/>
  <c r="N31" i="3"/>
  <c r="N30" i="3"/>
  <c r="N4" i="3"/>
  <c r="N5" i="3"/>
  <c r="N6" i="3"/>
  <c r="N7" i="3"/>
  <c r="N8" i="3"/>
  <c r="N3" i="3"/>
  <c r="N13" i="3"/>
  <c r="I6" i="3"/>
  <c r="I7" i="3"/>
  <c r="I8" i="3"/>
  <c r="I9" i="3"/>
  <c r="I10" i="3"/>
  <c r="N16" i="3"/>
  <c r="I19" i="3"/>
  <c r="I20" i="3"/>
  <c r="I21" i="3"/>
  <c r="I22" i="3"/>
  <c r="I23" i="3"/>
  <c r="I18" i="3"/>
  <c r="I17" i="3"/>
  <c r="I16" i="3"/>
  <c r="I25" i="3" s="1"/>
  <c r="D22" i="3"/>
  <c r="D25" i="3" s="1"/>
  <c r="D16" i="3"/>
  <c r="D17" i="3"/>
  <c r="N19" i="3"/>
  <c r="D8" i="3"/>
  <c r="D7" i="3"/>
  <c r="D6" i="3"/>
  <c r="D5" i="3"/>
  <c r="D4" i="3"/>
  <c r="I5" i="3"/>
  <c r="L73" i="3"/>
  <c r="E70" i="3"/>
  <c r="C70" i="3"/>
  <c r="M68" i="3"/>
  <c r="D73" i="3" s="1"/>
  <c r="K68" i="3"/>
  <c r="F68" i="3"/>
  <c r="D68" i="3"/>
  <c r="F67" i="3"/>
  <c r="D67" i="3"/>
  <c r="F66" i="3"/>
  <c r="D66" i="3"/>
  <c r="F65" i="3"/>
  <c r="D65" i="3"/>
  <c r="G65" i="3" s="1"/>
  <c r="J64" i="3"/>
  <c r="N64" i="3" s="1"/>
  <c r="F64" i="3"/>
  <c r="D64" i="3"/>
  <c r="F63" i="3"/>
  <c r="D63" i="3"/>
  <c r="F62" i="3"/>
  <c r="D62" i="3"/>
  <c r="F61" i="3"/>
  <c r="D61" i="3"/>
  <c r="G61" i="3" s="1"/>
  <c r="F60" i="3"/>
  <c r="D60" i="3"/>
  <c r="D70" i="3" s="1"/>
  <c r="N29" i="3"/>
  <c r="N21" i="3"/>
  <c r="N20" i="3"/>
  <c r="N18" i="3"/>
  <c r="N17" i="3"/>
  <c r="N25" i="3" s="1"/>
  <c r="H33" i="3"/>
  <c r="I4" i="3"/>
  <c r="I3" i="3"/>
  <c r="I13" i="3" s="1"/>
  <c r="H29" i="3" s="1"/>
  <c r="D13" i="3"/>
  <c r="H30" i="3" s="1"/>
  <c r="J61" i="3" s="1"/>
  <c r="N36" i="16" l="1"/>
  <c r="M36" i="16"/>
  <c r="L36" i="16"/>
  <c r="K36" i="16"/>
  <c r="J36" i="16"/>
  <c r="I36" i="16"/>
  <c r="H36" i="16"/>
  <c r="G36" i="16"/>
  <c r="F36" i="16"/>
  <c r="E36" i="16"/>
  <c r="D36" i="16"/>
  <c r="N35" i="16"/>
  <c r="M35" i="16"/>
  <c r="L35" i="16"/>
  <c r="K35" i="16"/>
  <c r="J35" i="16"/>
  <c r="I35" i="16"/>
  <c r="H35" i="16"/>
  <c r="G35" i="16"/>
  <c r="F35" i="16"/>
  <c r="E35" i="16"/>
  <c r="D35" i="16"/>
  <c r="N34" i="16"/>
  <c r="M34" i="16"/>
  <c r="L34" i="16"/>
  <c r="K34" i="16"/>
  <c r="J34" i="16"/>
  <c r="I34" i="16"/>
  <c r="H34" i="16"/>
  <c r="G34" i="16"/>
  <c r="F34" i="16"/>
  <c r="E34" i="16"/>
  <c r="D34" i="16"/>
  <c r="N29" i="16"/>
  <c r="M29" i="16"/>
  <c r="L29" i="16"/>
  <c r="K29" i="16"/>
  <c r="J29" i="16"/>
  <c r="I29" i="16"/>
  <c r="H29" i="16"/>
  <c r="G29" i="16"/>
  <c r="F29" i="16"/>
  <c r="E29" i="16"/>
  <c r="D29" i="16"/>
  <c r="C23" i="16"/>
  <c r="C27" i="16"/>
  <c r="C26" i="16"/>
  <c r="C25" i="16"/>
  <c r="C24" i="16"/>
  <c r="C29" i="16"/>
  <c r="C30" i="16"/>
  <c r="C31" i="16"/>
  <c r="C32" i="16"/>
  <c r="C34" i="16"/>
  <c r="C35" i="16"/>
  <c r="C41" i="16"/>
  <c r="C42" i="16"/>
  <c r="C44" i="16"/>
  <c r="C45" i="16"/>
  <c r="C46" i="16"/>
  <c r="C48" i="15"/>
  <c r="C49" i="16"/>
  <c r="C51" i="16"/>
  <c r="C52" i="16"/>
  <c r="C54" i="16"/>
  <c r="C100" i="16"/>
  <c r="C104" i="16"/>
  <c r="C103" i="16"/>
  <c r="C102" i="16"/>
  <c r="C101" i="16"/>
  <c r="C106" i="16"/>
  <c r="C115" i="16"/>
  <c r="C114" i="16"/>
  <c r="C113" i="16"/>
  <c r="C112" i="16"/>
  <c r="C111" i="16"/>
  <c r="C110" i="16"/>
  <c r="C109" i="16"/>
  <c r="C108" i="16"/>
  <c r="C107" i="16"/>
  <c r="C117" i="16"/>
  <c r="C118" i="16"/>
  <c r="C119" i="16"/>
  <c r="C121" i="16"/>
  <c r="C122" i="16"/>
  <c r="C124" i="16"/>
  <c r="C125" i="16"/>
  <c r="C127" i="16"/>
  <c r="C128" i="16"/>
  <c r="C129" i="16"/>
  <c r="C131" i="16"/>
  <c r="C132" i="16"/>
  <c r="C134" i="16"/>
  <c r="C135" i="16"/>
  <c r="C136" i="16"/>
  <c r="C137" i="16"/>
  <c r="C138" i="16"/>
  <c r="N138" i="16"/>
  <c r="M138" i="16"/>
  <c r="L138" i="16"/>
  <c r="K138" i="16"/>
  <c r="J138" i="16"/>
  <c r="I138" i="16"/>
  <c r="H138" i="16"/>
  <c r="G138" i="16"/>
  <c r="F138" i="16"/>
  <c r="E138" i="16"/>
  <c r="D138" i="16"/>
  <c r="N137" i="16"/>
  <c r="M137" i="16"/>
  <c r="L137" i="16"/>
  <c r="K137" i="16"/>
  <c r="J137" i="16"/>
  <c r="I137" i="16"/>
  <c r="H137" i="16"/>
  <c r="G137" i="16"/>
  <c r="F137" i="16"/>
  <c r="E137" i="16"/>
  <c r="D137" i="16"/>
  <c r="N136" i="16"/>
  <c r="M136" i="16"/>
  <c r="L136" i="16"/>
  <c r="K136" i="16"/>
  <c r="J136" i="16"/>
  <c r="I136" i="16"/>
  <c r="H136" i="16"/>
  <c r="G136" i="16"/>
  <c r="F136" i="16"/>
  <c r="E136" i="16"/>
  <c r="D136" i="16"/>
  <c r="N135" i="16"/>
  <c r="M135" i="16"/>
  <c r="L135" i="16"/>
  <c r="K135" i="16"/>
  <c r="J135" i="16"/>
  <c r="I135" i="16"/>
  <c r="H135" i="16"/>
  <c r="G135" i="16"/>
  <c r="F135" i="16"/>
  <c r="E135" i="16"/>
  <c r="D135" i="16"/>
  <c r="N134" i="16"/>
  <c r="M134" i="16"/>
  <c r="L134" i="16"/>
  <c r="K134" i="16"/>
  <c r="J134" i="16"/>
  <c r="I134" i="16"/>
  <c r="H134" i="16"/>
  <c r="G134" i="16"/>
  <c r="F134" i="16"/>
  <c r="E134" i="16"/>
  <c r="D134" i="16"/>
  <c r="N132" i="16"/>
  <c r="M132" i="16"/>
  <c r="L132" i="16"/>
  <c r="K132" i="16"/>
  <c r="J132" i="16"/>
  <c r="I132" i="16"/>
  <c r="H132" i="16"/>
  <c r="G132" i="16"/>
  <c r="F132" i="16"/>
  <c r="E132" i="16"/>
  <c r="D132" i="16"/>
  <c r="N131" i="16"/>
  <c r="M131" i="16"/>
  <c r="L131" i="16"/>
  <c r="K131" i="16"/>
  <c r="J131" i="16"/>
  <c r="I131" i="16"/>
  <c r="H131" i="16"/>
  <c r="G131" i="16"/>
  <c r="F131" i="16"/>
  <c r="E131" i="16"/>
  <c r="D131" i="16"/>
  <c r="N129" i="16"/>
  <c r="M129" i="16"/>
  <c r="L129" i="16"/>
  <c r="K129" i="16"/>
  <c r="J129" i="16"/>
  <c r="I129" i="16"/>
  <c r="H129" i="16"/>
  <c r="G129" i="16"/>
  <c r="F129" i="16"/>
  <c r="E129" i="16"/>
  <c r="D129" i="16"/>
  <c r="N128" i="16"/>
  <c r="M128" i="16"/>
  <c r="L128" i="16"/>
  <c r="K128" i="16"/>
  <c r="J128" i="16"/>
  <c r="I128" i="16"/>
  <c r="H128" i="16"/>
  <c r="G128" i="16"/>
  <c r="F128" i="16"/>
  <c r="E128" i="16"/>
  <c r="D128" i="16"/>
  <c r="N127" i="16"/>
  <c r="M127" i="16"/>
  <c r="L127" i="16"/>
  <c r="K127" i="16"/>
  <c r="J127" i="16"/>
  <c r="I127" i="16"/>
  <c r="H127" i="16"/>
  <c r="G127" i="16"/>
  <c r="F127" i="16"/>
  <c r="E127" i="16"/>
  <c r="D127" i="16"/>
  <c r="N119" i="16"/>
  <c r="M119" i="16"/>
  <c r="L119" i="16"/>
  <c r="K119" i="16"/>
  <c r="J119" i="16"/>
  <c r="I119" i="16"/>
  <c r="H119" i="16"/>
  <c r="G119" i="16"/>
  <c r="F119" i="16"/>
  <c r="E119" i="16"/>
  <c r="D119" i="16"/>
  <c r="N118" i="16"/>
  <c r="M118" i="16"/>
  <c r="L118" i="16"/>
  <c r="K118" i="16"/>
  <c r="J118" i="16"/>
  <c r="I118" i="16"/>
  <c r="H118" i="16"/>
  <c r="G118" i="16"/>
  <c r="F118" i="16"/>
  <c r="E118" i="16"/>
  <c r="D118" i="16"/>
  <c r="N117" i="16"/>
  <c r="M117" i="16"/>
  <c r="L117" i="16"/>
  <c r="K117" i="16"/>
  <c r="J117" i="16"/>
  <c r="I117" i="16"/>
  <c r="H117" i="16"/>
  <c r="G117" i="16"/>
  <c r="F117" i="16"/>
  <c r="E117" i="16"/>
  <c r="D117" i="16"/>
  <c r="N115" i="16"/>
  <c r="M115" i="16"/>
  <c r="L115" i="16"/>
  <c r="K115" i="16"/>
  <c r="J115" i="16"/>
  <c r="I115" i="16"/>
  <c r="H115" i="16"/>
  <c r="G115" i="16"/>
  <c r="F115" i="16"/>
  <c r="E115" i="16"/>
  <c r="D115" i="16"/>
  <c r="N114" i="16"/>
  <c r="M114" i="16"/>
  <c r="L114" i="16"/>
  <c r="K114" i="16"/>
  <c r="J114" i="16"/>
  <c r="I114" i="16"/>
  <c r="H114" i="16"/>
  <c r="G114" i="16"/>
  <c r="F114" i="16"/>
  <c r="E114" i="16"/>
  <c r="D114" i="16"/>
  <c r="N113" i="16"/>
  <c r="M113" i="16"/>
  <c r="L113" i="16"/>
  <c r="K113" i="16"/>
  <c r="J113" i="16"/>
  <c r="I113" i="16"/>
  <c r="H113" i="16"/>
  <c r="G113" i="16"/>
  <c r="F113" i="16"/>
  <c r="E113" i="16"/>
  <c r="D113" i="16"/>
  <c r="N112" i="16"/>
  <c r="M112" i="16"/>
  <c r="L112" i="16"/>
  <c r="K112" i="16"/>
  <c r="J112" i="16"/>
  <c r="I112" i="16"/>
  <c r="H112" i="16"/>
  <c r="G112" i="16"/>
  <c r="F112" i="16"/>
  <c r="E112" i="16"/>
  <c r="D112" i="16"/>
  <c r="N111" i="16"/>
  <c r="M111" i="16"/>
  <c r="L111" i="16"/>
  <c r="K111" i="16"/>
  <c r="J111" i="16"/>
  <c r="I111" i="16"/>
  <c r="H111" i="16"/>
  <c r="G111" i="16"/>
  <c r="F111" i="16"/>
  <c r="E111" i="16"/>
  <c r="D111" i="16"/>
  <c r="N110" i="16"/>
  <c r="M110" i="16"/>
  <c r="L110" i="16"/>
  <c r="K110" i="16"/>
  <c r="J110" i="16"/>
  <c r="I110" i="16"/>
  <c r="H110" i="16"/>
  <c r="G110" i="16"/>
  <c r="F110" i="16"/>
  <c r="E110" i="16"/>
  <c r="D110" i="16"/>
  <c r="N109" i="16"/>
  <c r="M109" i="16"/>
  <c r="L109" i="16"/>
  <c r="K109" i="16"/>
  <c r="J109" i="16"/>
  <c r="I109" i="16"/>
  <c r="H109" i="16"/>
  <c r="G109" i="16"/>
  <c r="F109" i="16"/>
  <c r="E109" i="16"/>
  <c r="D109" i="16"/>
  <c r="N108" i="16"/>
  <c r="M108" i="16"/>
  <c r="L108" i="16"/>
  <c r="K108" i="16"/>
  <c r="J108" i="16"/>
  <c r="I108" i="16"/>
  <c r="H108" i="16"/>
  <c r="G108" i="16"/>
  <c r="F108" i="16"/>
  <c r="E108" i="16"/>
  <c r="D108" i="16"/>
  <c r="N107" i="16"/>
  <c r="M107" i="16"/>
  <c r="L107" i="16"/>
  <c r="K107" i="16"/>
  <c r="J107" i="16"/>
  <c r="I107" i="16"/>
  <c r="H107" i="16"/>
  <c r="G107" i="16"/>
  <c r="F107" i="16"/>
  <c r="E107" i="16"/>
  <c r="D107" i="16"/>
  <c r="N106" i="16"/>
  <c r="M106" i="16"/>
  <c r="L106" i="16"/>
  <c r="K106" i="16"/>
  <c r="J106" i="16"/>
  <c r="I106" i="16"/>
  <c r="H106" i="16"/>
  <c r="G106" i="16"/>
  <c r="F106" i="16"/>
  <c r="E106" i="16"/>
  <c r="D106" i="16"/>
  <c r="N104" i="16"/>
  <c r="M104" i="16"/>
  <c r="L104" i="16"/>
  <c r="K104" i="16"/>
  <c r="J104" i="16"/>
  <c r="I104" i="16"/>
  <c r="H104" i="16"/>
  <c r="G104" i="16"/>
  <c r="F104" i="16"/>
  <c r="E104" i="16"/>
  <c r="D104" i="16"/>
  <c r="N103" i="16"/>
  <c r="M103" i="16"/>
  <c r="L103" i="16"/>
  <c r="K103" i="16"/>
  <c r="J103" i="16"/>
  <c r="I103" i="16"/>
  <c r="H103" i="16"/>
  <c r="G103" i="16"/>
  <c r="F103" i="16"/>
  <c r="E103" i="16"/>
  <c r="D103" i="16"/>
  <c r="N102" i="16"/>
  <c r="M102" i="16"/>
  <c r="L102" i="16"/>
  <c r="K102" i="16"/>
  <c r="J102" i="16"/>
  <c r="I102" i="16"/>
  <c r="H102" i="16"/>
  <c r="G102" i="16"/>
  <c r="F102" i="16"/>
  <c r="E102" i="16"/>
  <c r="D102" i="16"/>
  <c r="N101" i="16"/>
  <c r="M101" i="16"/>
  <c r="L101" i="16"/>
  <c r="K101" i="16"/>
  <c r="J101" i="16"/>
  <c r="I101" i="16"/>
  <c r="H101" i="16"/>
  <c r="G101" i="16"/>
  <c r="F101" i="16"/>
  <c r="E101" i="16"/>
  <c r="D101" i="16"/>
  <c r="N100" i="16"/>
  <c r="M100" i="16"/>
  <c r="L100" i="16"/>
  <c r="K100" i="16"/>
  <c r="J100" i="16"/>
  <c r="I100" i="16"/>
  <c r="H100" i="16"/>
  <c r="G100" i="16"/>
  <c r="F100" i="16"/>
  <c r="E100" i="16"/>
  <c r="D100" i="16"/>
  <c r="N52" i="16"/>
  <c r="M52" i="16"/>
  <c r="L52" i="16"/>
  <c r="K52" i="16"/>
  <c r="J52" i="16"/>
  <c r="I52" i="16"/>
  <c r="H52" i="16"/>
  <c r="G52" i="16"/>
  <c r="F52" i="16"/>
  <c r="E52" i="16"/>
  <c r="N51" i="16"/>
  <c r="M51" i="16"/>
  <c r="L51" i="16"/>
  <c r="K51" i="16"/>
  <c r="J51" i="16"/>
  <c r="I51" i="16"/>
  <c r="H51" i="16"/>
  <c r="G51" i="16"/>
  <c r="F51" i="16"/>
  <c r="E51" i="16"/>
  <c r="D51" i="16"/>
  <c r="N49" i="16"/>
  <c r="M49" i="16"/>
  <c r="L49" i="16"/>
  <c r="K49" i="16"/>
  <c r="J49" i="16"/>
  <c r="I49" i="16"/>
  <c r="H49" i="16"/>
  <c r="G49" i="16"/>
  <c r="F49" i="16"/>
  <c r="E49" i="16"/>
  <c r="D49" i="16"/>
  <c r="N46" i="16"/>
  <c r="M46" i="16"/>
  <c r="L46" i="16"/>
  <c r="J46" i="16"/>
  <c r="I46" i="16"/>
  <c r="H46" i="16"/>
  <c r="G46" i="16"/>
  <c r="F46" i="16"/>
  <c r="E46" i="16"/>
  <c r="D46" i="16"/>
  <c r="N45" i="16"/>
  <c r="M45" i="16"/>
  <c r="L45" i="16"/>
  <c r="I45" i="16"/>
  <c r="H45" i="16"/>
  <c r="G45" i="16"/>
  <c r="F45" i="16"/>
  <c r="E45" i="16"/>
  <c r="D45" i="16"/>
  <c r="N44" i="16"/>
  <c r="M44" i="16"/>
  <c r="L44" i="16"/>
  <c r="K44" i="16"/>
  <c r="J44" i="16"/>
  <c r="I44" i="16"/>
  <c r="H44" i="16"/>
  <c r="G44" i="16"/>
  <c r="F44" i="16"/>
  <c r="E44" i="16"/>
  <c r="D44" i="16"/>
  <c r="N42" i="16"/>
  <c r="M42" i="16"/>
  <c r="L42" i="16"/>
  <c r="K42" i="16"/>
  <c r="J42" i="16"/>
  <c r="I42" i="16"/>
  <c r="H42" i="16"/>
  <c r="G42" i="16"/>
  <c r="F42" i="16"/>
  <c r="E42" i="16"/>
  <c r="D42" i="16"/>
  <c r="J41" i="16"/>
  <c r="I41" i="16"/>
  <c r="H41" i="16"/>
  <c r="G41" i="16"/>
  <c r="F41" i="16"/>
  <c r="E41" i="16"/>
  <c r="D41" i="16"/>
  <c r="N32" i="16"/>
  <c r="M32" i="16"/>
  <c r="L32" i="16"/>
  <c r="K32" i="16"/>
  <c r="J32" i="16"/>
  <c r="I32" i="16"/>
  <c r="H32" i="16"/>
  <c r="G32" i="16"/>
  <c r="F32" i="16"/>
  <c r="E32" i="16"/>
  <c r="D32" i="16"/>
  <c r="N31" i="16"/>
  <c r="M31" i="16"/>
  <c r="L31" i="16"/>
  <c r="K31" i="16"/>
  <c r="J31" i="16"/>
  <c r="I31" i="16"/>
  <c r="H31" i="16"/>
  <c r="G31" i="16"/>
  <c r="F31" i="16"/>
  <c r="E31" i="16"/>
  <c r="D31" i="16"/>
  <c r="N30" i="16"/>
  <c r="M30" i="16"/>
  <c r="L30" i="16"/>
  <c r="K30" i="16"/>
  <c r="J30" i="16"/>
  <c r="I30" i="16"/>
  <c r="H30" i="16"/>
  <c r="G30" i="16"/>
  <c r="F30" i="16"/>
  <c r="E30" i="16"/>
  <c r="D30" i="16"/>
  <c r="N27" i="16"/>
  <c r="M27" i="16"/>
  <c r="L27" i="16"/>
  <c r="K27" i="16"/>
  <c r="J27" i="16"/>
  <c r="I27" i="16"/>
  <c r="H27" i="16"/>
  <c r="G27" i="16"/>
  <c r="F27" i="16"/>
  <c r="E27" i="16"/>
  <c r="D27" i="16"/>
  <c r="N26" i="16"/>
  <c r="M26" i="16"/>
  <c r="L26" i="16"/>
  <c r="K26" i="16"/>
  <c r="J26" i="16"/>
  <c r="I26" i="16"/>
  <c r="H26" i="16"/>
  <c r="G26" i="16"/>
  <c r="F26" i="16"/>
  <c r="E26" i="16"/>
  <c r="D26" i="16"/>
  <c r="N25" i="16"/>
  <c r="M25" i="16"/>
  <c r="L25" i="16"/>
  <c r="K25" i="16"/>
  <c r="J25" i="16"/>
  <c r="I25" i="16"/>
  <c r="H25" i="16"/>
  <c r="G25" i="16"/>
  <c r="F25" i="16"/>
  <c r="E25" i="16"/>
  <c r="D25" i="16"/>
  <c r="N24" i="16"/>
  <c r="M24" i="16"/>
  <c r="M22" i="16" s="1"/>
  <c r="L24" i="16"/>
  <c r="K24" i="16"/>
  <c r="J24" i="16"/>
  <c r="J22" i="16" s="1"/>
  <c r="I24" i="16"/>
  <c r="H24" i="16"/>
  <c r="G24" i="16"/>
  <c r="F24" i="16"/>
  <c r="E24" i="16"/>
  <c r="D24" i="16"/>
  <c r="N23" i="16"/>
  <c r="M23" i="16"/>
  <c r="L23" i="16"/>
  <c r="K23" i="16"/>
  <c r="J23" i="16"/>
  <c r="I23" i="16"/>
  <c r="H23" i="16"/>
  <c r="G23" i="16"/>
  <c r="F23" i="16"/>
  <c r="E23" i="16"/>
  <c r="D23" i="16"/>
  <c r="O99" i="5"/>
  <c r="I22" i="17" s="1"/>
  <c r="C47" i="5"/>
  <c r="D47" i="5"/>
  <c r="E47" i="5"/>
  <c r="F47" i="5"/>
  <c r="G47" i="5"/>
  <c r="H47" i="5"/>
  <c r="I47" i="5"/>
  <c r="J47" i="5"/>
  <c r="K47" i="5"/>
  <c r="L47" i="5"/>
  <c r="M47" i="5"/>
  <c r="C12" i="17"/>
  <c r="C19" i="17"/>
  <c r="C8" i="14"/>
  <c r="O119" i="14"/>
  <c r="O52" i="14"/>
  <c r="C116" i="14"/>
  <c r="O49" i="14"/>
  <c r="O48" i="7"/>
  <c r="O48" i="14"/>
  <c r="O47" i="5"/>
  <c r="F37" i="16"/>
  <c r="O74" i="14"/>
  <c r="O50" i="7"/>
  <c r="I4" i="17" s="1"/>
  <c r="H4" i="17" s="1"/>
  <c r="O117" i="14"/>
  <c r="O64" i="14"/>
  <c r="D6" i="4"/>
  <c r="G6" i="4"/>
  <c r="K6" i="4"/>
  <c r="M6" i="4"/>
  <c r="H47" i="4"/>
  <c r="H6" i="4" s="1"/>
  <c r="L47" i="4"/>
  <c r="L6" i="4" s="1"/>
  <c r="E47" i="4"/>
  <c r="F47" i="4"/>
  <c r="F6" i="4" s="1"/>
  <c r="I47" i="4"/>
  <c r="I6" i="4" s="1"/>
  <c r="J47" i="4"/>
  <c r="J6" i="4" s="1"/>
  <c r="N47" i="4"/>
  <c r="N6" i="4" s="1"/>
  <c r="D47" i="6"/>
  <c r="D6" i="6" s="1"/>
  <c r="C47" i="7"/>
  <c r="C6" i="7" s="1"/>
  <c r="C5" i="7" s="1"/>
  <c r="C47" i="8"/>
  <c r="C6" i="8" s="1"/>
  <c r="D47" i="8"/>
  <c r="D6" i="8" s="1"/>
  <c r="L47" i="8"/>
  <c r="L6" i="8" s="1"/>
  <c r="D8" i="12"/>
  <c r="E8" i="12"/>
  <c r="F8" i="12"/>
  <c r="G8" i="12"/>
  <c r="H8" i="12"/>
  <c r="I8" i="12"/>
  <c r="J8" i="12"/>
  <c r="K8" i="12"/>
  <c r="L8" i="12"/>
  <c r="M8" i="12"/>
  <c r="L47" i="12"/>
  <c r="L6" i="12" s="1"/>
  <c r="O99" i="12"/>
  <c r="N22" i="17" s="1"/>
  <c r="O87" i="14"/>
  <c r="O85" i="14"/>
  <c r="O84" i="14"/>
  <c r="O86" i="14"/>
  <c r="O57" i="14"/>
  <c r="F50" i="14"/>
  <c r="N37" i="16"/>
  <c r="M37" i="16"/>
  <c r="L37" i="16"/>
  <c r="J37" i="16"/>
  <c r="I37" i="16"/>
  <c r="H37" i="16"/>
  <c r="G37" i="16"/>
  <c r="E37" i="16"/>
  <c r="D37" i="16"/>
  <c r="C48" i="16"/>
  <c r="O54" i="16"/>
  <c r="C53" i="15"/>
  <c r="O100" i="15"/>
  <c r="O124" i="15"/>
  <c r="O135" i="15"/>
  <c r="O136" i="15"/>
  <c r="N133" i="16"/>
  <c r="M133" i="16"/>
  <c r="L133" i="16"/>
  <c r="K133" i="16"/>
  <c r="J133" i="16"/>
  <c r="I133" i="16"/>
  <c r="H133" i="16"/>
  <c r="F133" i="16"/>
  <c r="E133" i="16"/>
  <c r="D133" i="16"/>
  <c r="N130" i="16"/>
  <c r="M130" i="16"/>
  <c r="L130" i="16"/>
  <c r="K130" i="16"/>
  <c r="J130" i="16"/>
  <c r="I130" i="16"/>
  <c r="H130" i="16"/>
  <c r="G130" i="16"/>
  <c r="F130" i="16"/>
  <c r="E130" i="16"/>
  <c r="D130" i="16"/>
  <c r="N126" i="16"/>
  <c r="M126" i="16"/>
  <c r="L126" i="16"/>
  <c r="J126" i="16"/>
  <c r="I126" i="16"/>
  <c r="G126" i="16"/>
  <c r="F126" i="16"/>
  <c r="E126" i="16"/>
  <c r="D126" i="16"/>
  <c r="N125" i="16"/>
  <c r="M125" i="16"/>
  <c r="L125" i="16"/>
  <c r="K125" i="16"/>
  <c r="J125" i="16"/>
  <c r="I125" i="16"/>
  <c r="H125" i="16"/>
  <c r="G125" i="16"/>
  <c r="F125" i="16"/>
  <c r="E125" i="16"/>
  <c r="D125" i="16"/>
  <c r="N124" i="16"/>
  <c r="N123" i="16" s="1"/>
  <c r="M124" i="16"/>
  <c r="M123" i="16" s="1"/>
  <c r="L124" i="16"/>
  <c r="L123" i="16" s="1"/>
  <c r="K124" i="16"/>
  <c r="J124" i="16"/>
  <c r="J123" i="16" s="1"/>
  <c r="I124" i="16"/>
  <c r="I123" i="16" s="1"/>
  <c r="H124" i="16"/>
  <c r="H123" i="16" s="1"/>
  <c r="G124" i="16"/>
  <c r="F124" i="16"/>
  <c r="F123" i="16" s="1"/>
  <c r="E124" i="16"/>
  <c r="E123" i="16" s="1"/>
  <c r="D124" i="16"/>
  <c r="D123" i="16" s="1"/>
  <c r="N122" i="16"/>
  <c r="M122" i="16"/>
  <c r="L122" i="16"/>
  <c r="K122" i="16"/>
  <c r="J122" i="16"/>
  <c r="I122" i="16"/>
  <c r="H122" i="16"/>
  <c r="G122" i="16"/>
  <c r="F122" i="16"/>
  <c r="E122" i="16"/>
  <c r="D122" i="16"/>
  <c r="N121" i="16"/>
  <c r="N120" i="16" s="1"/>
  <c r="M121" i="16"/>
  <c r="M120" i="16" s="1"/>
  <c r="L121" i="16"/>
  <c r="K121" i="16"/>
  <c r="K120" i="16" s="1"/>
  <c r="J121" i="16"/>
  <c r="J120" i="16" s="1"/>
  <c r="I121" i="16"/>
  <c r="I120" i="16" s="1"/>
  <c r="H121" i="16"/>
  <c r="H120" i="16" s="1"/>
  <c r="G121" i="16"/>
  <c r="G120" i="16" s="1"/>
  <c r="F121" i="16"/>
  <c r="F120" i="16" s="1"/>
  <c r="E121" i="16"/>
  <c r="E120" i="16" s="1"/>
  <c r="D121" i="16"/>
  <c r="O119" i="16"/>
  <c r="N116" i="16"/>
  <c r="L116" i="16"/>
  <c r="K116" i="16"/>
  <c r="J116" i="16"/>
  <c r="I116" i="16"/>
  <c r="H116" i="16"/>
  <c r="F116" i="16"/>
  <c r="O117" i="16"/>
  <c r="N105" i="16"/>
  <c r="M105" i="16"/>
  <c r="L105" i="16"/>
  <c r="K105" i="16"/>
  <c r="J105" i="16"/>
  <c r="I105" i="16"/>
  <c r="H105" i="16"/>
  <c r="G105" i="16"/>
  <c r="F105" i="16"/>
  <c r="E105" i="16"/>
  <c r="D105" i="16"/>
  <c r="N99" i="16"/>
  <c r="M99" i="16"/>
  <c r="I99" i="16"/>
  <c r="H99" i="16"/>
  <c r="G99" i="16"/>
  <c r="E48" i="15"/>
  <c r="E48" i="16"/>
  <c r="D48" i="15"/>
  <c r="D48" i="16"/>
  <c r="N43" i="16"/>
  <c r="M43" i="16"/>
  <c r="L43" i="16"/>
  <c r="K43" i="16"/>
  <c r="I43" i="16"/>
  <c r="G43" i="16"/>
  <c r="F43" i="16"/>
  <c r="E43" i="16"/>
  <c r="J40" i="16"/>
  <c r="H40" i="16"/>
  <c r="G40" i="16"/>
  <c r="F40" i="16"/>
  <c r="E40" i="16"/>
  <c r="D40" i="16"/>
  <c r="N33" i="16"/>
  <c r="M33" i="16"/>
  <c r="L33" i="16"/>
  <c r="K33" i="16"/>
  <c r="J33" i="16"/>
  <c r="I33" i="16"/>
  <c r="G33" i="16"/>
  <c r="F33" i="16"/>
  <c r="E33" i="16"/>
  <c r="L28" i="16"/>
  <c r="J28" i="16"/>
  <c r="I28" i="16"/>
  <c r="D28" i="16"/>
  <c r="G22" i="16"/>
  <c r="O91" i="14"/>
  <c r="O92" i="14"/>
  <c r="N6" i="5"/>
  <c r="O65" i="14"/>
  <c r="F53" i="16"/>
  <c r="O73" i="14"/>
  <c r="N50" i="16"/>
  <c r="H50" i="16"/>
  <c r="M50" i="16"/>
  <c r="G50" i="16"/>
  <c r="L50" i="16"/>
  <c r="F50" i="16"/>
  <c r="K50" i="16"/>
  <c r="E50" i="16"/>
  <c r="J50" i="16"/>
  <c r="D50" i="16"/>
  <c r="G116" i="16"/>
  <c r="E116" i="16"/>
  <c r="N75" i="16"/>
  <c r="H75" i="16"/>
  <c r="M75" i="16"/>
  <c r="G75" i="16"/>
  <c r="L75" i="16"/>
  <c r="F75" i="16"/>
  <c r="K75" i="16"/>
  <c r="E75" i="16"/>
  <c r="J75" i="16"/>
  <c r="D75" i="16"/>
  <c r="I75" i="16"/>
  <c r="C75" i="14"/>
  <c r="L53" i="16"/>
  <c r="K53" i="16"/>
  <c r="E53" i="16"/>
  <c r="J53" i="16"/>
  <c r="D53" i="16"/>
  <c r="G53" i="16"/>
  <c r="I53" i="16"/>
  <c r="M53" i="16"/>
  <c r="N53" i="16"/>
  <c r="H53" i="16"/>
  <c r="H47" i="12"/>
  <c r="H6" i="12" s="1"/>
  <c r="C50" i="15"/>
  <c r="C50" i="16"/>
  <c r="D47" i="12"/>
  <c r="O49" i="15"/>
  <c r="N48" i="15"/>
  <c r="N48" i="16"/>
  <c r="H48" i="15"/>
  <c r="H48" i="16"/>
  <c r="M48" i="15"/>
  <c r="M48" i="16"/>
  <c r="G48" i="15"/>
  <c r="G48" i="16"/>
  <c r="L48" i="15"/>
  <c r="L48" i="16"/>
  <c r="K48" i="15"/>
  <c r="K48" i="16"/>
  <c r="J48" i="15"/>
  <c r="J48" i="16"/>
  <c r="I48" i="15"/>
  <c r="I48" i="16"/>
  <c r="F48" i="15"/>
  <c r="O48" i="15" s="1"/>
  <c r="O116" i="12"/>
  <c r="N24" i="17" s="1"/>
  <c r="C33" i="16"/>
  <c r="O30" i="16"/>
  <c r="C40" i="16"/>
  <c r="G47" i="6"/>
  <c r="G6" i="6" s="1"/>
  <c r="K47" i="6"/>
  <c r="K6" i="6" s="1"/>
  <c r="C47" i="6"/>
  <c r="C6" i="6" s="1"/>
  <c r="C5" i="6" s="1"/>
  <c r="O126" i="6"/>
  <c r="O31" i="16"/>
  <c r="D6" i="10"/>
  <c r="O81" i="14"/>
  <c r="G47" i="8"/>
  <c r="G6" i="8" s="1"/>
  <c r="O50" i="5"/>
  <c r="I19" i="17" s="1"/>
  <c r="J6" i="5"/>
  <c r="O76" i="14"/>
  <c r="O45" i="16"/>
  <c r="O130" i="10"/>
  <c r="D41" i="17" s="1"/>
  <c r="C41" i="17" s="1"/>
  <c r="O138" i="14"/>
  <c r="O133" i="8"/>
  <c r="D27" i="17" s="1"/>
  <c r="C27" i="17" s="1"/>
  <c r="E47" i="8"/>
  <c r="E6" i="8" s="1"/>
  <c r="F47" i="8"/>
  <c r="F6" i="8" s="1"/>
  <c r="J47" i="8"/>
  <c r="J6" i="8" s="1"/>
  <c r="H47" i="8"/>
  <c r="H6" i="8" s="1"/>
  <c r="O75" i="7"/>
  <c r="I6" i="17" s="1"/>
  <c r="D47" i="7"/>
  <c r="D6" i="7" s="1"/>
  <c r="O126" i="7"/>
  <c r="I10" i="17" s="1"/>
  <c r="H10" i="17" s="1"/>
  <c r="O64" i="16"/>
  <c r="N28" i="16"/>
  <c r="O130" i="7"/>
  <c r="I11" i="17" s="1"/>
  <c r="H11" i="17" s="1"/>
  <c r="G47" i="7"/>
  <c r="G6" i="7" s="1"/>
  <c r="N47" i="8"/>
  <c r="N6" i="8" s="1"/>
  <c r="O130" i="8"/>
  <c r="D26" i="17" s="1"/>
  <c r="C26" i="17" s="1"/>
  <c r="K47" i="8"/>
  <c r="K6" i="8" s="1"/>
  <c r="I47" i="8"/>
  <c r="I6" i="8" s="1"/>
  <c r="M47" i="8"/>
  <c r="M6" i="8" s="1"/>
  <c r="O126" i="8"/>
  <c r="D25" i="17" s="1"/>
  <c r="C25" i="17" s="1"/>
  <c r="O127" i="14"/>
  <c r="O116" i="5"/>
  <c r="I24" i="17" s="1"/>
  <c r="O50" i="6"/>
  <c r="D4" i="17" s="1"/>
  <c r="O51" i="14"/>
  <c r="O130" i="6"/>
  <c r="O96" i="14"/>
  <c r="O116" i="6"/>
  <c r="D9" i="17" s="1"/>
  <c r="C9" i="17" s="1"/>
  <c r="O118" i="14"/>
  <c r="F47" i="6"/>
  <c r="F6" i="6" s="1"/>
  <c r="J47" i="6"/>
  <c r="J6" i="6" s="1"/>
  <c r="N47" i="6"/>
  <c r="N6" i="6" s="1"/>
  <c r="O93" i="14"/>
  <c r="H47" i="6"/>
  <c r="H6" i="6" s="1"/>
  <c r="L47" i="6"/>
  <c r="L6" i="6" s="1"/>
  <c r="O89" i="14"/>
  <c r="E47" i="6"/>
  <c r="E6" i="6" s="1"/>
  <c r="I47" i="6"/>
  <c r="I6" i="6" s="1"/>
  <c r="M47" i="6"/>
  <c r="M6" i="6" s="1"/>
  <c r="M28" i="16"/>
  <c r="K28" i="16"/>
  <c r="G28" i="16"/>
  <c r="O97" i="14"/>
  <c r="O94" i="14"/>
  <c r="K47" i="12"/>
  <c r="K6" i="12" s="1"/>
  <c r="E47" i="12"/>
  <c r="E6" i="12" s="1"/>
  <c r="I47" i="12"/>
  <c r="M47" i="12"/>
  <c r="G47" i="12"/>
  <c r="G6" i="12" s="1"/>
  <c r="C37" i="16"/>
  <c r="E6" i="4"/>
  <c r="O75" i="4"/>
  <c r="O95" i="14"/>
  <c r="O83" i="16"/>
  <c r="O78" i="14"/>
  <c r="O77" i="14"/>
  <c r="O65" i="16"/>
  <c r="O71" i="14"/>
  <c r="C47" i="4"/>
  <c r="O66" i="14"/>
  <c r="O72" i="14"/>
  <c r="O72" i="16"/>
  <c r="O116" i="10"/>
  <c r="D39" i="17" s="1"/>
  <c r="K6" i="10"/>
  <c r="H6" i="10"/>
  <c r="C6" i="10"/>
  <c r="C5" i="10" s="1"/>
  <c r="O53" i="10"/>
  <c r="D35" i="17" s="1"/>
  <c r="F6" i="10"/>
  <c r="J6" i="10"/>
  <c r="O75" i="10"/>
  <c r="D36" i="17" s="1"/>
  <c r="O73" i="16"/>
  <c r="O8" i="6"/>
  <c r="O33" i="6"/>
  <c r="O50" i="10"/>
  <c r="D34" i="17" s="1"/>
  <c r="O47" i="4"/>
  <c r="O50" i="4"/>
  <c r="I47" i="7"/>
  <c r="I6" i="7" s="1"/>
  <c r="O98" i="14"/>
  <c r="C53" i="14"/>
  <c r="K47" i="7"/>
  <c r="F47" i="7"/>
  <c r="F6" i="7" s="1"/>
  <c r="J47" i="7"/>
  <c r="J6" i="7" s="1"/>
  <c r="H47" i="7"/>
  <c r="H6" i="7" s="1"/>
  <c r="O68" i="14"/>
  <c r="O69" i="14"/>
  <c r="K6" i="5"/>
  <c r="D6" i="5"/>
  <c r="H6" i="5"/>
  <c r="L6" i="5"/>
  <c r="O53" i="8"/>
  <c r="D20" i="17" s="1"/>
  <c r="O53" i="6"/>
  <c r="D5" i="17" s="1"/>
  <c r="C5" i="17" s="1"/>
  <c r="E47" i="7"/>
  <c r="E6" i="7" s="1"/>
  <c r="O53" i="7"/>
  <c r="I5" i="17" s="1"/>
  <c r="H5" i="17" s="1"/>
  <c r="O67" i="14"/>
  <c r="O132" i="14"/>
  <c r="O130" i="5"/>
  <c r="I26" i="17" s="1"/>
  <c r="I6" i="5"/>
  <c r="M6" i="5"/>
  <c r="O68" i="16"/>
  <c r="O69" i="16"/>
  <c r="O71" i="16"/>
  <c r="F6" i="5"/>
  <c r="O70" i="14"/>
  <c r="O90" i="14"/>
  <c r="O75" i="8"/>
  <c r="D21" i="17" s="1"/>
  <c r="C21" i="17" s="1"/>
  <c r="O75" i="6"/>
  <c r="D6" i="17" s="1"/>
  <c r="C6" i="17" s="1"/>
  <c r="O37" i="12"/>
  <c r="O98" i="15"/>
  <c r="O77" i="15"/>
  <c r="O81" i="15"/>
  <c r="F47" i="12"/>
  <c r="F6" i="12" s="1"/>
  <c r="J47" i="12"/>
  <c r="N47" i="12"/>
  <c r="N6" i="12" s="1"/>
  <c r="O67" i="15"/>
  <c r="O53" i="12"/>
  <c r="N20" i="17" s="1"/>
  <c r="O50" i="12"/>
  <c r="N19" i="17" s="1"/>
  <c r="O51" i="15"/>
  <c r="C47" i="12"/>
  <c r="O82" i="15"/>
  <c r="O97" i="15"/>
  <c r="O87" i="15"/>
  <c r="O85" i="15"/>
  <c r="O93" i="15"/>
  <c r="O94" i="15"/>
  <c r="O78" i="15"/>
  <c r="O96" i="15"/>
  <c r="O92" i="15"/>
  <c r="O88" i="15"/>
  <c r="O84" i="15"/>
  <c r="O80" i="15"/>
  <c r="O89" i="15"/>
  <c r="O80" i="14"/>
  <c r="O79" i="14"/>
  <c r="F75" i="14"/>
  <c r="O88" i="14"/>
  <c r="O82" i="14"/>
  <c r="I21" i="17"/>
  <c r="O75" i="12"/>
  <c r="N21" i="17" s="1"/>
  <c r="O83" i="15"/>
  <c r="C105" i="15"/>
  <c r="O119" i="15"/>
  <c r="O125" i="15"/>
  <c r="C130" i="15"/>
  <c r="O79" i="15"/>
  <c r="O90" i="15"/>
  <c r="O95" i="15"/>
  <c r="O106" i="15"/>
  <c r="C120" i="15"/>
  <c r="C120" i="16" s="1"/>
  <c r="O127" i="15"/>
  <c r="O131" i="15"/>
  <c r="O91" i="15"/>
  <c r="O103" i="15"/>
  <c r="O107" i="15"/>
  <c r="O111" i="15"/>
  <c r="O115" i="15"/>
  <c r="O121" i="15"/>
  <c r="O132" i="15"/>
  <c r="O137" i="15"/>
  <c r="C130" i="16"/>
  <c r="C116" i="16"/>
  <c r="C126" i="16"/>
  <c r="O118" i="15"/>
  <c r="C126" i="15"/>
  <c r="O102" i="16"/>
  <c r="O101" i="16"/>
  <c r="O100" i="16"/>
  <c r="O108" i="16"/>
  <c r="O118" i="16"/>
  <c r="O122" i="16"/>
  <c r="O121" i="16"/>
  <c r="O124" i="16"/>
  <c r="O127" i="16"/>
  <c r="O132" i="16"/>
  <c r="O135" i="16"/>
  <c r="C99" i="15"/>
  <c r="C123" i="15"/>
  <c r="C123" i="16" s="1"/>
  <c r="C116" i="15"/>
  <c r="O76" i="15"/>
  <c r="C75" i="15"/>
  <c r="O39" i="15"/>
  <c r="O39" i="16"/>
  <c r="C8" i="12"/>
  <c r="C37" i="15"/>
  <c r="C8" i="15" s="1"/>
  <c r="O38" i="16"/>
  <c r="O38" i="15"/>
  <c r="O8" i="4"/>
  <c r="O33" i="4"/>
  <c r="C6" i="4"/>
  <c r="O33" i="5"/>
  <c r="C8" i="5"/>
  <c r="O36" i="14"/>
  <c r="O128" i="16"/>
  <c r="O61" i="16"/>
  <c r="O60" i="16"/>
  <c r="O59" i="16"/>
  <c r="O63" i="16"/>
  <c r="O57" i="16"/>
  <c r="O56" i="16"/>
  <c r="O55" i="16"/>
  <c r="O136" i="16"/>
  <c r="O138" i="16"/>
  <c r="O137" i="16"/>
  <c r="C133" i="16"/>
  <c r="C105" i="16"/>
  <c r="O104" i="16"/>
  <c r="O74" i="16"/>
  <c r="O70" i="16"/>
  <c r="O66" i="16"/>
  <c r="O62" i="16"/>
  <c r="O58" i="16"/>
  <c r="O46" i="16"/>
  <c r="C43" i="16"/>
  <c r="O35" i="16"/>
  <c r="O34" i="16"/>
  <c r="E28" i="16"/>
  <c r="O32" i="16"/>
  <c r="H28" i="16"/>
  <c r="F28" i="16"/>
  <c r="D22" i="16"/>
  <c r="O27" i="16"/>
  <c r="E22" i="16"/>
  <c r="F22" i="16"/>
  <c r="F53" i="14"/>
  <c r="N133" i="15"/>
  <c r="M133" i="15"/>
  <c r="L133" i="15"/>
  <c r="K133" i="15"/>
  <c r="J133" i="15"/>
  <c r="I133" i="15"/>
  <c r="H133" i="15"/>
  <c r="G133" i="15"/>
  <c r="F133" i="15"/>
  <c r="E133" i="15"/>
  <c r="D133" i="15"/>
  <c r="O133" i="15" s="1"/>
  <c r="N130" i="15"/>
  <c r="M130" i="15"/>
  <c r="L130" i="15"/>
  <c r="K130" i="15"/>
  <c r="J130" i="15"/>
  <c r="I130" i="15"/>
  <c r="H130" i="15"/>
  <c r="G130" i="15"/>
  <c r="F130" i="15"/>
  <c r="E130" i="15"/>
  <c r="D130" i="15"/>
  <c r="O130" i="15" s="1"/>
  <c r="N126" i="15"/>
  <c r="M126" i="15"/>
  <c r="L126" i="15"/>
  <c r="K126" i="15"/>
  <c r="J126" i="15"/>
  <c r="I126" i="15"/>
  <c r="H126" i="15"/>
  <c r="G126" i="15"/>
  <c r="F126" i="15"/>
  <c r="E126" i="15"/>
  <c r="D126" i="15"/>
  <c r="O126" i="15" s="1"/>
  <c r="N123" i="15"/>
  <c r="M123" i="15"/>
  <c r="L123" i="15"/>
  <c r="K123" i="15"/>
  <c r="J123" i="15"/>
  <c r="I123" i="15"/>
  <c r="H123" i="15"/>
  <c r="G123" i="15"/>
  <c r="F123" i="15"/>
  <c r="E123" i="15"/>
  <c r="D123" i="15"/>
  <c r="O123" i="15" s="1"/>
  <c r="N120" i="15"/>
  <c r="M120" i="15"/>
  <c r="L120" i="15"/>
  <c r="K120" i="15"/>
  <c r="J120" i="15"/>
  <c r="I120" i="15"/>
  <c r="H120" i="15"/>
  <c r="G120" i="15"/>
  <c r="F120" i="15"/>
  <c r="E120" i="15"/>
  <c r="D120" i="15"/>
  <c r="O120" i="15" s="1"/>
  <c r="N116" i="15"/>
  <c r="M116" i="15"/>
  <c r="L116" i="15"/>
  <c r="K116" i="15"/>
  <c r="J116" i="15"/>
  <c r="I116" i="15"/>
  <c r="H116" i="15"/>
  <c r="G116" i="15"/>
  <c r="F116" i="15"/>
  <c r="E116" i="15"/>
  <c r="D116" i="15"/>
  <c r="N105" i="15"/>
  <c r="M105" i="15"/>
  <c r="L105" i="15"/>
  <c r="K105" i="15"/>
  <c r="J105" i="15"/>
  <c r="I105" i="15"/>
  <c r="H105" i="15"/>
  <c r="G105" i="15"/>
  <c r="F105" i="15"/>
  <c r="E105" i="15"/>
  <c r="D105" i="15"/>
  <c r="O105" i="15" s="1"/>
  <c r="N99" i="15"/>
  <c r="M99" i="15"/>
  <c r="L99" i="15"/>
  <c r="K99" i="15"/>
  <c r="J99" i="15"/>
  <c r="I99" i="15"/>
  <c r="H99" i="15"/>
  <c r="G99" i="15"/>
  <c r="F99" i="15"/>
  <c r="E99" i="15"/>
  <c r="D99" i="15"/>
  <c r="N75" i="15"/>
  <c r="M75" i="15"/>
  <c r="L75" i="15"/>
  <c r="K75" i="15"/>
  <c r="J75" i="15"/>
  <c r="I75" i="15"/>
  <c r="H75" i="15"/>
  <c r="G75" i="15"/>
  <c r="F75" i="15"/>
  <c r="E75" i="15"/>
  <c r="D75" i="15"/>
  <c r="N53" i="15"/>
  <c r="M53" i="15"/>
  <c r="L53" i="15"/>
  <c r="K53" i="15"/>
  <c r="J53" i="15"/>
  <c r="I53" i="15"/>
  <c r="H53" i="15"/>
  <c r="G53" i="15"/>
  <c r="F53" i="15"/>
  <c r="E53" i="15"/>
  <c r="D53" i="15"/>
  <c r="N50" i="15"/>
  <c r="M50" i="15"/>
  <c r="L50" i="15"/>
  <c r="K50" i="15"/>
  <c r="J50" i="15"/>
  <c r="I50" i="15"/>
  <c r="H50" i="15"/>
  <c r="G50" i="15"/>
  <c r="F50" i="15"/>
  <c r="E50" i="15"/>
  <c r="D50" i="15"/>
  <c r="N43" i="15"/>
  <c r="M43" i="15"/>
  <c r="L43" i="15"/>
  <c r="K43" i="15"/>
  <c r="J43" i="15"/>
  <c r="I43" i="15"/>
  <c r="H43" i="15"/>
  <c r="G43" i="15"/>
  <c r="F43" i="15"/>
  <c r="E43" i="15"/>
  <c r="D43" i="15"/>
  <c r="O43" i="15" s="1"/>
  <c r="N40" i="15"/>
  <c r="M40" i="15"/>
  <c r="L40" i="15"/>
  <c r="K40" i="15"/>
  <c r="J40" i="15"/>
  <c r="I40" i="15"/>
  <c r="H40" i="15"/>
  <c r="G40" i="15"/>
  <c r="F40" i="15"/>
  <c r="E40" i="15"/>
  <c r="D40" i="15"/>
  <c r="O40" i="15" s="1"/>
  <c r="N37" i="15"/>
  <c r="M37" i="15"/>
  <c r="L37" i="15"/>
  <c r="K37" i="15"/>
  <c r="J37" i="15"/>
  <c r="I37" i="15"/>
  <c r="H37" i="15"/>
  <c r="G37" i="15"/>
  <c r="F37" i="15"/>
  <c r="E37" i="15"/>
  <c r="D37" i="15"/>
  <c r="N33" i="15"/>
  <c r="M33" i="15"/>
  <c r="L33" i="15"/>
  <c r="K33" i="15"/>
  <c r="J33" i="15"/>
  <c r="I33" i="15"/>
  <c r="H33" i="15"/>
  <c r="G33" i="15"/>
  <c r="F33" i="15"/>
  <c r="E33" i="15"/>
  <c r="D33" i="15"/>
  <c r="O33" i="15" s="1"/>
  <c r="N28" i="15"/>
  <c r="M28" i="15"/>
  <c r="L28" i="15"/>
  <c r="K28" i="15"/>
  <c r="J28" i="15"/>
  <c r="I28" i="15"/>
  <c r="H28" i="15"/>
  <c r="G28" i="15"/>
  <c r="F28" i="15"/>
  <c r="E28" i="15"/>
  <c r="D28" i="15"/>
  <c r="N133" i="14"/>
  <c r="M133" i="14"/>
  <c r="L133" i="14"/>
  <c r="K133" i="14"/>
  <c r="J133" i="14"/>
  <c r="I133" i="14"/>
  <c r="H133" i="14"/>
  <c r="G133" i="14"/>
  <c r="F133" i="14"/>
  <c r="E133" i="14"/>
  <c r="D133" i="14"/>
  <c r="N130" i="14"/>
  <c r="M130" i="14"/>
  <c r="L130" i="14"/>
  <c r="K130" i="14"/>
  <c r="J130" i="14"/>
  <c r="I130" i="14"/>
  <c r="H130" i="14"/>
  <c r="G130" i="14"/>
  <c r="F130" i="14"/>
  <c r="E130" i="14"/>
  <c r="D130" i="14"/>
  <c r="N126" i="14"/>
  <c r="M126" i="14"/>
  <c r="L126" i="14"/>
  <c r="K126" i="14"/>
  <c r="J126" i="14"/>
  <c r="I126" i="14"/>
  <c r="H126" i="14"/>
  <c r="G126" i="14"/>
  <c r="F126" i="14"/>
  <c r="E126" i="14"/>
  <c r="D126" i="14"/>
  <c r="N123" i="14"/>
  <c r="M123" i="14"/>
  <c r="L123" i="14"/>
  <c r="K123" i="14"/>
  <c r="J123" i="14"/>
  <c r="I123" i="14"/>
  <c r="H123" i="14"/>
  <c r="G123" i="14"/>
  <c r="F123" i="14"/>
  <c r="E123" i="14"/>
  <c r="D123" i="14"/>
  <c r="O123" i="14" s="1"/>
  <c r="N120" i="14"/>
  <c r="M120" i="14"/>
  <c r="L120" i="14"/>
  <c r="K120" i="14"/>
  <c r="J120" i="14"/>
  <c r="I120" i="14"/>
  <c r="H120" i="14"/>
  <c r="G120" i="14"/>
  <c r="F120" i="14"/>
  <c r="E120" i="14"/>
  <c r="D120" i="14"/>
  <c r="O120" i="14" s="1"/>
  <c r="N116" i="14"/>
  <c r="M116" i="14"/>
  <c r="L116" i="14"/>
  <c r="K116" i="14"/>
  <c r="J116" i="14"/>
  <c r="I116" i="14"/>
  <c r="H116" i="14"/>
  <c r="G116" i="14"/>
  <c r="F116" i="14"/>
  <c r="E116" i="14"/>
  <c r="D116" i="14"/>
  <c r="N105" i="14"/>
  <c r="M105" i="14"/>
  <c r="L105" i="14"/>
  <c r="K105" i="14"/>
  <c r="J105" i="14"/>
  <c r="I105" i="14"/>
  <c r="H105" i="14"/>
  <c r="G105" i="14"/>
  <c r="F105" i="14"/>
  <c r="E105" i="14"/>
  <c r="D105" i="14"/>
  <c r="O105" i="14" s="1"/>
  <c r="N99" i="14"/>
  <c r="M99" i="14"/>
  <c r="L99" i="14"/>
  <c r="K99" i="14"/>
  <c r="J99" i="14"/>
  <c r="I99" i="14"/>
  <c r="H99" i="14"/>
  <c r="G99" i="14"/>
  <c r="F99" i="14"/>
  <c r="E99" i="14"/>
  <c r="D99" i="14"/>
  <c r="O99" i="14" s="1"/>
  <c r="N75" i="14"/>
  <c r="M75" i="14"/>
  <c r="L75" i="14"/>
  <c r="K75" i="14"/>
  <c r="J75" i="14"/>
  <c r="I75" i="14"/>
  <c r="H75" i="14"/>
  <c r="G75" i="14"/>
  <c r="E75" i="14"/>
  <c r="D75" i="14"/>
  <c r="N53" i="14"/>
  <c r="M53" i="14"/>
  <c r="L53" i="14"/>
  <c r="K53" i="14"/>
  <c r="J53" i="14"/>
  <c r="I53" i="14"/>
  <c r="H53" i="14"/>
  <c r="G53" i="14"/>
  <c r="E53" i="14"/>
  <c r="D53" i="14"/>
  <c r="N50" i="14"/>
  <c r="M50" i="14"/>
  <c r="L50" i="14"/>
  <c r="K50" i="14"/>
  <c r="J50" i="14"/>
  <c r="I50" i="14"/>
  <c r="H50" i="14"/>
  <c r="G50" i="14"/>
  <c r="E50" i="14"/>
  <c r="D50" i="14"/>
  <c r="N43" i="14"/>
  <c r="M43" i="14"/>
  <c r="L43" i="14"/>
  <c r="K43" i="14"/>
  <c r="J43" i="14"/>
  <c r="I43" i="14"/>
  <c r="H43" i="14"/>
  <c r="G43" i="14"/>
  <c r="F43" i="14"/>
  <c r="E43" i="14"/>
  <c r="D43" i="14"/>
  <c r="O43" i="14" s="1"/>
  <c r="N40" i="14"/>
  <c r="M40" i="14"/>
  <c r="L40" i="14"/>
  <c r="K40" i="14"/>
  <c r="J40" i="14"/>
  <c r="I40" i="14"/>
  <c r="H40" i="14"/>
  <c r="G40" i="14"/>
  <c r="F40" i="14"/>
  <c r="E40" i="14"/>
  <c r="D40" i="14"/>
  <c r="O40" i="14" s="1"/>
  <c r="N37" i="14"/>
  <c r="M37" i="14"/>
  <c r="L37" i="14"/>
  <c r="K37" i="14"/>
  <c r="J37" i="14"/>
  <c r="I37" i="14"/>
  <c r="H37" i="14"/>
  <c r="G37" i="14"/>
  <c r="F37" i="14"/>
  <c r="E37" i="14"/>
  <c r="D37" i="14"/>
  <c r="O37" i="14" s="1"/>
  <c r="N33" i="14"/>
  <c r="M33" i="14"/>
  <c r="L33" i="14"/>
  <c r="K33" i="14"/>
  <c r="J33" i="14"/>
  <c r="I33" i="14"/>
  <c r="H33" i="14"/>
  <c r="G33" i="14"/>
  <c r="F33" i="14"/>
  <c r="E33" i="14"/>
  <c r="D33" i="14"/>
  <c r="N28" i="14"/>
  <c r="M28" i="14"/>
  <c r="L28" i="14"/>
  <c r="K28" i="14"/>
  <c r="J28" i="14"/>
  <c r="I28" i="14"/>
  <c r="H28" i="14"/>
  <c r="G28" i="14"/>
  <c r="F28" i="14"/>
  <c r="E28" i="14"/>
  <c r="D28" i="14"/>
  <c r="O28" i="14" s="1"/>
  <c r="N22" i="14"/>
  <c r="M22" i="14"/>
  <c r="L22" i="14"/>
  <c r="L8" i="14" s="1"/>
  <c r="K22" i="14"/>
  <c r="K8" i="14" s="1"/>
  <c r="J22" i="14"/>
  <c r="I22" i="14"/>
  <c r="H22" i="14"/>
  <c r="G22" i="14"/>
  <c r="G8" i="14" s="1"/>
  <c r="F22" i="14"/>
  <c r="E22" i="14"/>
  <c r="D22" i="14"/>
  <c r="N48" i="3"/>
  <c r="H31" i="3" s="1"/>
  <c r="D20" i="3"/>
  <c r="H32" i="3" s="1"/>
  <c r="J62" i="3"/>
  <c r="H37" i="3"/>
  <c r="J63" i="3"/>
  <c r="H36" i="3"/>
  <c r="J66" i="3" s="1"/>
  <c r="G60" i="3"/>
  <c r="G62" i="3"/>
  <c r="G63" i="3"/>
  <c r="G64" i="3"/>
  <c r="G66" i="3"/>
  <c r="G67" i="3"/>
  <c r="G68" i="3"/>
  <c r="N61" i="3"/>
  <c r="L61" i="3"/>
  <c r="O61" i="3" s="1"/>
  <c r="L66" i="3"/>
  <c r="N66" i="3"/>
  <c r="J60" i="3"/>
  <c r="L62" i="3"/>
  <c r="N62" i="3"/>
  <c r="N63" i="3"/>
  <c r="L63" i="3"/>
  <c r="O63" i="3" s="1"/>
  <c r="G70" i="3"/>
  <c r="F70" i="3"/>
  <c r="L64" i="3"/>
  <c r="O64" i="3" s="1"/>
  <c r="C22" i="16" l="1"/>
  <c r="O105" i="16"/>
  <c r="N30" i="17"/>
  <c r="H53" i="17" s="1"/>
  <c r="C20" i="17"/>
  <c r="D30" i="17"/>
  <c r="H50" i="17" s="1"/>
  <c r="C34" i="17"/>
  <c r="D45" i="17"/>
  <c r="H54" i="17" s="1"/>
  <c r="C2" i="4"/>
  <c r="C4" i="17"/>
  <c r="D15" i="17"/>
  <c r="H48" i="17" s="1"/>
  <c r="O129" i="16"/>
  <c r="D5" i="7"/>
  <c r="E5" i="7" s="1"/>
  <c r="F5" i="7" s="1"/>
  <c r="G5" i="7" s="1"/>
  <c r="H5" i="7" s="1"/>
  <c r="I5" i="7" s="1"/>
  <c r="J5" i="7" s="1"/>
  <c r="K5" i="7" s="1"/>
  <c r="L5" i="7" s="1"/>
  <c r="M5" i="7" s="1"/>
  <c r="N5" i="7" s="1"/>
  <c r="H6" i="17"/>
  <c r="I15" i="17"/>
  <c r="H49" i="17" s="1"/>
  <c r="L2" i="5"/>
  <c r="I30" i="17"/>
  <c r="H51" i="17" s="1"/>
  <c r="E6" i="5"/>
  <c r="D33" i="16"/>
  <c r="H8" i="14"/>
  <c r="H33" i="16"/>
  <c r="O33" i="16" s="1"/>
  <c r="C49" i="17" s="1"/>
  <c r="I6" i="12"/>
  <c r="J6" i="12"/>
  <c r="M6" i="12"/>
  <c r="D6" i="12"/>
  <c r="I22" i="16"/>
  <c r="H22" i="16"/>
  <c r="N22" i="16"/>
  <c r="L22" i="16"/>
  <c r="O24" i="16"/>
  <c r="O37" i="16"/>
  <c r="C50" i="17" s="1"/>
  <c r="O131" i="16"/>
  <c r="K126" i="16"/>
  <c r="H126" i="16"/>
  <c r="O126" i="16" s="1"/>
  <c r="I50" i="16"/>
  <c r="I47" i="16" s="1"/>
  <c r="O130" i="16"/>
  <c r="D116" i="16"/>
  <c r="D5" i="6"/>
  <c r="E5" i="6" s="1"/>
  <c r="F5" i="6" s="1"/>
  <c r="G5" i="6" s="1"/>
  <c r="H5" i="6" s="1"/>
  <c r="I5" i="6" s="1"/>
  <c r="J5" i="6" s="1"/>
  <c r="K5" i="6" s="1"/>
  <c r="L5" i="6" s="1"/>
  <c r="M5" i="6" s="1"/>
  <c r="N5" i="6" s="1"/>
  <c r="F99" i="16"/>
  <c r="L99" i="16"/>
  <c r="O103" i="16"/>
  <c r="D99" i="16"/>
  <c r="J99" i="16"/>
  <c r="J47" i="16" s="1"/>
  <c r="E99" i="16"/>
  <c r="E47" i="16" s="1"/>
  <c r="K99" i="16"/>
  <c r="C99" i="16"/>
  <c r="J43" i="16"/>
  <c r="D43" i="16"/>
  <c r="I40" i="16"/>
  <c r="H43" i="16"/>
  <c r="O43" i="16" s="1"/>
  <c r="C52" i="17" s="1"/>
  <c r="M116" i="16"/>
  <c r="D120" i="16"/>
  <c r="L120" i="16"/>
  <c r="G123" i="16"/>
  <c r="K123" i="16"/>
  <c r="G133" i="16"/>
  <c r="O133" i="16" s="1"/>
  <c r="O134" i="16"/>
  <c r="O125" i="16"/>
  <c r="O107" i="16"/>
  <c r="O109" i="16"/>
  <c r="O110" i="16"/>
  <c r="O111" i="16"/>
  <c r="O112" i="16"/>
  <c r="O113" i="16"/>
  <c r="O114" i="16"/>
  <c r="O115" i="16"/>
  <c r="O106" i="16"/>
  <c r="O52" i="16"/>
  <c r="O44" i="16"/>
  <c r="O42" i="16"/>
  <c r="C28" i="16"/>
  <c r="C8" i="16" s="1"/>
  <c r="O29" i="16"/>
  <c r="O25" i="16"/>
  <c r="O26" i="16"/>
  <c r="O23" i="16"/>
  <c r="O51" i="16"/>
  <c r="G47" i="16"/>
  <c r="C47" i="15"/>
  <c r="C6" i="15" s="1"/>
  <c r="C5" i="15" s="1"/>
  <c r="F48" i="16"/>
  <c r="O49" i="16"/>
  <c r="D5" i="10"/>
  <c r="E5" i="10" s="1"/>
  <c r="F5" i="10" s="1"/>
  <c r="G5" i="10" s="1"/>
  <c r="H5" i="10" s="1"/>
  <c r="I5" i="10" s="1"/>
  <c r="J5" i="10" s="1"/>
  <c r="K5" i="10" s="1"/>
  <c r="L5" i="10" s="1"/>
  <c r="M5" i="10" s="1"/>
  <c r="N5" i="10" s="1"/>
  <c r="C75" i="16"/>
  <c r="G6" i="5"/>
  <c r="O133" i="14"/>
  <c r="O36" i="16"/>
  <c r="G8" i="16"/>
  <c r="O47" i="8"/>
  <c r="D2" i="8" s="1"/>
  <c r="O50" i="14"/>
  <c r="O116" i="14"/>
  <c r="O126" i="14"/>
  <c r="I2" i="6"/>
  <c r="O6" i="6"/>
  <c r="O93" i="16"/>
  <c r="O94" i="16"/>
  <c r="O84" i="16"/>
  <c r="O82" i="16"/>
  <c r="O87" i="16"/>
  <c r="O85" i="16"/>
  <c r="O86" i="16"/>
  <c r="O91" i="16"/>
  <c r="O81" i="16"/>
  <c r="O97" i="16"/>
  <c r="O53" i="15"/>
  <c r="I47" i="15"/>
  <c r="J47" i="15"/>
  <c r="O89" i="16"/>
  <c r="M47" i="15"/>
  <c r="K47" i="15"/>
  <c r="E8" i="16"/>
  <c r="O92" i="16"/>
  <c r="O79" i="16"/>
  <c r="F47" i="14"/>
  <c r="O6" i="10"/>
  <c r="O47" i="10"/>
  <c r="K2" i="10" s="1"/>
  <c r="O96" i="16"/>
  <c r="O90" i="16"/>
  <c r="N2" i="4"/>
  <c r="J2" i="4"/>
  <c r="F2" i="4"/>
  <c r="K2" i="4"/>
  <c r="M2" i="4"/>
  <c r="I2" i="4"/>
  <c r="E2" i="4"/>
  <c r="G2" i="4"/>
  <c r="L2" i="4"/>
  <c r="H2" i="4"/>
  <c r="D2" i="4"/>
  <c r="C47" i="14"/>
  <c r="C6" i="14" s="1"/>
  <c r="C5" i="14" s="1"/>
  <c r="O6" i="7"/>
  <c r="O98" i="16"/>
  <c r="O88" i="16"/>
  <c r="I47" i="14"/>
  <c r="M47" i="14"/>
  <c r="J47" i="14"/>
  <c r="N47" i="14"/>
  <c r="L47" i="14"/>
  <c r="L6" i="14" s="1"/>
  <c r="O47" i="7"/>
  <c r="G2" i="7" s="1"/>
  <c r="O130" i="14"/>
  <c r="O95" i="16"/>
  <c r="K47" i="14"/>
  <c r="K6" i="14" s="1"/>
  <c r="G47" i="14"/>
  <c r="G6" i="14" s="1"/>
  <c r="O67" i="16"/>
  <c r="H47" i="14"/>
  <c r="H6" i="14" s="1"/>
  <c r="O6" i="8"/>
  <c r="C5" i="8"/>
  <c r="D5" i="8" s="1"/>
  <c r="E5" i="8" s="1"/>
  <c r="F5" i="8" s="1"/>
  <c r="G5" i="8" s="1"/>
  <c r="H5" i="8" s="1"/>
  <c r="I5" i="8" s="1"/>
  <c r="J5" i="8" s="1"/>
  <c r="K5" i="8" s="1"/>
  <c r="L5" i="8" s="1"/>
  <c r="M5" i="8" s="1"/>
  <c r="N5" i="8" s="1"/>
  <c r="L8" i="15"/>
  <c r="H8" i="15"/>
  <c r="O77" i="16"/>
  <c r="O80" i="16"/>
  <c r="O78" i="16"/>
  <c r="F47" i="15"/>
  <c r="N47" i="15"/>
  <c r="C53" i="16"/>
  <c r="O47" i="12"/>
  <c r="H2" i="12" s="1"/>
  <c r="O50" i="15"/>
  <c r="D47" i="15"/>
  <c r="G47" i="15"/>
  <c r="H47" i="15"/>
  <c r="L47" i="15"/>
  <c r="E47" i="15"/>
  <c r="O75" i="14"/>
  <c r="E47" i="14"/>
  <c r="O76" i="16"/>
  <c r="O75" i="15"/>
  <c r="O116" i="15"/>
  <c r="O99" i="15"/>
  <c r="O123" i="16"/>
  <c r="E8" i="15"/>
  <c r="I8" i="15"/>
  <c r="M8" i="15"/>
  <c r="O8" i="12"/>
  <c r="C6" i="12"/>
  <c r="F8" i="15"/>
  <c r="J8" i="15"/>
  <c r="N8" i="15"/>
  <c r="O37" i="15"/>
  <c r="G8" i="15"/>
  <c r="K8" i="15"/>
  <c r="D8" i="16"/>
  <c r="O6" i="4"/>
  <c r="C5" i="4"/>
  <c r="D5" i="4" s="1"/>
  <c r="E5" i="4" s="1"/>
  <c r="F5" i="4" s="1"/>
  <c r="G5" i="4" s="1"/>
  <c r="H5" i="4" s="1"/>
  <c r="I5" i="4" s="1"/>
  <c r="J5" i="4" s="1"/>
  <c r="K5" i="4" s="1"/>
  <c r="L5" i="4" s="1"/>
  <c r="M5" i="4" s="1"/>
  <c r="N5" i="4" s="1"/>
  <c r="E8" i="14"/>
  <c r="I8" i="14"/>
  <c r="M8" i="14"/>
  <c r="F8" i="14"/>
  <c r="J8" i="14"/>
  <c r="N8" i="14"/>
  <c r="O33" i="14"/>
  <c r="O8" i="5"/>
  <c r="C6" i="5"/>
  <c r="F8" i="16"/>
  <c r="D8" i="15"/>
  <c r="O28" i="15"/>
  <c r="O53" i="14"/>
  <c r="D47" i="14"/>
  <c r="D8" i="14"/>
  <c r="O22" i="14"/>
  <c r="H35" i="3"/>
  <c r="H39" i="3" s="1"/>
  <c r="N60" i="3"/>
  <c r="L60" i="3"/>
  <c r="O66" i="3"/>
  <c r="O62" i="3"/>
  <c r="O99" i="16" l="1"/>
  <c r="O28" i="16"/>
  <c r="O116" i="16"/>
  <c r="H58" i="17"/>
  <c r="O22" i="16"/>
  <c r="C48" i="17" s="1"/>
  <c r="O50" i="16"/>
  <c r="H47" i="16"/>
  <c r="D47" i="16"/>
  <c r="D6" i="16" s="1"/>
  <c r="F47" i="16"/>
  <c r="F6" i="16" s="1"/>
  <c r="H8" i="16"/>
  <c r="O120" i="16"/>
  <c r="I8" i="16"/>
  <c r="I6" i="16" s="1"/>
  <c r="O48" i="16"/>
  <c r="M2" i="6"/>
  <c r="C47" i="16"/>
  <c r="M6" i="15"/>
  <c r="K6" i="15"/>
  <c r="J2" i="8"/>
  <c r="I2" i="8"/>
  <c r="L2" i="8"/>
  <c r="F2" i="8"/>
  <c r="G6" i="16"/>
  <c r="K2" i="7"/>
  <c r="K2" i="8"/>
  <c r="N2" i="8"/>
  <c r="M2" i="8"/>
  <c r="E2" i="8"/>
  <c r="G2" i="8"/>
  <c r="H2" i="8"/>
  <c r="D2" i="6"/>
  <c r="F6" i="14"/>
  <c r="E2" i="6"/>
  <c r="H2" i="6"/>
  <c r="J2" i="6"/>
  <c r="G2" i="6"/>
  <c r="F2" i="6"/>
  <c r="C2" i="6"/>
  <c r="L2" i="6"/>
  <c r="K2" i="6"/>
  <c r="N2" i="6"/>
  <c r="G2" i="12"/>
  <c r="L2" i="12"/>
  <c r="J2" i="12"/>
  <c r="D2" i="12"/>
  <c r="N2" i="12"/>
  <c r="K2" i="12"/>
  <c r="I2" i="12"/>
  <c r="C2" i="12"/>
  <c r="M2" i="12"/>
  <c r="E2" i="12"/>
  <c r="F2" i="12"/>
  <c r="I6" i="15"/>
  <c r="J6" i="15"/>
  <c r="E6" i="16"/>
  <c r="D2" i="10"/>
  <c r="J2" i="10"/>
  <c r="L2" i="10"/>
  <c r="M2" i="10"/>
  <c r="N2" i="10"/>
  <c r="C2" i="10"/>
  <c r="E2" i="10"/>
  <c r="H2" i="10"/>
  <c r="F2" i="10"/>
  <c r="G2" i="10"/>
  <c r="I2" i="10"/>
  <c r="N2" i="7"/>
  <c r="D2" i="7"/>
  <c r="H2" i="7"/>
  <c r="M2" i="7"/>
  <c r="F2" i="7"/>
  <c r="O53" i="16"/>
  <c r="E2" i="5"/>
  <c r="M2" i="5"/>
  <c r="I2" i="7"/>
  <c r="L2" i="7"/>
  <c r="C2" i="7"/>
  <c r="E2" i="7"/>
  <c r="J2" i="7"/>
  <c r="G2" i="5"/>
  <c r="N2" i="5"/>
  <c r="F2" i="5"/>
  <c r="D2" i="5"/>
  <c r="H2" i="5"/>
  <c r="K2" i="5"/>
  <c r="I2" i="5"/>
  <c r="C2" i="5"/>
  <c r="J2" i="5"/>
  <c r="I6" i="14"/>
  <c r="M6" i="14"/>
  <c r="N6" i="14"/>
  <c r="J6" i="14"/>
  <c r="O75" i="16"/>
  <c r="L6" i="15"/>
  <c r="H6" i="15"/>
  <c r="F6" i="15"/>
  <c r="N6" i="15"/>
  <c r="E6" i="15"/>
  <c r="G6" i="15"/>
  <c r="O47" i="14"/>
  <c r="K2" i="14" s="1"/>
  <c r="E6" i="14"/>
  <c r="O47" i="15"/>
  <c r="F2" i="15" s="1"/>
  <c r="O6" i="12"/>
  <c r="C5" i="12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6" i="5"/>
  <c r="C5" i="5"/>
  <c r="D5" i="5" s="1"/>
  <c r="E5" i="5" s="1"/>
  <c r="F5" i="5" s="1"/>
  <c r="G5" i="5" s="1"/>
  <c r="H5" i="5" s="1"/>
  <c r="I5" i="5" s="1"/>
  <c r="J5" i="5" s="1"/>
  <c r="K5" i="5" s="1"/>
  <c r="L5" i="5" s="1"/>
  <c r="M5" i="5" s="1"/>
  <c r="N5" i="5" s="1"/>
  <c r="D6" i="15"/>
  <c r="O8" i="15"/>
  <c r="D6" i="14"/>
  <c r="O8" i="14"/>
  <c r="I39" i="3"/>
  <c r="I30" i="3"/>
  <c r="I31" i="3"/>
  <c r="I32" i="3"/>
  <c r="I34" i="3"/>
  <c r="I36" i="3"/>
  <c r="I37" i="3"/>
  <c r="I29" i="3"/>
  <c r="I33" i="3"/>
  <c r="I35" i="3"/>
  <c r="J65" i="3"/>
  <c r="O60" i="3"/>
  <c r="C6" i="16" l="1"/>
  <c r="C5" i="16" s="1"/>
  <c r="D5" i="16" s="1"/>
  <c r="E5" i="16" s="1"/>
  <c r="F5" i="16" s="1"/>
  <c r="G5" i="16" s="1"/>
  <c r="O47" i="16"/>
  <c r="C2" i="16" s="1"/>
  <c r="H6" i="16"/>
  <c r="J2" i="15"/>
  <c r="G2" i="15"/>
  <c r="C2" i="15"/>
  <c r="M2" i="15"/>
  <c r="N2" i="15"/>
  <c r="H2" i="15"/>
  <c r="E2" i="15"/>
  <c r="D2" i="15"/>
  <c r="I2" i="15"/>
  <c r="K2" i="15"/>
  <c r="I2" i="14"/>
  <c r="H2" i="14"/>
  <c r="D2" i="14"/>
  <c r="N2" i="14"/>
  <c r="E2" i="14"/>
  <c r="L2" i="14"/>
  <c r="G2" i="14"/>
  <c r="C2" i="14"/>
  <c r="F2" i="14"/>
  <c r="J2" i="14"/>
  <c r="M2" i="14"/>
  <c r="L2" i="15"/>
  <c r="D5" i="15"/>
  <c r="E5" i="15" s="1"/>
  <c r="F5" i="15" s="1"/>
  <c r="G5" i="15" s="1"/>
  <c r="H5" i="15" s="1"/>
  <c r="I5" i="15" s="1"/>
  <c r="J5" i="15" s="1"/>
  <c r="K5" i="15" s="1"/>
  <c r="L5" i="15" s="1"/>
  <c r="M5" i="15" s="1"/>
  <c r="N5" i="15" s="1"/>
  <c r="O6" i="15"/>
  <c r="D5" i="14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6" i="14"/>
  <c r="L65" i="3"/>
  <c r="N65" i="3"/>
  <c r="N68" i="3" s="1"/>
  <c r="C30" i="3"/>
  <c r="C35" i="3"/>
  <c r="H5" i="16" l="1"/>
  <c r="I5" i="16" s="1"/>
  <c r="J5" i="16" s="1"/>
  <c r="C32" i="3"/>
  <c r="C34" i="3"/>
  <c r="J2" i="16"/>
  <c r="E2" i="16"/>
  <c r="M2" i="16"/>
  <c r="L2" i="16"/>
  <c r="H2" i="16"/>
  <c r="F2" i="16"/>
  <c r="K2" i="16"/>
  <c r="N2" i="16"/>
  <c r="D2" i="16"/>
  <c r="G2" i="16"/>
  <c r="I2" i="16"/>
  <c r="O65" i="3"/>
  <c r="O68" i="3" s="1"/>
  <c r="L68" i="3"/>
  <c r="C31" i="3"/>
  <c r="H19" i="17" l="1"/>
  <c r="H20" i="17"/>
  <c r="H21" i="17"/>
  <c r="H22" i="17"/>
  <c r="H23" i="17"/>
  <c r="H24" i="17"/>
  <c r="H25" i="17"/>
  <c r="H26" i="17"/>
  <c r="H27" i="17"/>
  <c r="M19" i="17"/>
  <c r="M20" i="17"/>
  <c r="M21" i="17"/>
  <c r="M22" i="17"/>
  <c r="M23" i="17"/>
  <c r="M24" i="17"/>
  <c r="M25" i="17"/>
  <c r="C35" i="17"/>
  <c r="C36" i="17"/>
  <c r="C37" i="17"/>
  <c r="C38" i="17"/>
  <c r="C39" i="17"/>
  <c r="C40" i="17"/>
  <c r="C42" i="17"/>
  <c r="C58" i="17"/>
  <c r="C51" i="17"/>
  <c r="O40" i="16"/>
  <c r="N5" i="1"/>
  <c r="M5" i="1"/>
  <c r="L5" i="1"/>
  <c r="K5" i="1"/>
  <c r="K5" i="16"/>
  <c r="L5" i="16"/>
  <c r="M5" i="16"/>
  <c r="N5" i="16"/>
  <c r="M40" i="1"/>
  <c r="M8" i="1"/>
  <c r="M6" i="1"/>
  <c r="K6" i="16"/>
  <c r="O6" i="16"/>
  <c r="O41" i="1"/>
  <c r="O8" i="1"/>
  <c r="M6" i="16"/>
  <c r="M8" i="16"/>
  <c r="M41" i="1"/>
  <c r="M41" i="16"/>
  <c r="M40" i="16"/>
  <c r="K40" i="16"/>
  <c r="K8" i="16"/>
  <c r="O8" i="16"/>
  <c r="L41" i="16"/>
  <c r="L40" i="16"/>
  <c r="L8" i="16"/>
  <c r="L6" i="16"/>
  <c r="L6" i="1"/>
  <c r="L41" i="1"/>
  <c r="L40" i="1"/>
  <c r="L8" i="1"/>
  <c r="N6" i="1"/>
  <c r="N40" i="1"/>
  <c r="N8" i="1"/>
  <c r="K41" i="16"/>
  <c r="O41" i="16"/>
  <c r="D33" i="3"/>
  <c r="K8" i="1"/>
  <c r="K6" i="1"/>
  <c r="O6" i="1"/>
  <c r="D32" i="3"/>
  <c r="D31" i="3"/>
  <c r="D39" i="3"/>
  <c r="D30" i="3"/>
  <c r="K41" i="1"/>
  <c r="K40" i="1"/>
  <c r="O40" i="1"/>
  <c r="C33" i="3"/>
  <c r="C39" i="3"/>
  <c r="D34" i="3"/>
  <c r="N41" i="1"/>
  <c r="N41" i="16"/>
  <c r="N40" i="16"/>
  <c r="N8" i="16"/>
  <c r="N6" i="16"/>
</calcChain>
</file>

<file path=xl/sharedStrings.xml><?xml version="1.0" encoding="utf-8"?>
<sst xmlns="http://schemas.openxmlformats.org/spreadsheetml/2006/main" count="2227" uniqueCount="262">
  <si>
    <t>PEC</t>
  </si>
  <si>
    <t>Q. PROFISSIONAL</t>
  </si>
  <si>
    <t>OUTLET</t>
  </si>
  <si>
    <t>DESCRIÇÃO</t>
  </si>
  <si>
    <t>VALOR</t>
  </si>
  <si>
    <t>TOTAL</t>
  </si>
  <si>
    <t>MESES</t>
  </si>
  <si>
    <t>PSICOSSOCIAL</t>
  </si>
  <si>
    <t>CASA SONHAR</t>
  </si>
  <si>
    <t>GRIFFTE</t>
  </si>
  <si>
    <t>MARKETING</t>
  </si>
  <si>
    <t>ADMINISTRATIVO</t>
  </si>
  <si>
    <t>RECEITA</t>
  </si>
  <si>
    <t>CUSTO</t>
  </si>
  <si>
    <t>INSTITUTO DE CAPACITACAO E ACAO SOCIAL O GRITO - PLANEJAMENTO 2024</t>
  </si>
  <si>
    <t>Emitido por RICARDO em 07/03/2024</t>
  </si>
  <si>
    <t>CATEGORIA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</si>
  <si>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</si>
  <si>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</si>
  <si>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</si>
  <si>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</si>
  <si>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</si>
  <si>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</si>
  <si>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</si>
  <si>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</si>
  <si>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</si>
  <si>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</si>
  <si>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</si>
  <si>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</si>
  <si>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SALDO ACUMULADO</t>
  </si>
  <si>
    <t>SALDO MÊS</t>
  </si>
  <si>
    <t>RECEITAS</t>
  </si>
  <si>
    <t>Devoluções</t>
  </si>
  <si>
    <t>Devoluções Compra Mercadoria Revenda</t>
  </si>
  <si>
    <t>Devoluções de Compra Material Consumo</t>
  </si>
  <si>
    <t>Devoluções de Compra de Matéria Prima</t>
  </si>
  <si>
    <t>Devoluções de Compra de Ativo</t>
  </si>
  <si>
    <t>Devoluções de Compra de Serviços</t>
  </si>
  <si>
    <t>Devolução de Doações</t>
  </si>
  <si>
    <t>Outras Entradas</t>
  </si>
  <si>
    <t>Empréstimos Bancários</t>
  </si>
  <si>
    <t>Aumento de Capital</t>
  </si>
  <si>
    <t>Venda de Ativos</t>
  </si>
  <si>
    <t>AJUSTE DE CAIXA</t>
  </si>
  <si>
    <t>Prêmios de Seguros / Sinistros</t>
  </si>
  <si>
    <t>Doações</t>
  </si>
  <si>
    <t>Doações Recorrentes</t>
  </si>
  <si>
    <t>Doações Pontuais PF</t>
  </si>
  <si>
    <t>Doações Pontuais PJ</t>
  </si>
  <si>
    <t>Sócio Doador</t>
  </si>
  <si>
    <t>Patrocínios</t>
  </si>
  <si>
    <t>Gerando Falcões</t>
  </si>
  <si>
    <t>Aporte</t>
  </si>
  <si>
    <t>Falcons Univercity</t>
  </si>
  <si>
    <t>Regional GF</t>
  </si>
  <si>
    <t>Favela 3D</t>
  </si>
  <si>
    <t>Editais/Projetos</t>
  </si>
  <si>
    <t>Ecogaiola</t>
  </si>
  <si>
    <t>Prog. Hab. Polaris</t>
  </si>
  <si>
    <t>Lei De Incentivo</t>
  </si>
  <si>
    <t>Negócios Sociais</t>
  </si>
  <si>
    <t>Vendas Outlet</t>
  </si>
  <si>
    <t>Vendas Griffte</t>
  </si>
  <si>
    <t>Eventos</t>
  </si>
  <si>
    <t>Clube Do Grito</t>
  </si>
  <si>
    <t>Crowdfunding</t>
  </si>
  <si>
    <t>Aplicações</t>
  </si>
  <si>
    <t>Resgate Aplicações  (Clube do Grito 2024)</t>
  </si>
  <si>
    <t>Rendimentos Aplicações</t>
  </si>
  <si>
    <t>DESPESAS</t>
  </si>
  <si>
    <t>Despesas Diretas</t>
  </si>
  <si>
    <t>Compras Mercadorias Revenda</t>
  </si>
  <si>
    <t>Marketing</t>
  </si>
  <si>
    <t>Divulgação</t>
  </si>
  <si>
    <t>Vestuários</t>
  </si>
  <si>
    <t>Despesas com Pessoal</t>
  </si>
  <si>
    <t>Comissões</t>
  </si>
  <si>
    <t>Férias</t>
  </si>
  <si>
    <t>Rescisões</t>
  </si>
  <si>
    <t>13º Salário</t>
  </si>
  <si>
    <t>INSS</t>
  </si>
  <si>
    <t>FGTS</t>
  </si>
  <si>
    <t>IRRF</t>
  </si>
  <si>
    <t>Exames</t>
  </si>
  <si>
    <t>Assistência Médica</t>
  </si>
  <si>
    <t>Vale Transporte</t>
  </si>
  <si>
    <t>Vale Refeição</t>
  </si>
  <si>
    <t>Seguro de Vida</t>
  </si>
  <si>
    <t>Outros Benefícios</t>
  </si>
  <si>
    <t>Salários PJ</t>
  </si>
  <si>
    <t>Salários PF</t>
  </si>
  <si>
    <t>Encargos</t>
  </si>
  <si>
    <t>Cursos/Treinamentos</t>
  </si>
  <si>
    <t>Alimentação</t>
  </si>
  <si>
    <t>Bonificações</t>
  </si>
  <si>
    <t>Despesas Com Viagens</t>
  </si>
  <si>
    <t>Ajuda de Custo</t>
  </si>
  <si>
    <t>Despesas Administrativas</t>
  </si>
  <si>
    <t>Aluguel Espaços</t>
  </si>
  <si>
    <t>Aluguel/Locações Outros</t>
  </si>
  <si>
    <t>ÁGUA</t>
  </si>
  <si>
    <t>Energia Elétrica</t>
  </si>
  <si>
    <t>TELEFONIA/INTERNET</t>
  </si>
  <si>
    <t>Material de Escritório</t>
  </si>
  <si>
    <t>Gás</t>
  </si>
  <si>
    <t>Seguros</t>
  </si>
  <si>
    <t>IPTU</t>
  </si>
  <si>
    <t>Contabilidade</t>
  </si>
  <si>
    <t>Advogados</t>
  </si>
  <si>
    <t>Segurança</t>
  </si>
  <si>
    <t>Limpeza/Higiene/Copa</t>
  </si>
  <si>
    <t>Manutenção Equipamentos</t>
  </si>
  <si>
    <t>Assinaturas/Licenças</t>
  </si>
  <si>
    <t>Cartórios/Correios</t>
  </si>
  <si>
    <t>Estacionamentos/Pedágios</t>
  </si>
  <si>
    <t>TRANSPORTES/FRETES</t>
  </si>
  <si>
    <t>Manut./Reformas</t>
  </si>
  <si>
    <t>MAT. DIDÁDICOS</t>
  </si>
  <si>
    <t>PRÊMIOS/BRINDES</t>
  </si>
  <si>
    <t>TAXI/APLICATIVOS</t>
  </si>
  <si>
    <t>PRESTAÇÃO SERV. TERCEIROS</t>
  </si>
  <si>
    <t>Despesas Financeiras / Bancos</t>
  </si>
  <si>
    <t>Juros sobre Empréstimos</t>
  </si>
  <si>
    <t>Multas</t>
  </si>
  <si>
    <t>Pagamento de Empréstimos</t>
  </si>
  <si>
    <t>Tarifas Bancárias</t>
  </si>
  <si>
    <t>Despesas Bancárias</t>
  </si>
  <si>
    <t>Impostos e Taxas</t>
  </si>
  <si>
    <t>ICMS</t>
  </si>
  <si>
    <t>IPI</t>
  </si>
  <si>
    <t>PIS</t>
  </si>
  <si>
    <t>COFINS</t>
  </si>
  <si>
    <t>IRPJ</t>
  </si>
  <si>
    <t>Contribuição Social</t>
  </si>
  <si>
    <t>ISS</t>
  </si>
  <si>
    <t>Simples Nacional (DAS)</t>
  </si>
  <si>
    <t>IMPOSTOS/TAXAS</t>
  </si>
  <si>
    <t>IOF</t>
  </si>
  <si>
    <t>Investimento</t>
  </si>
  <si>
    <t>Equipamentos de Informática</t>
  </si>
  <si>
    <t>Móveis e Utensílios</t>
  </si>
  <si>
    <t>Maq./Equipamentos</t>
  </si>
  <si>
    <t>Outras Despesas</t>
  </si>
  <si>
    <t>Adiantamento a Fornecedores</t>
  </si>
  <si>
    <t>Devoluções de Vendas de Mercadoria</t>
  </si>
  <si>
    <t>Devolução Entradas</t>
  </si>
  <si>
    <t>Despesas Com Veículos</t>
  </si>
  <si>
    <t>Combustível</t>
  </si>
  <si>
    <t>Impostos/Taxas Veículos</t>
  </si>
  <si>
    <t>Manutenções Veículos</t>
  </si>
  <si>
    <t>Despesas Com Eventos</t>
  </si>
  <si>
    <t>Crowdfunding/Excurções/eventos</t>
  </si>
  <si>
    <t>Despesas Matérias-Primas</t>
  </si>
  <si>
    <t>Aviamentos</t>
  </si>
  <si>
    <t>Tecidos</t>
  </si>
  <si>
    <t>Corte Tecidos</t>
  </si>
  <si>
    <t>Silker</t>
  </si>
  <si>
    <t>Doador Anjo</t>
  </si>
  <si>
    <t>Clube do Grito 2024 (Cartões)</t>
  </si>
  <si>
    <t>Resgate Aplicações (Clube Grito 24)</t>
  </si>
  <si>
    <t>TIME</t>
  </si>
  <si>
    <t>.</t>
  </si>
  <si>
    <t>SUPERVISOR</t>
  </si>
  <si>
    <t>ATENDENTE</t>
  </si>
  <si>
    <t>LOGISTICA/TRANSP.</t>
  </si>
  <si>
    <t>ASSIST. Q.P.</t>
  </si>
  <si>
    <t>GERENTE NEGOCIOS SOCIAIS</t>
  </si>
  <si>
    <t>ALIMENTAÇÃO</t>
  </si>
  <si>
    <t>PROFESSORES</t>
  </si>
  <si>
    <t>LOGISTICA</t>
  </si>
  <si>
    <t>MANUTENÇÃO</t>
  </si>
  <si>
    <t>MOTORISTA</t>
  </si>
  <si>
    <t xml:space="preserve">EVENTOS </t>
  </si>
  <si>
    <t>INSUMOS</t>
  </si>
  <si>
    <t>TRANSPORTE</t>
  </si>
  <si>
    <t>FRETES</t>
  </si>
  <si>
    <t>MAT. OFIC. AQUIS.</t>
  </si>
  <si>
    <t>MATERIAL AULA</t>
  </si>
  <si>
    <t>TREINAMENTOS</t>
  </si>
  <si>
    <t>MATERIAL GRÁFICOS</t>
  </si>
  <si>
    <t>PSICÓLOGO</t>
  </si>
  <si>
    <t>COORDENADOR</t>
  </si>
  <si>
    <t>ASSIST. MTK</t>
  </si>
  <si>
    <t>ASSIST. VIDEO</t>
  </si>
  <si>
    <t>Material Divulgação</t>
  </si>
  <si>
    <t>OPERAÇÕES</t>
  </si>
  <si>
    <t>Parceiros e Visitas</t>
  </si>
  <si>
    <t>COSTUREIRAS</t>
  </si>
  <si>
    <t>Ferramentas Trabalho</t>
  </si>
  <si>
    <t>CAMISAS /UNIFORMES</t>
  </si>
  <si>
    <t>%</t>
  </si>
  <si>
    <t>Assistente pedagógico</t>
  </si>
  <si>
    <t>JANTAR</t>
  </si>
  <si>
    <t>-</t>
  </si>
  <si>
    <t>QP</t>
  </si>
  <si>
    <t>Monitor pedagógico</t>
  </si>
  <si>
    <t>DOAÇÕES</t>
  </si>
  <si>
    <t>Profissional de apoio e limpeza</t>
  </si>
  <si>
    <t>APORTE</t>
  </si>
  <si>
    <t>Educadores Sociais - (2)</t>
  </si>
  <si>
    <t>NEGOCIOS SOCIAIS</t>
  </si>
  <si>
    <t>Educador de Ballet</t>
  </si>
  <si>
    <t>EVENTOS</t>
  </si>
  <si>
    <t>Educador de Dança Contemporânea</t>
  </si>
  <si>
    <t>APLICAÇÕES</t>
  </si>
  <si>
    <t>ADM</t>
  </si>
  <si>
    <t>Educador de Artes</t>
  </si>
  <si>
    <t>EDITAIS</t>
  </si>
  <si>
    <t>Educador de Musica</t>
  </si>
  <si>
    <t>Educador de Capoeira</t>
  </si>
  <si>
    <t>Material pedagógico</t>
  </si>
  <si>
    <t>Excursões qtdade a definir</t>
  </si>
  <si>
    <t>Manutenção/Reforma</t>
  </si>
  <si>
    <t>Manutenção Equipamento</t>
  </si>
  <si>
    <t>Aluguel</t>
  </si>
  <si>
    <t>Agua</t>
  </si>
  <si>
    <t>Luz</t>
  </si>
  <si>
    <t>Telefonia/Internet</t>
  </si>
  <si>
    <t>RECEITA POR MEIO CAPTAÇÃO</t>
  </si>
  <si>
    <t>CUSTO POR SETOR</t>
  </si>
  <si>
    <t>SETOR</t>
  </si>
  <si>
    <t>ESPERADO</t>
  </si>
  <si>
    <t>REAL</t>
  </si>
  <si>
    <t>SALDO</t>
  </si>
  <si>
    <t>APORTE GF</t>
  </si>
  <si>
    <t>DOADOR RECORRENTE</t>
  </si>
  <si>
    <t>DOADOR PONTUAL</t>
  </si>
  <si>
    <t>CIDADANIA</t>
  </si>
  <si>
    <t>Q.PROFISSIONAL</t>
  </si>
  <si>
    <t>SALDO GERAL</t>
  </si>
  <si>
    <t>UNIDADE</t>
  </si>
  <si>
    <t>O GRITO</t>
  </si>
  <si>
    <t>Emitido por RICARDO em 17/11/2023 10:58</t>
  </si>
  <si>
    <t>PREVISTO</t>
  </si>
  <si>
    <t>REALIZADO/ REALIZAR</t>
  </si>
  <si>
    <t>DIFERENÇA</t>
  </si>
  <si>
    <t>JUSTIFICATIVA</t>
  </si>
  <si>
    <t>Resgate Aplicações</t>
  </si>
  <si>
    <t>Adiantamento</t>
  </si>
  <si>
    <t>Aluguel Epaços</t>
  </si>
  <si>
    <t>Aluguel Outros</t>
  </si>
  <si>
    <t>Desp Operacional</t>
  </si>
  <si>
    <t>AJUDA DE CUSTO</t>
  </si>
  <si>
    <t>TRANSPORTES</t>
  </si>
  <si>
    <t>MAT. LIMP./HIG./COPA</t>
  </si>
  <si>
    <t>Devoluções de Vendas de Serviços Prestados</t>
  </si>
  <si>
    <t xml:space="preserve">Emitido por RICARDO em 17/11/2023 10:58		</t>
  </si>
  <si>
    <t>Resgate Aplicações  (Clube do Grito 2023)</t>
  </si>
  <si>
    <t>INSTITUTO DE CAPACITACAO E ACAO SOCIAL O GRITO - PLANEJAMENTO 2025  -  GERAL</t>
  </si>
  <si>
    <t>INSTITUTO DE CAPACITACAO E ACAO SOCIAL O GRITO - PLANEJAMENTO 2025  -  ADM</t>
  </si>
  <si>
    <t>INSTITUTO DE CAPACITACAO E ACAO SOCIAL O GRITO - PLANEJAMENTO 2025  -  MARKETING</t>
  </si>
  <si>
    <t>INSTITUTO DE CAPACITACAO E ACAO SOCIAL O GRITO - PLANEJAMENTO 2025  -  FAVELA 3D</t>
  </si>
  <si>
    <t>INSTITUTO DE CAPACITACAO E ACAO SOCIAL O GRITO - PLANEJAMENTO 2025  -  NEGOCIOS SOCIAIS</t>
  </si>
  <si>
    <t>INSTITUTO DE CAPACITACAO E ACAO SOCIAL O GRITO - PLANEJAMENTO 2025  -  OPERAÇÃO</t>
  </si>
  <si>
    <t>INSTITUTO DE CAPACITACAO E ACAO SOCIAL O GRITO - PLANEJAMENTO 2025  -  OUTLET</t>
  </si>
  <si>
    <t>INSTITUTO DE CAPACITACAO E ACAO SOCIAL O GRITO - PLANEJAMENTO 2025  -  GRIFFTE</t>
  </si>
  <si>
    <t>INSTITUTO DE CAPACITACAO E ACAO SOCIAL O GRITO - PLANEJAMENTO 2025  -  PEC</t>
  </si>
  <si>
    <t>INSTITUTO DE CAPACITACAO E ACAO SOCIAL O GRITO - PLANEJAMENTO 2025  -  CASA SONHAR</t>
  </si>
  <si>
    <t>INSTITUTO DE CAPACITACAO E ACAO SOCIAL O GRITO - PLANEJAMENTO 2025  -  Q. PROFISSIONAL</t>
  </si>
  <si>
    <t>INSTITUTO DE CAPACITACAO E ACAO SOCIAL O GRITO - PLANEJAMENTO 2025  -  PSICOSSOCIAL</t>
  </si>
  <si>
    <t/>
  </si>
  <si>
    <t>JANTAR O GRITO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</si>
</sst>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  <numFmt numFmtId="166" formatCode="0.0%"/>
  </numFmts>
  <fonts count="41" x14ac:knownFonts="1">
    <font>
      <sz val="11"/>
      <color rgb="FF000000"/>
      <name val="Calibri"/>
    </font>
    <font>
      <b/>
      <sz val="24"/>
      <color rgb="FF005795"/>
      <name val="Calibri"/>
      <family val="2"/>
    </font>
    <font>
      <i/>
      <sz val="11"/>
      <color rgb="FF999999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Batang"/>
      <family val="1"/>
      <charset val="129"/>
    </font>
    <font>
      <b/>
      <sz val="12"/>
      <color theme="0"/>
      <name val="Batang"/>
      <family val="1"/>
      <charset val="129"/>
    </font>
    <font>
      <b/>
      <sz val="14"/>
      <color theme="4" tint="-0.499984740745262"/>
      <name val="Comic Sans MS"/>
      <family val="4"/>
    </font>
    <font>
      <b/>
      <sz val="14"/>
      <color theme="4" tint="-0.499984740745262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omic Sans MS"/>
      <family val="4"/>
    </font>
    <font>
      <b/>
      <u/>
      <sz val="12"/>
      <color theme="0"/>
      <name val="Comic Sans MS"/>
      <family val="4"/>
    </font>
    <font>
      <b/>
      <sz val="12"/>
      <color theme="4" tint="-0.499984740745262"/>
      <name val="Comic Sans MS"/>
      <family val="4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omic Sans MS"/>
      <family val="4"/>
    </font>
    <font>
      <sz val="12"/>
      <color rgb="FF000000"/>
      <name val="Comic Sans MS"/>
      <family val="4"/>
    </font>
    <font>
      <b/>
      <i/>
      <u/>
      <sz val="12"/>
      <color theme="7" tint="-0.249977111117893"/>
      <name val="Calibri"/>
      <family val="2"/>
    </font>
    <font>
      <sz val="11"/>
      <color rgb="FF000000"/>
      <name val="Calibri"/>
      <family val="2"/>
    </font>
    <font>
      <b/>
      <sz val="12"/>
      <color theme="0"/>
      <name val="Comic Sans MS"/>
      <family val="4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000000"/>
      <name val="Calibri"/>
      <family val="2"/>
    </font>
    <font>
      <b/>
      <sz val="26"/>
      <color rgb="FF005795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 tint="-0.34998626667073579"/>
      <name val="Calibri"/>
      <family val="2"/>
    </font>
    <font>
      <b/>
      <sz val="12"/>
      <color theme="4" tint="-0.499984740745262"/>
      <name val="Calibri"/>
      <family val="2"/>
    </font>
    <font>
      <b/>
      <u/>
      <sz val="12"/>
      <color theme="0"/>
      <name val="Calibri"/>
      <family val="2"/>
    </font>
    <font>
      <b/>
      <sz val="11"/>
      <name val="Calibri"/>
      <family val="2"/>
    </font>
    <font>
      <b/>
      <sz val="11"/>
      <color rgb="FF000000"/>
      <name val="Bodoni MT"/>
      <family val="1"/>
    </font>
    <font>
      <b/>
      <sz val="14"/>
      <color theme="4" tint="-0.499984740745262"/>
      <name val="Bodoni MT"/>
      <family val="1"/>
    </font>
    <font>
      <b/>
      <sz val="12"/>
      <color theme="4" tint="-0.499984740745262"/>
      <name val="Bodoni MT"/>
      <family val="1"/>
    </font>
    <font>
      <b/>
      <sz val="12"/>
      <color theme="0"/>
      <name val="Bodoni MT"/>
      <family val="1"/>
    </font>
    <font>
      <b/>
      <sz val="12"/>
      <color rgb="FF000000"/>
      <name val="Bodoni MT"/>
      <family val="1"/>
    </font>
    <font>
      <sz val="11"/>
      <color rgb="FF000000"/>
      <name val="Bodoni MT"/>
      <family val="1"/>
    </font>
    <font>
      <sz val="12"/>
      <color rgb="FF000000"/>
      <name val="Bodoni MT"/>
      <family val="1"/>
    </font>
    <font>
      <sz val="11"/>
      <color theme="2" tint="-0.499984740745262"/>
      <name val="Calibri"/>
      <family val="2"/>
    </font>
    <font>
      <b/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7E3A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312">
    <xf numFmtId="0" fontId="0" fillId="0" borderId="0" xfId="0"/>
    <xf numFmtId="44" fontId="0" fillId="0" borderId="0" xfId="0" applyNumberFormat="1" applyAlignment="1">
      <alignment vertical="center"/>
    </xf>
    <xf numFmtId="0" fontId="6" fillId="7" borderId="1" xfId="0" quotePrefix="1" applyFont="1" applyFill="1" applyBorder="1" applyAlignment="1">
      <alignment horizontal="center" vertical="top"/>
    </xf>
    <xf numFmtId="0" fontId="7" fillId="7" borderId="1" xfId="0" quotePrefix="1" applyFont="1" applyFill="1" applyBorder="1" applyAlignment="1">
      <alignment horizontal="center" vertical="top"/>
    </xf>
    <xf numFmtId="44" fontId="7" fillId="7" borderId="1" xfId="0" quotePrefix="1" applyNumberFormat="1" applyFont="1" applyFill="1" applyBorder="1" applyAlignment="1">
      <alignment horizontal="center" vertical="center"/>
    </xf>
    <xf numFmtId="44" fontId="4" fillId="2" borderId="0" xfId="0" applyNumberFormat="1" applyFont="1" applyFill="1" applyAlignment="1">
      <alignment horizontal="center" vertical="center"/>
    </xf>
    <xf numFmtId="44" fontId="5" fillId="4" borderId="0" xfId="0" applyNumberFormat="1" applyFont="1" applyFill="1" applyAlignment="1">
      <alignment horizontal="center" vertical="center"/>
    </xf>
    <xf numFmtId="44" fontId="4" fillId="6" borderId="0" xfId="0" applyNumberFormat="1" applyFont="1" applyFill="1" applyAlignment="1">
      <alignment horizontal="center" vertical="center"/>
    </xf>
    <xf numFmtId="44" fontId="8" fillId="5" borderId="0" xfId="0" applyNumberFormat="1" applyFont="1" applyFill="1" applyAlignment="1">
      <alignment horizontal="center" vertical="top"/>
    </xf>
    <xf numFmtId="0" fontId="9" fillId="0" borderId="0" xfId="0" applyFont="1"/>
    <xf numFmtId="1" fontId="10" fillId="3" borderId="0" xfId="0" applyNumberFormat="1" applyFont="1" applyFill="1" applyAlignment="1">
      <alignment horizontal="left" vertical="top"/>
    </xf>
    <xf numFmtId="44" fontId="3" fillId="3" borderId="0" xfId="0" applyNumberFormat="1" applyFont="1" applyFill="1" applyAlignment="1">
      <alignment horizontal="center" vertical="top"/>
    </xf>
    <xf numFmtId="1" fontId="9" fillId="0" borderId="0" xfId="0" applyNumberFormat="1" applyFont="1" applyAlignment="1">
      <alignment horizontal="left" vertical="top"/>
    </xf>
    <xf numFmtId="44" fontId="3" fillId="0" borderId="0" xfId="0" applyNumberFormat="1" applyFont="1" applyAlignment="1">
      <alignment horizontal="center" vertical="top"/>
    </xf>
    <xf numFmtId="44" fontId="8" fillId="4" borderId="0" xfId="0" applyNumberFormat="1" applyFont="1" applyFill="1" applyAlignment="1">
      <alignment horizontal="center" vertical="top"/>
    </xf>
    <xf numFmtId="1" fontId="10" fillId="6" borderId="0" xfId="0" applyNumberFormat="1" applyFont="1" applyFill="1" applyAlignment="1">
      <alignment horizontal="left" vertical="top"/>
    </xf>
    <xf numFmtId="44" fontId="3" fillId="6" borderId="0" xfId="0" applyNumberFormat="1" applyFont="1" applyFill="1" applyAlignment="1">
      <alignment horizontal="center" vertical="top"/>
    </xf>
    <xf numFmtId="44" fontId="9" fillId="0" borderId="0" xfId="0" applyNumberFormat="1" applyFont="1" applyAlignment="1">
      <alignment vertical="center"/>
    </xf>
    <xf numFmtId="1" fontId="11" fillId="5" borderId="0" xfId="0" applyNumberFormat="1" applyFont="1" applyFill="1" applyAlignment="1">
      <alignment horizontal="center" vertical="top"/>
    </xf>
    <xf numFmtId="1" fontId="11" fillId="4" borderId="0" xfId="0" applyNumberFormat="1" applyFont="1" applyFill="1" applyAlignment="1">
      <alignment horizontal="center" vertical="top"/>
    </xf>
    <xf numFmtId="49" fontId="8" fillId="5" borderId="0" xfId="0" applyNumberFormat="1" applyFont="1" applyFill="1" applyAlignment="1">
      <alignment horizontal="center" vertical="top"/>
    </xf>
    <xf numFmtId="49" fontId="3" fillId="3" borderId="0" xfId="0" applyNumberFormat="1" applyFont="1" applyFill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8" fillId="4" borderId="0" xfId="0" applyNumberFormat="1" applyFont="1" applyFill="1" applyAlignment="1">
      <alignment horizontal="center" vertical="top"/>
    </xf>
    <xf numFmtId="49" fontId="3" fillId="6" borderId="0" xfId="0" applyNumberFormat="1" applyFont="1" applyFill="1" applyAlignment="1">
      <alignment horizontal="center" vertical="top"/>
    </xf>
    <xf numFmtId="49" fontId="9" fillId="0" borderId="0" xfId="0" applyNumberFormat="1" applyFont="1"/>
    <xf numFmtId="49" fontId="0" fillId="0" borderId="0" xfId="0" applyNumberFormat="1"/>
    <xf numFmtId="0" fontId="6" fillId="7" borderId="1" xfId="0" quotePrefix="1" applyFont="1" applyFill="1" applyBorder="1" applyAlignment="1">
      <alignment horizontal="center" vertical="center"/>
    </xf>
    <xf numFmtId="0" fontId="7" fillId="7" borderId="1" xfId="0" quotePrefix="1" applyFont="1" applyFill="1" applyBorder="1" applyAlignment="1">
      <alignment horizontal="center" vertical="center"/>
    </xf>
    <xf numFmtId="0" fontId="7" fillId="7" borderId="1" xfId="0" quotePrefix="1" applyFont="1" applyFill="1" applyBorder="1" applyAlignment="1">
      <alignment horizontal="center" vertical="center" wrapText="1"/>
    </xf>
    <xf numFmtId="49" fontId="7" fillId="7" borderId="1" xfId="0" quotePrefix="1" applyNumberFormat="1" applyFont="1" applyFill="1" applyBorder="1" applyAlignment="1">
      <alignment horizontal="center" vertical="center"/>
    </xf>
    <xf numFmtId="0" fontId="6" fillId="8" borderId="0" xfId="0" quotePrefix="1" applyFont="1" applyFill="1" applyAlignment="1">
      <alignment horizontal="center" vertical="top"/>
    </xf>
    <xf numFmtId="44" fontId="7" fillId="8" borderId="0" xfId="0" quotePrefix="1" applyNumberFormat="1" applyFont="1" applyFill="1" applyAlignment="1">
      <alignment horizontal="center" vertical="center"/>
    </xf>
    <xf numFmtId="0" fontId="12" fillId="8" borderId="0" xfId="0" quotePrefix="1" applyFont="1" applyFill="1" applyAlignment="1">
      <alignment horizontal="left" vertical="top"/>
    </xf>
    <xf numFmtId="44" fontId="7" fillId="8" borderId="0" xfId="0" quotePrefix="1" applyNumberFormat="1" applyFont="1" applyFill="1" applyAlignment="1">
      <alignment horizontal="center" vertical="top"/>
    </xf>
    <xf numFmtId="44" fontId="9" fillId="0" borderId="0" xfId="0" applyNumberFormat="1" applyFont="1"/>
    <xf numFmtId="1" fontId="13" fillId="0" borderId="0" xfId="0" applyNumberFormat="1" applyFont="1" applyAlignment="1">
      <alignment horizontal="left" vertical="top"/>
    </xf>
    <xf numFmtId="44" fontId="14" fillId="0" borderId="0" xfId="0" applyNumberFormat="1" applyFont="1" applyAlignment="1">
      <alignment horizontal="center" vertical="top"/>
    </xf>
    <xf numFmtId="44" fontId="14" fillId="6" borderId="0" xfId="0" applyNumberFormat="1" applyFont="1" applyFill="1" applyAlignment="1">
      <alignment horizontal="center" vertical="top"/>
    </xf>
    <xf numFmtId="44" fontId="0" fillId="0" borderId="0" xfId="0" applyNumberFormat="1"/>
    <xf numFmtId="44" fontId="15" fillId="3" borderId="0" xfId="0" applyNumberFormat="1" applyFont="1" applyFill="1" applyAlignment="1">
      <alignment horizontal="center" vertical="top"/>
    </xf>
    <xf numFmtId="44" fontId="10" fillId="3" borderId="0" xfId="0" applyNumberFormat="1" applyFont="1" applyFill="1" applyAlignment="1">
      <alignment horizontal="center" vertical="center"/>
    </xf>
    <xf numFmtId="0" fontId="16" fillId="0" borderId="0" xfId="0" applyFont="1"/>
    <xf numFmtId="44" fontId="15" fillId="6" borderId="0" xfId="0" applyNumberFormat="1" applyFont="1" applyFill="1" applyAlignment="1">
      <alignment horizontal="center" vertical="top"/>
    </xf>
    <xf numFmtId="44" fontId="10" fillId="6" borderId="0" xfId="0" applyNumberFormat="1" applyFont="1" applyFill="1" applyAlignment="1">
      <alignment horizontal="center" vertical="center"/>
    </xf>
    <xf numFmtId="44" fontId="10" fillId="6" borderId="0" xfId="0" applyNumberFormat="1" applyFont="1" applyFill="1" applyAlignment="1">
      <alignment horizontal="center" vertical="top"/>
    </xf>
    <xf numFmtId="44" fontId="4" fillId="9" borderId="0" xfId="0" applyNumberFormat="1" applyFont="1" applyFill="1" applyAlignment="1">
      <alignment horizontal="center" vertical="center"/>
    </xf>
    <xf numFmtId="1" fontId="17" fillId="9" borderId="0" xfId="0" applyNumberFormat="1" applyFont="1" applyFill="1" applyAlignment="1">
      <alignment horizontal="left" vertical="top"/>
    </xf>
    <xf numFmtId="44" fontId="19" fillId="4" borderId="0" xfId="0" applyNumberFormat="1" applyFont="1" applyFill="1" applyAlignment="1">
      <alignment horizontal="center" vertical="top"/>
    </xf>
    <xf numFmtId="44" fontId="19" fillId="5" borderId="0" xfId="0" applyNumberFormat="1" applyFont="1" applyFill="1" applyAlignment="1">
      <alignment horizontal="center" vertical="top"/>
    </xf>
    <xf numFmtId="44" fontId="19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5" xfId="0" applyFont="1" applyBorder="1" applyAlignment="1">
      <alignment vertical="center"/>
    </xf>
    <xf numFmtId="44" fontId="20" fillId="0" borderId="6" xfId="1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44" fontId="20" fillId="0" borderId="0" xfId="1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44" fontId="20" fillId="0" borderId="0" xfId="1" applyFont="1" applyFill="1" applyBorder="1" applyAlignment="1">
      <alignment vertical="center"/>
    </xf>
    <xf numFmtId="0" fontId="20" fillId="0" borderId="10" xfId="0" applyFont="1" applyBorder="1" applyAlignment="1">
      <alignment vertical="center"/>
    </xf>
    <xf numFmtId="44" fontId="20" fillId="0" borderId="11" xfId="1" applyFont="1" applyBorder="1" applyAlignment="1">
      <alignment vertical="center"/>
    </xf>
    <xf numFmtId="164" fontId="20" fillId="0" borderId="11" xfId="1" applyNumberFormat="1" applyFont="1" applyBorder="1" applyAlignment="1">
      <alignment vertical="center"/>
    </xf>
    <xf numFmtId="164" fontId="20" fillId="0" borderId="12" xfId="1" applyNumberFormat="1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44" fontId="20" fillId="0" borderId="0" xfId="1" applyFont="1" applyAlignment="1">
      <alignment vertical="center"/>
    </xf>
    <xf numFmtId="164" fontId="20" fillId="0" borderId="0" xfId="1" applyNumberFormat="1" applyFont="1" applyBorder="1" applyAlignment="1">
      <alignment vertical="center"/>
    </xf>
    <xf numFmtId="0" fontId="20" fillId="0" borderId="8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8" xfId="0" applyFont="1" applyBorder="1"/>
    <xf numFmtId="0" fontId="20" fillId="0" borderId="10" xfId="0" applyFont="1" applyBorder="1" applyAlignment="1">
      <alignment horizontal="left"/>
    </xf>
    <xf numFmtId="0" fontId="20" fillId="0" borderId="0" xfId="0" applyFont="1" applyAlignment="1">
      <alignment horizontal="left"/>
    </xf>
    <xf numFmtId="165" fontId="20" fillId="0" borderId="0" xfId="0" applyNumberFormat="1" applyFont="1"/>
    <xf numFmtId="164" fontId="20" fillId="0" borderId="0" xfId="0" applyNumberFormat="1" applyFont="1" applyAlignment="1">
      <alignment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9" fontId="20" fillId="0" borderId="0" xfId="2" applyFont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165" fontId="21" fillId="0" borderId="6" xfId="1" applyNumberFormat="1" applyFont="1" applyFill="1" applyBorder="1" applyAlignment="1">
      <alignment horizontal="center" vertical="center"/>
    </xf>
    <xf numFmtId="164" fontId="22" fillId="0" borderId="6" xfId="0" applyNumberFormat="1" applyFont="1" applyBorder="1" applyAlignment="1">
      <alignment horizontal="center" vertical="center"/>
    </xf>
    <xf numFmtId="10" fontId="21" fillId="0" borderId="6" xfId="2" applyNumberFormat="1" applyFont="1" applyBorder="1" applyAlignment="1">
      <alignment horizontal="center" vertical="center"/>
    </xf>
    <xf numFmtId="164" fontId="21" fillId="0" borderId="6" xfId="0" applyNumberFormat="1" applyFont="1" applyBorder="1" applyAlignment="1">
      <alignment horizontal="center" vertical="center"/>
    </xf>
    <xf numFmtId="10" fontId="21" fillId="0" borderId="7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21" fillId="0" borderId="6" xfId="1" applyNumberFormat="1" applyFont="1" applyBorder="1" applyAlignment="1">
      <alignment horizontal="center" vertical="center"/>
    </xf>
    <xf numFmtId="165" fontId="21" fillId="0" borderId="6" xfId="0" applyNumberFormat="1" applyFont="1" applyBorder="1" applyAlignment="1">
      <alignment horizontal="center" vertical="center"/>
    </xf>
    <xf numFmtId="166" fontId="21" fillId="0" borderId="7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165" fontId="21" fillId="0" borderId="0" xfId="1" applyNumberFormat="1" applyFont="1" applyFill="1" applyBorder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0" fontId="21" fillId="0" borderId="0" xfId="2" applyNumberFormat="1" applyFont="1" applyBorder="1" applyAlignment="1">
      <alignment horizontal="center" vertical="center"/>
    </xf>
    <xf numFmtId="10" fontId="23" fillId="0" borderId="9" xfId="0" applyNumberFormat="1" applyFont="1" applyBorder="1" applyAlignment="1">
      <alignment horizontal="center" vertical="center"/>
    </xf>
    <xf numFmtId="165" fontId="21" fillId="0" borderId="0" xfId="1" applyNumberFormat="1" applyFont="1" applyBorder="1" applyAlignment="1">
      <alignment horizontal="center" vertical="center"/>
    </xf>
    <xf numFmtId="165" fontId="21" fillId="0" borderId="0" xfId="0" applyNumberFormat="1" applyFont="1" applyAlignment="1">
      <alignment horizontal="center" vertical="center"/>
    </xf>
    <xf numFmtId="166" fontId="21" fillId="0" borderId="9" xfId="0" applyNumberFormat="1" applyFont="1" applyBorder="1" applyAlignment="1">
      <alignment horizontal="center" vertical="center"/>
    </xf>
    <xf numFmtId="10" fontId="21" fillId="0" borderId="9" xfId="0" applyNumberFormat="1" applyFont="1" applyBorder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44" fontId="21" fillId="0" borderId="0" xfId="0" applyNumberFormat="1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44" fontId="21" fillId="0" borderId="0" xfId="1" applyFont="1" applyBorder="1" applyAlignment="1">
      <alignment horizontal="center" vertical="center"/>
    </xf>
    <xf numFmtId="166" fontId="21" fillId="0" borderId="0" xfId="2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44" fontId="21" fillId="0" borderId="11" xfId="0" applyNumberFormat="1" applyFont="1" applyBorder="1" applyAlignment="1">
      <alignment horizontal="center" vertical="center"/>
    </xf>
    <xf numFmtId="164" fontId="22" fillId="0" borderId="11" xfId="0" applyNumberFormat="1" applyFont="1" applyBorder="1" applyAlignment="1">
      <alignment horizontal="center" vertical="center"/>
    </xf>
    <xf numFmtId="10" fontId="21" fillId="0" borderId="11" xfId="2" applyNumberFormat="1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center" vertical="center"/>
    </xf>
    <xf numFmtId="10" fontId="23" fillId="0" borderId="12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5" fontId="21" fillId="0" borderId="11" xfId="0" applyNumberFormat="1" applyFont="1" applyBorder="1" applyAlignment="1">
      <alignment horizontal="center" vertical="center"/>
    </xf>
    <xf numFmtId="9" fontId="21" fillId="0" borderId="11" xfId="2" applyFont="1" applyBorder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9" fontId="21" fillId="0" borderId="0" xfId="2" applyFont="1" applyAlignment="1">
      <alignment horizontal="center" vertical="center"/>
    </xf>
    <xf numFmtId="9" fontId="20" fillId="0" borderId="0" xfId="2" applyFont="1" applyAlignment="1">
      <alignment horizontal="center" vertical="center"/>
    </xf>
    <xf numFmtId="165" fontId="21" fillId="0" borderId="3" xfId="1" applyNumberFormat="1" applyFont="1" applyBorder="1" applyAlignment="1">
      <alignment horizontal="center" vertical="center"/>
    </xf>
    <xf numFmtId="10" fontId="21" fillId="0" borderId="3" xfId="2" applyNumberFormat="1" applyFont="1" applyBorder="1" applyAlignment="1">
      <alignment horizontal="center" vertical="center"/>
    </xf>
    <xf numFmtId="166" fontId="21" fillId="0" borderId="3" xfId="2" applyNumberFormat="1" applyFont="1" applyBorder="1" applyAlignment="1">
      <alignment horizontal="center" vertical="center"/>
    </xf>
    <xf numFmtId="166" fontId="23" fillId="0" borderId="4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horizontal="justify" vertical="center" wrapText="1"/>
    </xf>
    <xf numFmtId="0" fontId="20" fillId="0" borderId="16" xfId="0" applyFont="1" applyBorder="1" applyAlignment="1">
      <alignment vertical="center"/>
    </xf>
    <xf numFmtId="0" fontId="20" fillId="0" borderId="15" xfId="0" applyFont="1" applyBorder="1" applyAlignment="1">
      <alignment horizontal="justify" vertical="center"/>
    </xf>
    <xf numFmtId="0" fontId="20" fillId="0" borderId="15" xfId="0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4" fillId="0" borderId="15" xfId="0" applyFont="1" applyBorder="1"/>
    <xf numFmtId="166" fontId="20" fillId="0" borderId="20" xfId="1" applyNumberFormat="1" applyFont="1" applyBorder="1" applyAlignment="1">
      <alignment vertical="center"/>
    </xf>
    <xf numFmtId="166" fontId="20" fillId="0" borderId="21" xfId="1" applyNumberFormat="1" applyFont="1" applyBorder="1" applyAlignment="1">
      <alignment vertical="center"/>
    </xf>
    <xf numFmtId="166" fontId="20" fillId="0" borderId="22" xfId="1" applyNumberFormat="1" applyFont="1" applyBorder="1" applyAlignment="1">
      <alignment vertical="center"/>
    </xf>
    <xf numFmtId="0" fontId="22" fillId="11" borderId="20" xfId="0" applyFont="1" applyFill="1" applyBorder="1" applyAlignment="1">
      <alignment horizontal="center" vertical="center"/>
    </xf>
    <xf numFmtId="166" fontId="20" fillId="0" borderId="0" xfId="0" applyNumberFormat="1" applyFont="1" applyAlignment="1">
      <alignment vertical="center"/>
    </xf>
    <xf numFmtId="44" fontId="20" fillId="0" borderId="0" xfId="1" applyFont="1" applyBorder="1" applyAlignment="1">
      <alignment horizontal="center" vertical="center"/>
    </xf>
    <xf numFmtId="44" fontId="20" fillId="0" borderId="0" xfId="1" applyFont="1" applyBorder="1" applyAlignment="1">
      <alignment horizontal="center" vertical="center" wrapText="1"/>
    </xf>
    <xf numFmtId="44" fontId="20" fillId="0" borderId="0" xfId="1" applyFont="1" applyFill="1" applyBorder="1" applyAlignment="1">
      <alignment horizontal="center" vertical="center" wrapText="1"/>
    </xf>
    <xf numFmtId="44" fontId="20" fillId="0" borderId="0" xfId="1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166" fontId="20" fillId="0" borderId="21" xfId="0" applyNumberFormat="1" applyFont="1" applyBorder="1" applyAlignment="1">
      <alignment vertical="center"/>
    </xf>
    <xf numFmtId="166" fontId="20" fillId="0" borderId="22" xfId="0" applyNumberFormat="1" applyFont="1" applyBorder="1" applyAlignment="1">
      <alignment vertical="center"/>
    </xf>
    <xf numFmtId="165" fontId="20" fillId="0" borderId="0" xfId="1" applyNumberFormat="1" applyFont="1" applyFill="1" applyBorder="1" applyAlignment="1">
      <alignment horizontal="center" vertical="center"/>
    </xf>
    <xf numFmtId="165" fontId="20" fillId="0" borderId="6" xfId="1" applyNumberFormat="1" applyFont="1" applyFill="1" applyBorder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44" fontId="20" fillId="0" borderId="0" xfId="0" applyNumberFormat="1" applyFont="1" applyAlignment="1">
      <alignment horizontal="center" vertical="center"/>
    </xf>
    <xf numFmtId="165" fontId="20" fillId="0" borderId="11" xfId="0" applyNumberFormat="1" applyFont="1" applyBorder="1"/>
    <xf numFmtId="0" fontId="22" fillId="6" borderId="7" xfId="0" applyFont="1" applyFill="1" applyBorder="1" applyAlignment="1">
      <alignment horizontal="center" vertical="center"/>
    </xf>
    <xf numFmtId="165" fontId="20" fillId="0" borderId="0" xfId="1" applyNumberFormat="1" applyFont="1" applyBorder="1" applyAlignment="1">
      <alignment vertical="center"/>
    </xf>
    <xf numFmtId="165" fontId="20" fillId="0" borderId="0" xfId="0" applyNumberFormat="1" applyFont="1" applyAlignment="1">
      <alignment vertical="center"/>
    </xf>
    <xf numFmtId="165" fontId="20" fillId="0" borderId="18" xfId="1" applyNumberFormat="1" applyFont="1" applyBorder="1" applyAlignment="1">
      <alignment vertical="center"/>
    </xf>
    <xf numFmtId="44" fontId="20" fillId="0" borderId="0" xfId="1" applyFont="1" applyBorder="1" applyAlignment="1">
      <alignment horizontal="justify" vertical="center" wrapText="1"/>
    </xf>
    <xf numFmtId="165" fontId="20" fillId="0" borderId="0" xfId="1" applyNumberFormat="1" applyFont="1" applyBorder="1" applyAlignment="1">
      <alignment vertical="center" wrapText="1"/>
    </xf>
    <xf numFmtId="44" fontId="20" fillId="0" borderId="0" xfId="1" applyFont="1" applyBorder="1" applyAlignment="1">
      <alignment horizontal="right" vertical="center" wrapText="1"/>
    </xf>
    <xf numFmtId="44" fontId="20" fillId="0" borderId="6" xfId="1" applyFont="1" applyFill="1" applyBorder="1" applyAlignment="1">
      <alignment vertical="center"/>
    </xf>
    <xf numFmtId="44" fontId="20" fillId="0" borderId="14" xfId="1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164" fontId="20" fillId="0" borderId="1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65" fontId="20" fillId="0" borderId="0" xfId="1" applyNumberFormat="1" applyFont="1" applyFill="1" applyBorder="1" applyAlignment="1">
      <alignment horizontal="right" vertical="center"/>
    </xf>
    <xf numFmtId="44" fontId="27" fillId="0" borderId="0" xfId="0" applyNumberFormat="1" applyFont="1" applyAlignment="1">
      <alignment horizontal="right"/>
    </xf>
    <xf numFmtId="44" fontId="26" fillId="0" borderId="14" xfId="1" applyFont="1" applyBorder="1" applyAlignment="1">
      <alignment vertical="center"/>
    </xf>
    <xf numFmtId="44" fontId="26" fillId="0" borderId="0" xfId="1" applyFont="1" applyFill="1" applyBorder="1" applyAlignment="1">
      <alignment vertical="center"/>
    </xf>
    <xf numFmtId="44" fontId="26" fillId="0" borderId="0" xfId="0" applyNumberFormat="1" applyFont="1" applyAlignment="1">
      <alignment vertical="center"/>
    </xf>
    <xf numFmtId="44" fontId="26" fillId="0" borderId="0" xfId="0" applyNumberFormat="1" applyFont="1" applyAlignment="1">
      <alignment horizontal="right" vertical="center"/>
    </xf>
    <xf numFmtId="44" fontId="26" fillId="0" borderId="0" xfId="1" applyFont="1" applyFill="1" applyBorder="1" applyAlignment="1">
      <alignment horizontal="right" vertical="center"/>
    </xf>
    <xf numFmtId="1" fontId="26" fillId="0" borderId="28" xfId="0" applyNumberFormat="1" applyFont="1" applyBorder="1" applyAlignment="1">
      <alignment vertical="center"/>
    </xf>
    <xf numFmtId="1" fontId="26" fillId="0" borderId="16" xfId="0" applyNumberFormat="1" applyFont="1" applyBorder="1" applyAlignment="1">
      <alignment vertical="center"/>
    </xf>
    <xf numFmtId="1" fontId="20" fillId="0" borderId="16" xfId="0" applyNumberFormat="1" applyFont="1" applyBorder="1" applyAlignment="1">
      <alignment vertical="center"/>
    </xf>
    <xf numFmtId="1" fontId="20" fillId="0" borderId="19" xfId="0" applyNumberFormat="1" applyFont="1" applyBorder="1" applyAlignment="1">
      <alignment vertical="center"/>
    </xf>
    <xf numFmtId="44" fontId="27" fillId="0" borderId="14" xfId="0" applyNumberFormat="1" applyFont="1" applyBorder="1" applyAlignment="1">
      <alignment horizontal="right"/>
    </xf>
    <xf numFmtId="44" fontId="20" fillId="0" borderId="14" xfId="1" applyFont="1" applyBorder="1" applyAlignment="1">
      <alignment horizontal="center" vertical="center"/>
    </xf>
    <xf numFmtId="44" fontId="20" fillId="0" borderId="18" xfId="1" applyFont="1" applyBorder="1" applyAlignment="1">
      <alignment vertical="center"/>
    </xf>
    <xf numFmtId="44" fontId="20" fillId="0" borderId="14" xfId="1" applyFont="1" applyFill="1" applyBorder="1" applyAlignment="1">
      <alignment vertical="center"/>
    </xf>
    <xf numFmtId="44" fontId="20" fillId="0" borderId="14" xfId="1" applyFont="1" applyBorder="1" applyAlignment="1">
      <alignment horizontal="right" vertical="center"/>
    </xf>
    <xf numFmtId="44" fontId="20" fillId="0" borderId="14" xfId="1" applyFont="1" applyBorder="1" applyAlignment="1">
      <alignment horizontal="right" vertical="center" wrapText="1"/>
    </xf>
    <xf numFmtId="0" fontId="20" fillId="10" borderId="16" xfId="0" applyFont="1" applyFill="1" applyBorder="1" applyAlignment="1">
      <alignment vertical="center"/>
    </xf>
    <xf numFmtId="44" fontId="27" fillId="0" borderId="13" xfId="0" applyNumberFormat="1" applyFont="1" applyBorder="1"/>
    <xf numFmtId="44" fontId="27" fillId="0" borderId="15" xfId="0" applyNumberFormat="1" applyFont="1" applyBorder="1"/>
    <xf numFmtId="44" fontId="20" fillId="0" borderId="0" xfId="0" applyNumberFormat="1" applyFont="1" applyAlignment="1">
      <alignment horizontal="right" vertical="center"/>
    </xf>
    <xf numFmtId="165" fontId="20" fillId="0" borderId="14" xfId="1" applyNumberFormat="1" applyFont="1" applyFill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164" fontId="20" fillId="0" borderId="18" xfId="0" applyNumberFormat="1" applyFont="1" applyBorder="1" applyAlignment="1">
      <alignment horizontal="right" vertical="center"/>
    </xf>
    <xf numFmtId="166" fontId="14" fillId="0" borderId="0" xfId="0" applyNumberFormat="1" applyFont="1" applyAlignment="1">
      <alignment horizontal="center"/>
    </xf>
    <xf numFmtId="0" fontId="20" fillId="0" borderId="8" xfId="0" applyFont="1" applyBorder="1" applyAlignment="1">
      <alignment horizontal="justify" vertical="center" wrapText="1"/>
    </xf>
    <xf numFmtId="44" fontId="20" fillId="0" borderId="0" xfId="1" applyFont="1" applyFill="1" applyBorder="1" applyAlignment="1">
      <alignment horizontal="justify" vertical="center" wrapText="1"/>
    </xf>
    <xf numFmtId="165" fontId="20" fillId="0" borderId="7" xfId="1" applyNumberFormat="1" applyFont="1" applyFill="1" applyBorder="1" applyAlignment="1">
      <alignment vertical="center"/>
    </xf>
    <xf numFmtId="165" fontId="20" fillId="0" borderId="9" xfId="1" applyNumberFormat="1" applyFont="1" applyFill="1" applyBorder="1" applyAlignment="1">
      <alignment vertical="center"/>
    </xf>
    <xf numFmtId="44" fontId="20" fillId="0" borderId="9" xfId="0" applyNumberFormat="1" applyFont="1" applyBorder="1" applyAlignment="1">
      <alignment horizontal="center" vertical="center"/>
    </xf>
    <xf numFmtId="44" fontId="20" fillId="0" borderId="11" xfId="1" applyFont="1" applyFill="1" applyBorder="1" applyAlignment="1">
      <alignment vertical="center"/>
    </xf>
    <xf numFmtId="0" fontId="29" fillId="8" borderId="0" xfId="0" quotePrefix="1" applyFont="1" applyFill="1" applyAlignment="1">
      <alignment horizontal="left" vertical="top"/>
    </xf>
    <xf numFmtId="44" fontId="29" fillId="8" borderId="0" xfId="0" quotePrefix="1" applyNumberFormat="1" applyFont="1" applyFill="1" applyAlignment="1">
      <alignment horizontal="center" vertical="top"/>
    </xf>
    <xf numFmtId="44" fontId="29" fillId="8" borderId="0" xfId="0" quotePrefix="1" applyNumberFormat="1" applyFont="1" applyFill="1" applyAlignment="1">
      <alignment horizontal="center" vertical="center"/>
    </xf>
    <xf numFmtId="1" fontId="30" fillId="5" borderId="0" xfId="0" applyNumberFormat="1" applyFont="1" applyFill="1" applyAlignment="1">
      <alignment horizontal="center" vertical="top"/>
    </xf>
    <xf numFmtId="1" fontId="30" fillId="4" borderId="0" xfId="0" applyNumberFormat="1" applyFont="1" applyFill="1" applyAlignment="1">
      <alignment horizontal="center" vertical="top"/>
    </xf>
    <xf numFmtId="1" fontId="31" fillId="9" borderId="0" xfId="0" applyNumberFormat="1" applyFont="1" applyFill="1" applyAlignment="1">
      <alignment horizontal="left" vertical="top"/>
    </xf>
    <xf numFmtId="44" fontId="14" fillId="9" borderId="0" xfId="0" applyNumberFormat="1" applyFont="1" applyFill="1" applyAlignment="1">
      <alignment horizontal="center" vertical="top"/>
    </xf>
    <xf numFmtId="44" fontId="16" fillId="0" borderId="0" xfId="0" applyNumberFormat="1" applyFont="1"/>
    <xf numFmtId="0" fontId="22" fillId="0" borderId="10" xfId="0" applyFont="1" applyBorder="1" applyAlignment="1">
      <alignment horizontal="left"/>
    </xf>
    <xf numFmtId="0" fontId="22" fillId="0" borderId="0" xfId="0" applyFont="1" applyAlignment="1">
      <alignment vertical="center"/>
    </xf>
    <xf numFmtId="44" fontId="22" fillId="0" borderId="0" xfId="1" applyFont="1" applyBorder="1" applyAlignment="1">
      <alignment vertical="center"/>
    </xf>
    <xf numFmtId="0" fontId="22" fillId="0" borderId="0" xfId="0" applyFont="1" applyAlignment="1">
      <alignment horizontal="left"/>
    </xf>
    <xf numFmtId="165" fontId="22" fillId="0" borderId="0" xfId="0" applyNumberFormat="1" applyFont="1"/>
    <xf numFmtId="164" fontId="22" fillId="0" borderId="0" xfId="0" applyNumberFormat="1" applyFont="1" applyAlignment="1">
      <alignment vertical="center"/>
    </xf>
    <xf numFmtId="0" fontId="20" fillId="0" borderId="9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4" fontId="20" fillId="0" borderId="12" xfId="1" applyNumberFormat="1" applyFont="1" applyBorder="1" applyAlignment="1">
      <alignment horizontal="center" vertical="center"/>
    </xf>
    <xf numFmtId="44" fontId="32" fillId="0" borderId="0" xfId="0" applyNumberFormat="1" applyFont="1" applyAlignment="1">
      <alignment vertical="center"/>
    </xf>
    <xf numFmtId="44" fontId="33" fillId="7" borderId="1" xfId="0" quotePrefix="1" applyNumberFormat="1" applyFont="1" applyFill="1" applyBorder="1" applyAlignment="1">
      <alignment horizontal="center" vertical="center"/>
    </xf>
    <xf numFmtId="44" fontId="33" fillId="8" borderId="0" xfId="0" quotePrefix="1" applyNumberFormat="1" applyFont="1" applyFill="1" applyAlignment="1">
      <alignment horizontal="center" vertical="center"/>
    </xf>
    <xf numFmtId="44" fontId="34" fillId="8" borderId="0" xfId="0" quotePrefix="1" applyNumberFormat="1" applyFont="1" applyFill="1" applyAlignment="1">
      <alignment horizontal="center" vertical="center"/>
    </xf>
    <xf numFmtId="44" fontId="35" fillId="5" borderId="0" xfId="0" applyNumberFormat="1" applyFont="1" applyFill="1" applyAlignment="1">
      <alignment horizontal="center" vertical="center"/>
    </xf>
    <xf numFmtId="44" fontId="36" fillId="3" borderId="0" xfId="0" applyNumberFormat="1" applyFont="1" applyFill="1" applyAlignment="1">
      <alignment horizontal="center" vertical="center"/>
    </xf>
    <xf numFmtId="44" fontId="36" fillId="2" borderId="0" xfId="0" applyNumberFormat="1" applyFont="1" applyFill="1" applyAlignment="1">
      <alignment horizontal="center" vertical="center"/>
    </xf>
    <xf numFmtId="44" fontId="36" fillId="9" borderId="0" xfId="0" applyNumberFormat="1" applyFont="1" applyFill="1" applyAlignment="1">
      <alignment horizontal="center" vertical="center"/>
    </xf>
    <xf numFmtId="44" fontId="35" fillId="4" borderId="0" xfId="0" applyNumberFormat="1" applyFont="1" applyFill="1" applyAlignment="1">
      <alignment horizontal="center" vertical="center"/>
    </xf>
    <xf numFmtId="44" fontId="36" fillId="6" borderId="0" xfId="0" applyNumberFormat="1" applyFont="1" applyFill="1" applyAlignment="1">
      <alignment horizontal="center" vertical="center"/>
    </xf>
    <xf numFmtId="44" fontId="36" fillId="0" borderId="0" xfId="0" applyNumberFormat="1" applyFont="1" applyAlignment="1">
      <alignment vertical="center"/>
    </xf>
    <xf numFmtId="44" fontId="37" fillId="0" borderId="0" xfId="0" applyNumberFormat="1" applyFont="1" applyAlignment="1">
      <alignment vertical="center"/>
    </xf>
    <xf numFmtId="44" fontId="38" fillId="0" borderId="0" xfId="0" applyNumberFormat="1" applyFont="1" applyAlignment="1">
      <alignment vertical="center"/>
    </xf>
    <xf numFmtId="0" fontId="18" fillId="0" borderId="0" xfId="0" applyFont="1"/>
    <xf numFmtId="44" fontId="18" fillId="0" borderId="0" xfId="1" applyFont="1"/>
    <xf numFmtId="44" fontId="18" fillId="0" borderId="0" xfId="0" applyNumberFormat="1" applyFont="1" applyAlignment="1">
      <alignment vertical="center"/>
    </xf>
    <xf numFmtId="0" fontId="7" fillId="8" borderId="0" xfId="0" quotePrefix="1" applyFont="1" applyFill="1" applyAlignment="1">
      <alignment horizontal="center" vertical="top"/>
    </xf>
    <xf numFmtId="44" fontId="8" fillId="5" borderId="0" xfId="0" applyNumberFormat="1" applyFont="1" applyFill="1" applyAlignment="1">
      <alignment horizontal="center" vertical="center"/>
    </xf>
    <xf numFmtId="44" fontId="9" fillId="0" borderId="0" xfId="1" applyFont="1"/>
    <xf numFmtId="1" fontId="3" fillId="3" borderId="0" xfId="0" applyNumberFormat="1" applyFont="1" applyFill="1" applyAlignment="1">
      <alignment horizontal="left" vertical="top"/>
    </xf>
    <xf numFmtId="44" fontId="14" fillId="3" borderId="0" xfId="0" applyNumberFormat="1" applyFont="1" applyFill="1" applyAlignment="1">
      <alignment horizontal="center" vertical="top"/>
    </xf>
    <xf numFmtId="44" fontId="3" fillId="3" borderId="0" xfId="0" applyNumberFormat="1" applyFont="1" applyFill="1" applyAlignment="1">
      <alignment horizontal="center" vertical="center"/>
    </xf>
    <xf numFmtId="44" fontId="3" fillId="2" borderId="0" xfId="0" applyNumberFormat="1" applyFont="1" applyFill="1" applyAlignment="1">
      <alignment horizontal="center" vertical="center"/>
    </xf>
    <xf numFmtId="44" fontId="3" fillId="9" borderId="0" xfId="0" applyNumberFormat="1" applyFont="1" applyFill="1" applyAlignment="1">
      <alignment horizontal="center" vertical="center"/>
    </xf>
    <xf numFmtId="44" fontId="8" fillId="4" borderId="0" xfId="0" applyNumberFormat="1" applyFont="1" applyFill="1" applyAlignment="1">
      <alignment horizontal="center" vertical="center"/>
    </xf>
    <xf numFmtId="1" fontId="3" fillId="6" borderId="0" xfId="0" applyNumberFormat="1" applyFont="1" applyFill="1" applyAlignment="1">
      <alignment horizontal="left" vertical="top"/>
    </xf>
    <xf numFmtId="44" fontId="3" fillId="6" borderId="0" xfId="0" applyNumberFormat="1" applyFont="1" applyFill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1" fontId="9" fillId="10" borderId="0" xfId="0" applyNumberFormat="1" applyFont="1" applyFill="1" applyAlignment="1">
      <alignment horizontal="left" vertical="top"/>
    </xf>
    <xf numFmtId="44" fontId="14" fillId="10" borderId="0" xfId="0" applyNumberFormat="1" applyFont="1" applyFill="1" applyAlignment="1">
      <alignment horizontal="center" vertical="top"/>
    </xf>
    <xf numFmtId="44" fontId="3" fillId="10" borderId="0" xfId="0" applyNumberFormat="1" applyFont="1" applyFill="1" applyAlignment="1">
      <alignment horizontal="center" vertical="center"/>
    </xf>
    <xf numFmtId="0" fontId="9" fillId="10" borderId="0" xfId="0" applyFont="1" applyFill="1"/>
    <xf numFmtId="44" fontId="9" fillId="10" borderId="0" xfId="1" applyFont="1" applyFill="1"/>
    <xf numFmtId="44" fontId="14" fillId="2" borderId="0" xfId="0" applyNumberFormat="1" applyFont="1" applyFill="1" applyAlignment="1">
      <alignment horizontal="center" vertical="top"/>
    </xf>
    <xf numFmtId="44" fontId="12" fillId="8" borderId="0" xfId="0" quotePrefix="1" applyNumberFormat="1" applyFont="1" applyFill="1" applyAlignment="1">
      <alignment horizontal="center" vertical="top"/>
    </xf>
    <xf numFmtId="44" fontId="6" fillId="8" borderId="0" xfId="0" quotePrefix="1" applyNumberFormat="1" applyFont="1" applyFill="1" applyAlignment="1">
      <alignment horizontal="center" vertical="top"/>
    </xf>
    <xf numFmtId="44" fontId="12" fillId="8" borderId="0" xfId="0" quotePrefix="1" applyNumberFormat="1" applyFont="1" applyFill="1" applyAlignment="1">
      <alignment horizontal="center" vertical="center"/>
    </xf>
    <xf numFmtId="44" fontId="6" fillId="8" borderId="0" xfId="0" quotePrefix="1" applyNumberFormat="1" applyFont="1" applyFill="1" applyAlignment="1">
      <alignment horizontal="center" vertical="center"/>
    </xf>
    <xf numFmtId="1" fontId="20" fillId="0" borderId="5" xfId="0" applyNumberFormat="1" applyFont="1" applyBorder="1" applyAlignment="1">
      <alignment vertical="center"/>
    </xf>
    <xf numFmtId="1" fontId="20" fillId="0" borderId="8" xfId="0" applyNumberFormat="1" applyFont="1" applyBorder="1" applyAlignment="1">
      <alignment vertical="center"/>
    </xf>
    <xf numFmtId="44" fontId="24" fillId="0" borderId="0" xfId="1" applyFont="1" applyFill="1" applyBorder="1" applyAlignment="1">
      <alignment horizontal="center" vertical="top"/>
    </xf>
    <xf numFmtId="44" fontId="20" fillId="0" borderId="0" xfId="0" applyNumberFormat="1" applyFont="1" applyAlignment="1">
      <alignment vertical="center"/>
    </xf>
    <xf numFmtId="1" fontId="20" fillId="0" borderId="8" xfId="0" applyNumberFormat="1" applyFont="1" applyBorder="1" applyAlignment="1">
      <alignment horizontal="justify" vertical="center" wrapText="1"/>
    </xf>
    <xf numFmtId="0" fontId="20" fillId="3" borderId="2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2" fontId="20" fillId="0" borderId="12" xfId="0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justify" vertical="center"/>
    </xf>
    <xf numFmtId="0" fontId="20" fillId="0" borderId="0" xfId="0" applyFont="1" applyAlignment="1">
      <alignment horizontal="center" vertical="center" wrapText="1"/>
    </xf>
    <xf numFmtId="44" fontId="20" fillId="0" borderId="9" xfId="1" applyFont="1" applyBorder="1" applyAlignment="1">
      <alignment vertical="center"/>
    </xf>
    <xf numFmtId="165" fontId="40" fillId="12" borderId="12" xfId="0" applyNumberFormat="1" applyFont="1" applyFill="1" applyBorder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0" xfId="0" applyFont="1" applyBorder="1" applyAlignment="1">
      <alignment vertical="center"/>
    </xf>
    <xf numFmtId="164" fontId="40" fillId="6" borderId="12" xfId="0" applyNumberFormat="1" applyFont="1" applyFill="1" applyBorder="1" applyAlignment="1">
      <alignment vertical="center"/>
    </xf>
    <xf numFmtId="165" fontId="20" fillId="0" borderId="7" xfId="1" applyNumberFormat="1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left" vertical="center"/>
    </xf>
    <xf numFmtId="44" fontId="20" fillId="0" borderId="9" xfId="0" applyNumberFormat="1" applyFont="1" applyBorder="1" applyAlignment="1">
      <alignment horizontal="left" vertical="center"/>
    </xf>
    <xf numFmtId="165" fontId="20" fillId="0" borderId="9" xfId="1" applyNumberFormat="1" applyFont="1" applyFill="1" applyBorder="1" applyAlignment="1">
      <alignment horizontal="left" vertical="center"/>
    </xf>
    <xf numFmtId="165" fontId="20" fillId="0" borderId="9" xfId="0" applyNumberFormat="1" applyFont="1" applyBorder="1" applyAlignment="1">
      <alignment horizontal="left" vertical="center"/>
    </xf>
    <xf numFmtId="1" fontId="20" fillId="0" borderId="5" xfId="0" applyNumberFormat="1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164" fontId="20" fillId="12" borderId="11" xfId="1" applyNumberFormat="1" applyFont="1" applyFill="1" applyBorder="1" applyAlignment="1">
      <alignment vertical="center"/>
    </xf>
    <xf numFmtId="44" fontId="18" fillId="0" borderId="0" xfId="0" applyNumberFormat="1" applyFont="1"/>
    <xf numFmtId="166" fontId="14" fillId="0" borderId="0" xfId="0" quotePrefix="1" applyNumberFormat="1" applyFont="1" applyAlignment="1">
      <alignment horizontal="center"/>
    </xf>
    <xf numFmtId="44" fontId="14" fillId="0" borderId="0" xfId="0" applyNumberFormat="1" applyFont="1" applyAlignment="1">
      <alignment horizontal="center"/>
    </xf>
    <xf numFmtId="44" fontId="7" fillId="7" borderId="1" xfId="0" quotePrefix="1" applyNumberFormat="1" applyFont="1" applyFill="1" applyBorder="1" applyAlignment="1">
      <alignment horizontal="center" vertical="top"/>
    </xf>
    <xf numFmtId="0" fontId="20" fillId="0" borderId="0" xfId="0" applyFont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left" vertical="center" wrapText="1"/>
    </xf>
    <xf numFmtId="164" fontId="20" fillId="0" borderId="9" xfId="0" applyNumberFormat="1" applyFont="1" applyBorder="1" applyAlignment="1">
      <alignment horizontal="left" vertical="center"/>
    </xf>
    <xf numFmtId="0" fontId="20" fillId="6" borderId="5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2" fillId="11" borderId="23" xfId="0" applyFont="1" applyFill="1" applyBorder="1" applyAlignment="1">
      <alignment horizontal="center" vertical="center"/>
    </xf>
    <xf numFmtId="0" fontId="22" fillId="11" borderId="24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top" wrapText="1"/>
    </xf>
    <xf numFmtId="0" fontId="0" fillId="0" borderId="0" xfId="0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/>
  <colors>
    <mruColors>
      <color rgb="FFF5740A"/>
      <color rgb="FF07395C"/>
      <color rgb="FFAD5105"/>
      <color rgb="FFF7E3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242207</xdr:colOff>
      <xdr:row>0</xdr:row>
      <xdr:rowOff>0</xdr:rowOff>
    </xdr:from>
    <xdr:ext cx="2409825" cy="1209675"/>
    <xdr:pic>
      <xdr:nvPicPr>
        <xdr:cNvPr id="2" name="RICARDO">
          <a:extLst>
            <a:ext uri="{FF2B5EF4-FFF2-40B4-BE49-F238E27FC236}">
              <a16:creationId xmlns:a16="http://schemas.microsoft.com/office/drawing/2014/main" id="{09C041AD-95FB-4C5D-9ABA-823F8C4B2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636" y="0"/>
          <a:ext cx="2409825" cy="12096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-9525</xdr:rowOff>
    </xdr:from>
    <xdr:ext cx="2409825" cy="1209675"/>
    <xdr:pic>
      <xdr:nvPicPr>
        <xdr:cNvPr id="2" name="RICAR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-9525"/>
          <a:ext cx="2409825" cy="12096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-9525</xdr:rowOff>
    </xdr:from>
    <xdr:ext cx="2409825" cy="1209675"/>
    <xdr:pic>
      <xdr:nvPicPr>
        <xdr:cNvPr id="2" name="RICARDO">
          <a:extLst>
            <a:ext uri="{FF2B5EF4-FFF2-40B4-BE49-F238E27FC236}">
              <a16:creationId xmlns:a16="http://schemas.microsoft.com/office/drawing/2014/main" id="{64406FA7-1CD7-4A56-B84F-F501D72D4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-9525"/>
          <a:ext cx="2409825" cy="12096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-9525</xdr:rowOff>
    </xdr:from>
    <xdr:ext cx="2409825" cy="1209675"/>
    <xdr:pic>
      <xdr:nvPicPr>
        <xdr:cNvPr id="2" name="RICARDO">
          <a:extLst>
            <a:ext uri="{FF2B5EF4-FFF2-40B4-BE49-F238E27FC236}">
              <a16:creationId xmlns:a16="http://schemas.microsoft.com/office/drawing/2014/main" id="{7EFA2BEE-477C-47D1-AEEA-DC1C4A4C9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-9525"/>
          <a:ext cx="2409825" cy="12096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-9525</xdr:rowOff>
    </xdr:from>
    <xdr:ext cx="2409825" cy="1209675"/>
    <xdr:pic>
      <xdr:nvPicPr>
        <xdr:cNvPr id="2" name="RICARDO">
          <a:extLst>
            <a:ext uri="{FF2B5EF4-FFF2-40B4-BE49-F238E27FC236}">
              <a16:creationId xmlns:a16="http://schemas.microsoft.com/office/drawing/2014/main" id="{B7030FBE-2792-424B-9796-5C9C9156C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-9525"/>
          <a:ext cx="2409825" cy="12096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-9525</xdr:rowOff>
    </xdr:from>
    <xdr:ext cx="2409825" cy="1209675"/>
    <xdr:pic>
      <xdr:nvPicPr>
        <xdr:cNvPr id="2" name="RICARDO">
          <a:extLst>
            <a:ext uri="{FF2B5EF4-FFF2-40B4-BE49-F238E27FC236}">
              <a16:creationId xmlns:a16="http://schemas.microsoft.com/office/drawing/2014/main" id="{718BF292-CD6C-4FF5-A7AB-BB73E60ED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-9525"/>
          <a:ext cx="2409825" cy="12096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-9525</xdr:rowOff>
    </xdr:from>
    <xdr:ext cx="2409825" cy="1209675"/>
    <xdr:pic>
      <xdr:nvPicPr>
        <xdr:cNvPr id="2" name="RICARDO">
          <a:extLst>
            <a:ext uri="{FF2B5EF4-FFF2-40B4-BE49-F238E27FC236}">
              <a16:creationId xmlns:a16="http://schemas.microsoft.com/office/drawing/2014/main" id="{A5386B49-7CA5-4961-AD2F-93D002F8D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-9525"/>
          <a:ext cx="2409825" cy="12096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-9525</xdr:rowOff>
    </xdr:from>
    <xdr:ext cx="2409825" cy="1209675"/>
    <xdr:pic>
      <xdr:nvPicPr>
        <xdr:cNvPr id="2" name="RICARDO">
          <a:extLst>
            <a:ext uri="{FF2B5EF4-FFF2-40B4-BE49-F238E27FC236}">
              <a16:creationId xmlns:a16="http://schemas.microsoft.com/office/drawing/2014/main" id="{B77ABCFF-6A4C-49CD-985C-AA2629C34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-9525"/>
          <a:ext cx="2409825" cy="12096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-9525</xdr:rowOff>
    </xdr:from>
    <xdr:ext cx="2409825" cy="1209675"/>
    <xdr:pic>
      <xdr:nvPicPr>
        <xdr:cNvPr id="2" name="RICARDO">
          <a:extLst>
            <a:ext uri="{FF2B5EF4-FFF2-40B4-BE49-F238E27FC236}">
              <a16:creationId xmlns:a16="http://schemas.microsoft.com/office/drawing/2014/main" id="{850787AC-9D85-4C3A-BF55-C6FAAEC47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-9525"/>
          <a:ext cx="2409825" cy="12096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-9525</xdr:rowOff>
    </xdr:from>
    <xdr:ext cx="2409825" cy="1209675"/>
    <xdr:pic>
      <xdr:nvPicPr>
        <xdr:cNvPr id="2" name="RICARDO">
          <a:extLst>
            <a:ext uri="{FF2B5EF4-FFF2-40B4-BE49-F238E27FC236}">
              <a16:creationId xmlns:a16="http://schemas.microsoft.com/office/drawing/2014/main" id="{20D4CDE0-185E-477F-AF7C-7659984BC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-9525"/>
          <a:ext cx="2409825" cy="12096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-9525</xdr:rowOff>
    </xdr:from>
    <xdr:ext cx="2409825" cy="1209675"/>
    <xdr:pic>
      <xdr:nvPicPr>
        <xdr:cNvPr id="2" name="RICARDO">
          <a:extLst>
            <a:ext uri="{FF2B5EF4-FFF2-40B4-BE49-F238E27FC236}">
              <a16:creationId xmlns:a16="http://schemas.microsoft.com/office/drawing/2014/main" id="{9A9A649D-331B-465D-BD33-54D94536F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-9525"/>
          <a:ext cx="2409825" cy="120967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-9525</xdr:rowOff>
    </xdr:from>
    <xdr:ext cx="2409825" cy="1209675"/>
    <xdr:pic>
      <xdr:nvPicPr>
        <xdr:cNvPr id="2" name="RICARDO">
          <a:extLst>
            <a:ext uri="{FF2B5EF4-FFF2-40B4-BE49-F238E27FC236}">
              <a16:creationId xmlns:a16="http://schemas.microsoft.com/office/drawing/2014/main" id="{0DB442B7-83A8-4DE8-A452-4332CDA3B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-9525"/>
          <a:ext cx="2409825" cy="120967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-9525</xdr:rowOff>
    </xdr:from>
    <xdr:ext cx="2409825" cy="1209675"/>
    <xdr:pic>
      <xdr:nvPicPr>
        <xdr:cNvPr id="2" name="RICARDO">
          <a:extLst>
            <a:ext uri="{FF2B5EF4-FFF2-40B4-BE49-F238E27FC236}">
              <a16:creationId xmlns:a16="http://schemas.microsoft.com/office/drawing/2014/main" id="{28B4697F-341E-4503-B63C-0FA35E049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-9525"/>
          <a:ext cx="2409825" cy="120967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-9525</xdr:rowOff>
    </xdr:from>
    <xdr:ext cx="2409825" cy="1209675"/>
    <xdr:pic>
      <xdr:nvPicPr>
        <xdr:cNvPr id="2" name="RICARDO">
          <a:extLst>
            <a:ext uri="{FF2B5EF4-FFF2-40B4-BE49-F238E27FC236}">
              <a16:creationId xmlns:a16="http://schemas.microsoft.com/office/drawing/2014/main" id="{CB532D05-E1CE-4F87-85E1-8F00080C0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-9525"/>
          <a:ext cx="2409825" cy="1209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C7DF-91D2-4C0E-8B5A-723B331D7D19}">
  <sheetPr>
    <tabColor theme="1"/>
  </sheetPr>
  <dimension ref="B1:P59"/>
  <sheetViews>
    <sheetView showGridLines="0" view="pageBreakPreview" topLeftCell="A25" zoomScale="70" zoomScaleNormal="70" zoomScaleSheetLayoutView="70" workbookViewId="0">
      <selection activeCell="G11" sqref="G11"/>
    </sheetView>
  </sheetViews>
  <sheetFormatPr defaultColWidth="8.28515625" defaultRowHeight="12.75" x14ac:dyDescent="0.25"/>
  <cols>
    <col min="1" max="1" width="1.7109375" style="51" customWidth="1"/>
    <col min="2" max="2" width="35.42578125" style="51" bestFit="1" customWidth="1"/>
    <col min="3" max="3" width="19.28515625" style="51" bestFit="1" customWidth="1"/>
    <col min="4" max="4" width="18.28515625" style="51" customWidth="1"/>
    <col min="5" max="5" width="9.85546875" style="52" bestFit="1" customWidth="1"/>
    <col min="6" max="6" width="1.5703125" style="51" customWidth="1"/>
    <col min="7" max="7" width="37.42578125" style="51" customWidth="1"/>
    <col min="8" max="8" width="19.28515625" style="51" bestFit="1" customWidth="1"/>
    <col min="9" max="9" width="17.85546875" style="51" bestFit="1" customWidth="1"/>
    <col min="10" max="10" width="9.85546875" style="52" bestFit="1" customWidth="1"/>
    <col min="11" max="11" width="1.7109375" style="51" customWidth="1"/>
    <col min="12" max="12" width="35.42578125" style="51" customWidth="1"/>
    <col min="13" max="13" width="15.7109375" style="51" bestFit="1" customWidth="1"/>
    <col min="14" max="14" width="17.140625" style="51" bestFit="1" customWidth="1"/>
    <col min="15" max="15" width="9.85546875" style="52" bestFit="1" customWidth="1"/>
    <col min="16" max="16" width="18.140625" style="51" bestFit="1" customWidth="1"/>
    <col min="17" max="17" width="9.42578125" style="51" bestFit="1" customWidth="1"/>
    <col min="18" max="18" width="10.42578125" style="51" bestFit="1" customWidth="1"/>
    <col min="19" max="19" width="3.7109375" style="51" customWidth="1"/>
    <col min="20" max="20" width="14.85546875" style="51" bestFit="1" customWidth="1"/>
    <col min="21" max="22" width="20.42578125" style="51" bestFit="1" customWidth="1"/>
    <col min="23" max="23" width="13.28515625" style="51" bestFit="1" customWidth="1"/>
    <col min="24" max="24" width="18.85546875" style="51" bestFit="1" customWidth="1"/>
    <col min="25" max="26" width="11.85546875" style="51" bestFit="1" customWidth="1"/>
    <col min="27" max="16384" width="8.28515625" style="51"/>
  </cols>
  <sheetData>
    <row r="1" spans="2:15" ht="15" customHeight="1" thickBot="1" x14ac:dyDescent="0.3">
      <c r="F1" s="276"/>
    </row>
    <row r="2" spans="2:15" ht="13.5" thickBot="1" x14ac:dyDescent="0.3">
      <c r="B2" s="277" t="s">
        <v>0</v>
      </c>
      <c r="C2" s="278"/>
      <c r="D2" s="278"/>
      <c r="E2" s="279"/>
      <c r="F2" s="276"/>
      <c r="G2" s="277" t="s">
        <v>1</v>
      </c>
      <c r="H2" s="278"/>
      <c r="I2" s="278"/>
      <c r="J2" s="279"/>
      <c r="L2" s="277" t="s">
        <v>2</v>
      </c>
      <c r="M2" s="278"/>
      <c r="N2" s="278"/>
      <c r="O2" s="279"/>
    </row>
    <row r="3" spans="2:15" s="52" customFormat="1" ht="13.5" thickBot="1" x14ac:dyDescent="0.3">
      <c r="B3" s="252" t="s">
        <v>3</v>
      </c>
      <c r="C3" s="253" t="s">
        <v>4</v>
      </c>
      <c r="D3" s="253" t="s">
        <v>5</v>
      </c>
      <c r="E3" s="254" t="s">
        <v>6</v>
      </c>
      <c r="F3" s="276"/>
      <c r="G3" s="252" t="s">
        <v>3</v>
      </c>
      <c r="H3" s="253" t="s">
        <v>4</v>
      </c>
      <c r="I3" s="253" t="s">
        <v>5</v>
      </c>
      <c r="J3" s="254" t="s">
        <v>6</v>
      </c>
      <c r="L3" s="252" t="s">
        <v>3</v>
      </c>
      <c r="M3" s="253" t="s">
        <v>4</v>
      </c>
      <c r="N3" s="253" t="s">
        <v>5</v>
      </c>
      <c r="O3" s="254" t="s">
        <v>6</v>
      </c>
    </row>
    <row r="4" spans="2:15" x14ac:dyDescent="0.25">
      <c r="B4" s="248" t="str">
        <f>PEC!B50</f>
        <v>Marketing</v>
      </c>
      <c r="C4" s="249">
        <f t="shared" ref="C4:C12" si="0">SUM(D4/E4)</f>
        <v>0</v>
      </c>
      <c r="D4" s="250">
        <f>PEC!O50</f>
        <v>0</v>
      </c>
      <c r="E4" s="205">
        <v>11</v>
      </c>
      <c r="F4" s="276"/>
      <c r="G4" s="247" t="str">
        <f>'Q. PROF.'!B50</f>
        <v>Marketing</v>
      </c>
      <c r="H4" s="59">
        <f>SUM(I4/J4)</f>
        <v>0</v>
      </c>
      <c r="I4" s="59">
        <f>'Q. PROF.'!O50</f>
        <v>0</v>
      </c>
      <c r="J4" s="205">
        <v>11</v>
      </c>
      <c r="L4" s="251" t="str">
        <f>OUTLET!B50</f>
        <v>Marketing</v>
      </c>
      <c r="M4" s="59">
        <f>SUM(N4/O4)</f>
        <v>46.363636363636367</v>
      </c>
      <c r="N4" s="57">
        <f>OUTLET!O50</f>
        <v>510</v>
      </c>
      <c r="O4" s="205">
        <v>11</v>
      </c>
    </row>
    <row r="5" spans="2:15" x14ac:dyDescent="0.25">
      <c r="B5" s="248" t="str">
        <f>PEC!B53</f>
        <v>Despesas com Pessoal</v>
      </c>
      <c r="C5" s="249">
        <f t="shared" si="0"/>
        <v>12000</v>
      </c>
      <c r="D5" s="250">
        <f>PEC!O53</f>
        <v>144000</v>
      </c>
      <c r="E5" s="205">
        <v>12</v>
      </c>
      <c r="F5" s="276"/>
      <c r="G5" s="248" t="str">
        <f>'Q. PROF.'!B53</f>
        <v>Despesas com Pessoal</v>
      </c>
      <c r="H5" s="59">
        <f t="shared" ref="H5:H12" si="1">SUM(I5/J5)</f>
        <v>7300</v>
      </c>
      <c r="I5" s="59">
        <f>'Q. PROF.'!O53</f>
        <v>87600</v>
      </c>
      <c r="J5" s="205">
        <v>12</v>
      </c>
      <c r="L5" s="251" t="str">
        <f>OUTLET!B53</f>
        <v>Despesas com Pessoal</v>
      </c>
      <c r="M5" s="59">
        <f t="shared" ref="M5:M12" si="2">SUM(N5/O5)</f>
        <v>6650</v>
      </c>
      <c r="N5" s="57">
        <f>OUTLET!O53</f>
        <v>79800</v>
      </c>
      <c r="O5" s="205">
        <v>12</v>
      </c>
    </row>
    <row r="6" spans="2:15" x14ac:dyDescent="0.25">
      <c r="B6" s="248" t="str">
        <f>PEC!B75</f>
        <v>Despesas Administrativas</v>
      </c>
      <c r="C6" s="249">
        <f t="shared" si="0"/>
        <v>6720.833333333333</v>
      </c>
      <c r="D6" s="250">
        <f>PEC!O75</f>
        <v>80650</v>
      </c>
      <c r="E6" s="205">
        <v>12</v>
      </c>
      <c r="F6" s="276"/>
      <c r="G6" s="248" t="str">
        <f>'Q. PROF.'!B75</f>
        <v>Despesas Administrativas</v>
      </c>
      <c r="H6" s="59">
        <f t="shared" si="1"/>
        <v>812.5</v>
      </c>
      <c r="I6" s="59">
        <f>'Q. PROF.'!O75</f>
        <v>9750</v>
      </c>
      <c r="J6" s="205">
        <v>12</v>
      </c>
      <c r="L6" s="251" t="str">
        <f>OUTLET!B75</f>
        <v>Despesas Administrativas</v>
      </c>
      <c r="M6" s="59">
        <f t="shared" si="2"/>
        <v>3537.5</v>
      </c>
      <c r="N6" s="57">
        <f>OUTLET!O75</f>
        <v>42450</v>
      </c>
      <c r="O6" s="205">
        <v>12</v>
      </c>
    </row>
    <row r="7" spans="2:15" x14ac:dyDescent="0.25">
      <c r="B7" s="248" t="str">
        <f>PEC!B99</f>
        <v>Despesas Financeiras / Bancos</v>
      </c>
      <c r="C7" s="249">
        <f t="shared" si="0"/>
        <v>0</v>
      </c>
      <c r="D7" s="250">
        <f>PEC!O99</f>
        <v>0</v>
      </c>
      <c r="E7" s="205">
        <v>12</v>
      </c>
      <c r="F7" s="276"/>
      <c r="G7" s="248" t="str">
        <f>'Q. PROF.'!B99</f>
        <v>Despesas Financeiras / Bancos</v>
      </c>
      <c r="H7" s="59">
        <f t="shared" si="1"/>
        <v>0</v>
      </c>
      <c r="I7" s="59">
        <f>'Q. PROF.'!O99</f>
        <v>0</v>
      </c>
      <c r="J7" s="205">
        <v>12</v>
      </c>
      <c r="L7" s="251" t="str">
        <f>OUTLET!B99</f>
        <v>Despesas Financeiras / Bancos</v>
      </c>
      <c r="M7" s="59">
        <f t="shared" si="2"/>
        <v>50</v>
      </c>
      <c r="N7" s="57">
        <f>OUTLET!O99</f>
        <v>600</v>
      </c>
      <c r="O7" s="205">
        <v>12</v>
      </c>
    </row>
    <row r="8" spans="2:15" x14ac:dyDescent="0.25">
      <c r="B8" s="248" t="str">
        <f>PEC!B105</f>
        <v>Impostos e Taxas</v>
      </c>
      <c r="C8" s="249">
        <f t="shared" si="0"/>
        <v>0</v>
      </c>
      <c r="D8" s="59">
        <f>PEC!O105</f>
        <v>0</v>
      </c>
      <c r="E8" s="205">
        <v>12</v>
      </c>
      <c r="F8" s="276"/>
      <c r="G8" s="248" t="str">
        <f>'Q. PROF.'!B105</f>
        <v>Impostos e Taxas</v>
      </c>
      <c r="H8" s="59">
        <f t="shared" si="1"/>
        <v>0</v>
      </c>
      <c r="I8" s="59">
        <f>'Q. PROF.'!O105</f>
        <v>0</v>
      </c>
      <c r="J8" s="205">
        <v>12</v>
      </c>
      <c r="L8" s="251" t="str">
        <f>OUTLET!B105</f>
        <v>Impostos e Taxas</v>
      </c>
      <c r="M8" s="59">
        <f t="shared" si="2"/>
        <v>0</v>
      </c>
      <c r="N8" s="57">
        <f>OUTLET!O105</f>
        <v>0</v>
      </c>
      <c r="O8" s="205">
        <v>12</v>
      </c>
    </row>
    <row r="9" spans="2:15" x14ac:dyDescent="0.25">
      <c r="B9" s="248" t="str">
        <f>PEC!B116</f>
        <v>Investimento</v>
      </c>
      <c r="C9" s="249">
        <f t="shared" si="0"/>
        <v>1550</v>
      </c>
      <c r="D9" s="59">
        <f>PEC!O116</f>
        <v>18600</v>
      </c>
      <c r="E9" s="205">
        <v>12</v>
      </c>
      <c r="F9" s="276"/>
      <c r="G9" s="248" t="str">
        <f>'Q. PROF.'!B116</f>
        <v>Investimento</v>
      </c>
      <c r="H9" s="59">
        <f t="shared" si="1"/>
        <v>0</v>
      </c>
      <c r="I9" s="59">
        <f>'Q. PROF.'!O116</f>
        <v>0</v>
      </c>
      <c r="J9" s="205">
        <v>12</v>
      </c>
      <c r="L9" s="251" t="str">
        <f>OUTLET!B116</f>
        <v>Investimento</v>
      </c>
      <c r="M9" s="59">
        <f t="shared" si="2"/>
        <v>0</v>
      </c>
      <c r="N9" s="57">
        <f>OUTLET!O116</f>
        <v>0</v>
      </c>
      <c r="O9" s="205">
        <v>12</v>
      </c>
    </row>
    <row r="10" spans="2:15" x14ac:dyDescent="0.25">
      <c r="B10" s="248" t="str">
        <f>PEC!B126</f>
        <v>Despesas Com Veículos</v>
      </c>
      <c r="C10" s="249">
        <f>SUM(D10/E10)</f>
        <v>0</v>
      </c>
      <c r="D10" s="59">
        <f>PEC!O126</f>
        <v>0</v>
      </c>
      <c r="E10" s="205">
        <v>11</v>
      </c>
      <c r="F10" s="276"/>
      <c r="G10" s="248" t="str">
        <f>'Q. PROF.'!B126</f>
        <v>Despesas Com Veículos</v>
      </c>
      <c r="H10" s="59">
        <f t="shared" si="1"/>
        <v>0</v>
      </c>
      <c r="I10" s="59">
        <f>'Q. PROF.'!O126</f>
        <v>0</v>
      </c>
      <c r="J10" s="205">
        <v>11</v>
      </c>
      <c r="L10" s="251" t="str">
        <f>OUTLET!B126</f>
        <v>Despesas Com Veículos</v>
      </c>
      <c r="M10" s="59">
        <f t="shared" si="2"/>
        <v>0</v>
      </c>
      <c r="N10" s="57">
        <f>OUTLET!O126</f>
        <v>0</v>
      </c>
      <c r="O10" s="205">
        <v>11</v>
      </c>
    </row>
    <row r="11" spans="2:15" x14ac:dyDescent="0.25">
      <c r="B11" s="248" t="str">
        <f>PEC!B130</f>
        <v>Despesas Com Eventos</v>
      </c>
      <c r="C11" s="249">
        <f>SUM(D11/E11)</f>
        <v>4163.636363636364</v>
      </c>
      <c r="D11" s="59">
        <f>PEC!O130</f>
        <v>45800</v>
      </c>
      <c r="E11" s="205">
        <v>11</v>
      </c>
      <c r="F11" s="276"/>
      <c r="G11" s="248" t="str">
        <f>'Q. PROF.'!B130</f>
        <v>Despesas Com Eventos</v>
      </c>
      <c r="H11" s="59">
        <f t="shared" si="1"/>
        <v>0</v>
      </c>
      <c r="I11" s="59">
        <f>'Q. PROF.'!O130</f>
        <v>0</v>
      </c>
      <c r="J11" s="205">
        <v>11</v>
      </c>
      <c r="L11" s="251" t="str">
        <f>OUTLET!B130</f>
        <v>Despesas Com Eventos</v>
      </c>
      <c r="M11" s="59">
        <f t="shared" si="2"/>
        <v>0</v>
      </c>
      <c r="N11" s="57">
        <f>OUTLET!O130</f>
        <v>0</v>
      </c>
      <c r="O11" s="205">
        <v>11</v>
      </c>
    </row>
    <row r="12" spans="2:15" x14ac:dyDescent="0.25">
      <c r="B12" s="248" t="str">
        <f>PEC!B133</f>
        <v>Despesas Matérias-Primas</v>
      </c>
      <c r="C12" s="249">
        <f t="shared" si="0"/>
        <v>0</v>
      </c>
      <c r="D12" s="59">
        <f>PEC!O133</f>
        <v>0</v>
      </c>
      <c r="E12" s="205">
        <v>12</v>
      </c>
      <c r="F12" s="276"/>
      <c r="G12" s="248" t="str">
        <f>'Q. PROF.'!B133</f>
        <v>Despesas Matérias-Primas</v>
      </c>
      <c r="H12" s="59">
        <f t="shared" si="1"/>
        <v>0</v>
      </c>
      <c r="I12" s="59">
        <f>'Q. PROF.'!O133</f>
        <v>0</v>
      </c>
      <c r="J12" s="205">
        <v>12</v>
      </c>
      <c r="L12" s="251" t="str">
        <f>OUTLET!B133</f>
        <v>Despesas Matérias-Primas</v>
      </c>
      <c r="M12" s="59">
        <f t="shared" si="2"/>
        <v>0</v>
      </c>
      <c r="N12" s="57">
        <f>OUTLET!O133</f>
        <v>0</v>
      </c>
      <c r="O12" s="205">
        <v>12</v>
      </c>
    </row>
    <row r="13" spans="2:15" x14ac:dyDescent="0.25">
      <c r="B13" s="56"/>
      <c r="C13" s="59"/>
      <c r="D13" s="59"/>
      <c r="E13" s="205"/>
      <c r="F13" s="276"/>
      <c r="G13" s="56"/>
      <c r="J13" s="205"/>
      <c r="L13" s="251" t="str">
        <f>OUTLET!B49</f>
        <v>Compras Mercadorias Revenda</v>
      </c>
      <c r="M13" s="59">
        <f t="shared" ref="M13" si="3">SUM(N13/O13)</f>
        <v>800</v>
      </c>
      <c r="N13" s="57">
        <f>OUTLET!O49</f>
        <v>9600</v>
      </c>
      <c r="O13" s="205">
        <v>12</v>
      </c>
    </row>
    <row r="14" spans="2:15" x14ac:dyDescent="0.25">
      <c r="B14" s="56"/>
      <c r="C14" s="59"/>
      <c r="D14" s="59"/>
      <c r="E14" s="205"/>
      <c r="F14" s="276"/>
      <c r="G14" s="56"/>
      <c r="J14" s="205"/>
      <c r="L14" s="185"/>
      <c r="O14" s="205"/>
    </row>
    <row r="15" spans="2:15" ht="13.5" thickBot="1" x14ac:dyDescent="0.3">
      <c r="B15" s="60"/>
      <c r="C15" s="61"/>
      <c r="D15" s="271">
        <f>SUM(D4:D13)</f>
        <v>289050</v>
      </c>
      <c r="E15" s="208"/>
      <c r="F15" s="276"/>
      <c r="G15" s="60"/>
      <c r="H15" s="61"/>
      <c r="I15" s="271">
        <f>SUM(I4:I13)</f>
        <v>97350</v>
      </c>
      <c r="J15" s="206"/>
      <c r="L15" s="60"/>
      <c r="M15" s="61"/>
      <c r="N15" s="271">
        <f>SUM(N4:N13)</f>
        <v>132960</v>
      </c>
      <c r="O15" s="206"/>
    </row>
    <row r="16" spans="2:15" ht="13.5" thickBot="1" x14ac:dyDescent="0.3">
      <c r="C16" s="65"/>
      <c r="D16" s="65"/>
      <c r="F16" s="276"/>
      <c r="H16" s="65"/>
      <c r="I16" s="65"/>
    </row>
    <row r="17" spans="2:15" ht="13.5" thickBot="1" x14ac:dyDescent="0.3">
      <c r="B17" s="277" t="s">
        <v>7</v>
      </c>
      <c r="C17" s="278"/>
      <c r="D17" s="278"/>
      <c r="E17" s="279"/>
      <c r="F17" s="276"/>
      <c r="G17" s="277" t="s">
        <v>8</v>
      </c>
      <c r="H17" s="278"/>
      <c r="I17" s="278"/>
      <c r="J17" s="279"/>
      <c r="L17" s="277" t="s">
        <v>9</v>
      </c>
      <c r="M17" s="278"/>
      <c r="N17" s="278"/>
      <c r="O17" s="279"/>
    </row>
    <row r="18" spans="2:15" s="52" customFormat="1" ht="13.5" thickBot="1" x14ac:dyDescent="0.3">
      <c r="B18" s="252" t="s">
        <v>3</v>
      </c>
      <c r="C18" s="253" t="s">
        <v>4</v>
      </c>
      <c r="D18" s="253" t="s">
        <v>5</v>
      </c>
      <c r="E18" s="254" t="s">
        <v>6</v>
      </c>
      <c r="F18" s="276"/>
      <c r="G18" s="252" t="s">
        <v>3</v>
      </c>
      <c r="H18" s="253" t="s">
        <v>4</v>
      </c>
      <c r="I18" s="253" t="s">
        <v>5</v>
      </c>
      <c r="J18" s="254" t="s">
        <v>6</v>
      </c>
      <c r="L18" s="252" t="s">
        <v>3</v>
      </c>
      <c r="M18" s="253" t="s">
        <v>4</v>
      </c>
      <c r="N18" s="253" t="s">
        <v>5</v>
      </c>
      <c r="O18" s="254" t="s">
        <v>6</v>
      </c>
    </row>
    <row r="19" spans="2:15" x14ac:dyDescent="0.25">
      <c r="B19" s="248" t="str">
        <f>PSICOSSOCIAL!B50</f>
        <v>Marketing</v>
      </c>
      <c r="C19" s="59">
        <f>SUM(D19/E19)</f>
        <v>0</v>
      </c>
      <c r="D19" s="59">
        <f>PSICOSSOCIAL!O50</f>
        <v>0</v>
      </c>
      <c r="E19" s="205">
        <v>11</v>
      </c>
      <c r="F19" s="276"/>
      <c r="G19" s="248" t="str">
        <f>'CASA SONHAR'!B50</f>
        <v>Marketing</v>
      </c>
      <c r="H19" s="59">
        <f>SUM(I19/J19)</f>
        <v>72.727272727272734</v>
      </c>
      <c r="I19" s="59">
        <f>'CASA SONHAR'!O50</f>
        <v>800</v>
      </c>
      <c r="J19" s="205">
        <v>11</v>
      </c>
      <c r="L19" s="248" t="str">
        <f>GRIFFTE!B50</f>
        <v>Marketing</v>
      </c>
      <c r="M19" s="59">
        <f>SUM(N19/O19)</f>
        <v>0</v>
      </c>
      <c r="N19" s="186">
        <f>GRIFFTE!O50</f>
        <v>0</v>
      </c>
      <c r="O19" s="205">
        <v>11</v>
      </c>
    </row>
    <row r="20" spans="2:15" x14ac:dyDescent="0.25">
      <c r="B20" s="248" t="str">
        <f>PSICOSSOCIAL!B53</f>
        <v>Despesas com Pessoal</v>
      </c>
      <c r="C20" s="59">
        <f t="shared" ref="C20:C27" si="4">SUM(D20/E20)</f>
        <v>7291.666666666667</v>
      </c>
      <c r="D20" s="59">
        <f>PSICOSSOCIAL!O53</f>
        <v>87500</v>
      </c>
      <c r="E20" s="205">
        <v>12</v>
      </c>
      <c r="F20" s="276"/>
      <c r="G20" s="248" t="str">
        <f>'CASA SONHAR'!B53</f>
        <v>Despesas com Pessoal</v>
      </c>
      <c r="H20" s="59">
        <f t="shared" ref="H20:H27" si="5">SUM(I20/J20)</f>
        <v>19414.666666666668</v>
      </c>
      <c r="I20" s="59">
        <f>'CASA SONHAR'!O53</f>
        <v>232976</v>
      </c>
      <c r="J20" s="205">
        <v>12</v>
      </c>
      <c r="L20" s="251" t="str">
        <f>GRIFFTE!B53</f>
        <v>Despesas com Pessoal</v>
      </c>
      <c r="M20" s="59">
        <f t="shared" ref="M20:M27" si="6">SUM(N20/O20)</f>
        <v>7800</v>
      </c>
      <c r="N20" s="186">
        <f>GRIFFTE!O53</f>
        <v>93600</v>
      </c>
      <c r="O20" s="205">
        <v>12</v>
      </c>
    </row>
    <row r="21" spans="2:15" x14ac:dyDescent="0.25">
      <c r="B21" s="248" t="str">
        <f>PSICOSSOCIAL!B75</f>
        <v>Despesas Administrativas</v>
      </c>
      <c r="C21" s="59">
        <f t="shared" si="4"/>
        <v>200</v>
      </c>
      <c r="D21" s="59">
        <f>PSICOSSOCIAL!O75</f>
        <v>2400</v>
      </c>
      <c r="E21" s="205">
        <v>12</v>
      </c>
      <c r="F21" s="276"/>
      <c r="G21" s="248" t="str">
        <f>'CASA SONHAR'!B75</f>
        <v>Despesas Administrativas</v>
      </c>
      <c r="H21" s="59">
        <f t="shared" si="5"/>
        <v>7910</v>
      </c>
      <c r="I21" s="59">
        <f>'CASA SONHAR'!O75</f>
        <v>94920</v>
      </c>
      <c r="J21" s="205">
        <v>12</v>
      </c>
      <c r="L21" s="251" t="str">
        <f>GRIFFTE!B75</f>
        <v>Despesas Administrativas</v>
      </c>
      <c r="M21" s="59">
        <f t="shared" si="6"/>
        <v>2525</v>
      </c>
      <c r="N21" s="186">
        <f>GRIFFTE!O75</f>
        <v>30300</v>
      </c>
      <c r="O21" s="205">
        <v>12</v>
      </c>
    </row>
    <row r="22" spans="2:15" x14ac:dyDescent="0.25">
      <c r="B22" s="248" t="str">
        <f>PSICOSSOCIAL!B99</f>
        <v>Despesas Financeiras / Bancos</v>
      </c>
      <c r="C22" s="59">
        <f t="shared" si="4"/>
        <v>0</v>
      </c>
      <c r="D22" s="59">
        <f>PSICOSSOCIAL!O99</f>
        <v>0</v>
      </c>
      <c r="E22" s="205">
        <v>12</v>
      </c>
      <c r="F22" s="276"/>
      <c r="G22" s="251" t="str">
        <f>'CASA SONHAR'!B99</f>
        <v>Despesas Financeiras / Bancos</v>
      </c>
      <c r="H22" s="59">
        <f t="shared" si="5"/>
        <v>0</v>
      </c>
      <c r="I22" s="59">
        <f>'CASA SONHAR'!O99</f>
        <v>0</v>
      </c>
      <c r="J22" s="205">
        <v>12</v>
      </c>
      <c r="L22" s="251" t="str">
        <f>GRIFFTE!B99</f>
        <v>Despesas Financeiras / Bancos</v>
      </c>
      <c r="M22" s="59">
        <f t="shared" si="6"/>
        <v>50</v>
      </c>
      <c r="N22" s="186">
        <f>GRIFFTE!O99</f>
        <v>600</v>
      </c>
      <c r="O22" s="205">
        <v>12</v>
      </c>
    </row>
    <row r="23" spans="2:15" x14ac:dyDescent="0.25">
      <c r="B23" s="248" t="str">
        <f>PSICOSSOCIAL!B105</f>
        <v>Impostos e Taxas</v>
      </c>
      <c r="C23" s="59">
        <f t="shared" si="4"/>
        <v>0</v>
      </c>
      <c r="D23" s="59">
        <f>PSICOSSOCIAL!O105</f>
        <v>0</v>
      </c>
      <c r="E23" s="205">
        <v>12</v>
      </c>
      <c r="F23" s="276"/>
      <c r="G23" s="251" t="str">
        <f>'CASA SONHAR'!B105</f>
        <v>Impostos e Taxas</v>
      </c>
      <c r="H23" s="59">
        <f t="shared" si="5"/>
        <v>0</v>
      </c>
      <c r="I23" s="59">
        <f>'CASA SONHAR'!O105</f>
        <v>0</v>
      </c>
      <c r="J23" s="205">
        <v>12</v>
      </c>
      <c r="L23" s="251" t="str">
        <f>GRIFFTE!B105</f>
        <v>Impostos e Taxas</v>
      </c>
      <c r="M23" s="59">
        <f t="shared" si="6"/>
        <v>0</v>
      </c>
      <c r="N23" s="186">
        <f>GRIFFTE!O105</f>
        <v>0</v>
      </c>
      <c r="O23" s="205">
        <v>12</v>
      </c>
    </row>
    <row r="24" spans="2:15" x14ac:dyDescent="0.25">
      <c r="B24" s="248" t="str">
        <f>PSICOSSOCIAL!B116</f>
        <v>Investimento</v>
      </c>
      <c r="C24" s="59">
        <f t="shared" si="4"/>
        <v>0</v>
      </c>
      <c r="D24" s="57">
        <f>PSICOSSOCIAL!O116</f>
        <v>0</v>
      </c>
      <c r="E24" s="205">
        <v>12</v>
      </c>
      <c r="F24" s="276"/>
      <c r="G24" s="251" t="str">
        <f>'CASA SONHAR'!B116</f>
        <v>Investimento</v>
      </c>
      <c r="H24" s="59">
        <f t="shared" si="5"/>
        <v>1116.6666666666667</v>
      </c>
      <c r="I24" s="59">
        <f>'CASA SONHAR'!O116</f>
        <v>13400</v>
      </c>
      <c r="J24" s="205">
        <v>12</v>
      </c>
      <c r="L24" s="256" t="str">
        <f>GRIFFTE!B116</f>
        <v>Investimento</v>
      </c>
      <c r="M24" s="59">
        <f t="shared" si="6"/>
        <v>0</v>
      </c>
      <c r="N24" s="186">
        <f>GRIFFTE!O116</f>
        <v>0</v>
      </c>
      <c r="O24" s="205">
        <v>12</v>
      </c>
    </row>
    <row r="25" spans="2:15" x14ac:dyDescent="0.25">
      <c r="B25" s="248" t="str">
        <f>PSICOSSOCIAL!B126</f>
        <v>Despesas Com Veículos</v>
      </c>
      <c r="C25" s="59">
        <f t="shared" si="4"/>
        <v>163.63636363636363</v>
      </c>
      <c r="D25" s="57">
        <f>PSICOSSOCIAL!O126</f>
        <v>1800</v>
      </c>
      <c r="E25" s="205">
        <v>11</v>
      </c>
      <c r="F25" s="276"/>
      <c r="G25" s="251" t="str">
        <f>'CASA SONHAR'!B126</f>
        <v>Despesas Com Veículos</v>
      </c>
      <c r="H25" s="59">
        <f t="shared" si="5"/>
        <v>0</v>
      </c>
      <c r="I25" s="59">
        <f>'CASA SONHAR'!O126</f>
        <v>0</v>
      </c>
      <c r="J25" s="205">
        <v>11</v>
      </c>
      <c r="L25" s="256" t="str">
        <f>GRIFFTE!B126</f>
        <v>Despesas Com Veículos</v>
      </c>
      <c r="M25" s="59">
        <f t="shared" si="6"/>
        <v>0</v>
      </c>
      <c r="N25" s="186">
        <f>GRIFFTE!O126</f>
        <v>0</v>
      </c>
      <c r="O25" s="205">
        <v>11</v>
      </c>
    </row>
    <row r="26" spans="2:15" x14ac:dyDescent="0.25">
      <c r="B26" s="248" t="str">
        <f>PSICOSSOCIAL!B130</f>
        <v>Despesas Com Eventos</v>
      </c>
      <c r="C26" s="59">
        <f t="shared" si="4"/>
        <v>109.09090909090909</v>
      </c>
      <c r="D26" s="57">
        <f>PSICOSSOCIAL!O130</f>
        <v>1200</v>
      </c>
      <c r="E26" s="205">
        <v>11</v>
      </c>
      <c r="F26" s="276"/>
      <c r="G26" s="251" t="str">
        <f>'CASA SONHAR'!B130</f>
        <v>Despesas Com Eventos</v>
      </c>
      <c r="H26" s="59">
        <f t="shared" si="5"/>
        <v>1863.6363636363637</v>
      </c>
      <c r="I26" s="59">
        <f>'CASA SONHAR'!O130</f>
        <v>20500</v>
      </c>
      <c r="J26" s="205">
        <v>11</v>
      </c>
      <c r="L26" s="251" t="str">
        <f>GRIFFTE!B130</f>
        <v>Despesas Com Eventos</v>
      </c>
      <c r="M26" s="59">
        <f t="shared" si="6"/>
        <v>0</v>
      </c>
      <c r="N26" s="57">
        <f>GRIFFTE!O130</f>
        <v>0</v>
      </c>
      <c r="O26" s="205">
        <v>11</v>
      </c>
    </row>
    <row r="27" spans="2:15" x14ac:dyDescent="0.25">
      <c r="B27" s="248" t="str">
        <f>PSICOSSOCIAL!B133</f>
        <v>Despesas Matérias-Primas</v>
      </c>
      <c r="C27" s="59">
        <f t="shared" si="4"/>
        <v>0</v>
      </c>
      <c r="D27" s="57">
        <f>PSICOSSOCIAL!O133</f>
        <v>0</v>
      </c>
      <c r="E27" s="205">
        <v>12</v>
      </c>
      <c r="F27" s="276"/>
      <c r="G27" s="251" t="str">
        <f>'CASA SONHAR'!B133</f>
        <v>Despesas Matérias-Primas</v>
      </c>
      <c r="H27" s="59">
        <f t="shared" si="5"/>
        <v>0</v>
      </c>
      <c r="I27" s="59">
        <f>'CASA SONHAR'!O133</f>
        <v>0</v>
      </c>
      <c r="J27" s="205">
        <v>12</v>
      </c>
      <c r="L27" s="251" t="str">
        <f>GRIFFTE!B133</f>
        <v>Despesas Matérias-Primas</v>
      </c>
      <c r="M27" s="59">
        <f t="shared" si="6"/>
        <v>0</v>
      </c>
      <c r="N27" s="57">
        <f>GRIFFTE!O133</f>
        <v>0</v>
      </c>
      <c r="O27" s="205">
        <v>12</v>
      </c>
    </row>
    <row r="28" spans="2:15" x14ac:dyDescent="0.25">
      <c r="B28" s="56"/>
      <c r="C28" s="57"/>
      <c r="D28" s="57"/>
      <c r="E28" s="205"/>
      <c r="F28" s="276"/>
      <c r="G28" s="185"/>
      <c r="H28" s="59"/>
      <c r="I28" s="59"/>
      <c r="J28" s="205"/>
      <c r="L28" s="185"/>
      <c r="M28" s="57"/>
      <c r="N28" s="57"/>
      <c r="O28" s="205"/>
    </row>
    <row r="29" spans="2:15" x14ac:dyDescent="0.25">
      <c r="B29" s="56"/>
      <c r="C29" s="57"/>
      <c r="D29" s="57"/>
      <c r="E29" s="205"/>
      <c r="F29" s="276"/>
      <c r="G29" s="185"/>
      <c r="H29" s="59"/>
      <c r="I29" s="59"/>
      <c r="J29" s="205"/>
      <c r="L29" s="185"/>
      <c r="M29" s="57"/>
      <c r="N29" s="57"/>
      <c r="O29" s="205"/>
    </row>
    <row r="30" spans="2:15" ht="13.5" thickBot="1" x14ac:dyDescent="0.3">
      <c r="B30" s="60"/>
      <c r="C30" s="61"/>
      <c r="D30" s="271">
        <f>SUM(D19:D28)</f>
        <v>92900</v>
      </c>
      <c r="E30" s="206"/>
      <c r="F30" s="276"/>
      <c r="G30" s="60"/>
      <c r="H30" s="61"/>
      <c r="I30" s="271">
        <f>SUM(I19:I27)</f>
        <v>362596</v>
      </c>
      <c r="J30" s="206"/>
      <c r="L30" s="60"/>
      <c r="M30" s="61"/>
      <c r="N30" s="271">
        <f>SUM(N19:N28)</f>
        <v>124500</v>
      </c>
      <c r="O30" s="206"/>
    </row>
    <row r="31" spans="2:15" ht="13.5" thickBot="1" x14ac:dyDescent="0.3">
      <c r="C31" s="57"/>
      <c r="D31" s="66"/>
      <c r="F31" s="52"/>
      <c r="H31" s="57"/>
      <c r="I31" s="66"/>
      <c r="M31" s="57"/>
      <c r="N31" s="66"/>
    </row>
    <row r="32" spans="2:15" ht="13.5" thickBot="1" x14ac:dyDescent="0.3">
      <c r="B32" s="277" t="s">
        <v>10</v>
      </c>
      <c r="C32" s="278"/>
      <c r="D32" s="278"/>
      <c r="E32" s="279"/>
      <c r="F32" s="52"/>
      <c r="G32" s="277" t="s">
        <v>11</v>
      </c>
      <c r="H32" s="278"/>
      <c r="I32" s="278"/>
      <c r="J32" s="279"/>
    </row>
    <row r="33" spans="2:16" s="52" customFormat="1" ht="13.5" thickBot="1" x14ac:dyDescent="0.3">
      <c r="B33" s="252" t="s">
        <v>3</v>
      </c>
      <c r="C33" s="253" t="s">
        <v>4</v>
      </c>
      <c r="D33" s="253" t="s">
        <v>5</v>
      </c>
      <c r="E33" s="254" t="s">
        <v>6</v>
      </c>
      <c r="G33" s="252" t="s">
        <v>3</v>
      </c>
      <c r="H33" s="253" t="s">
        <v>4</v>
      </c>
      <c r="I33" s="253" t="s">
        <v>5</v>
      </c>
      <c r="J33" s="254" t="s">
        <v>6</v>
      </c>
      <c r="L33" s="51"/>
      <c r="M33" s="51"/>
      <c r="N33" s="51"/>
      <c r="P33" s="51"/>
    </row>
    <row r="34" spans="2:16" x14ac:dyDescent="0.25">
      <c r="B34" s="247" t="str">
        <f>MARKETING!B50</f>
        <v>Marketing</v>
      </c>
      <c r="C34" s="59">
        <f>SUM(D34/E34)</f>
        <v>13000</v>
      </c>
      <c r="D34" s="155">
        <f>MARKETING!O50</f>
        <v>143000</v>
      </c>
      <c r="E34" s="205">
        <v>11</v>
      </c>
      <c r="G34" s="248" t="str">
        <f>ADM!B50</f>
        <v>Marketing</v>
      </c>
      <c r="H34" s="59">
        <f>SUM(I34/J34)</f>
        <v>0</v>
      </c>
      <c r="I34" s="59">
        <f>ADM!O50</f>
        <v>0</v>
      </c>
      <c r="J34" s="205">
        <v>11</v>
      </c>
    </row>
    <row r="35" spans="2:16" x14ac:dyDescent="0.25">
      <c r="B35" s="248" t="str">
        <f>MARKETING!B53</f>
        <v>Despesas com Pessoal</v>
      </c>
      <c r="C35" s="59">
        <f t="shared" ref="C35:C43" si="7">SUM(D35/E35)</f>
        <v>8808.3333333333339</v>
      </c>
      <c r="D35" s="59">
        <f>MARKETING!O53</f>
        <v>105700</v>
      </c>
      <c r="E35" s="205">
        <v>12</v>
      </c>
      <c r="G35" s="248" t="str">
        <f>ADM!B53</f>
        <v>Despesas com Pessoal</v>
      </c>
      <c r="H35" s="59">
        <f>SUM(I35/J35)</f>
        <v>33050</v>
      </c>
      <c r="I35" s="59">
        <f>ADM!O53</f>
        <v>396600</v>
      </c>
      <c r="J35" s="205">
        <v>12</v>
      </c>
    </row>
    <row r="36" spans="2:16" x14ac:dyDescent="0.25">
      <c r="B36" s="248" t="str">
        <f>MARKETING!B75</f>
        <v>Despesas Administrativas</v>
      </c>
      <c r="C36" s="59">
        <f t="shared" si="7"/>
        <v>3807.1333333333337</v>
      </c>
      <c r="D36" s="59">
        <f>MARKETING!O75</f>
        <v>45685.600000000006</v>
      </c>
      <c r="E36" s="205">
        <v>12</v>
      </c>
      <c r="G36" s="248" t="str">
        <f>ADM!B75</f>
        <v>Despesas Administrativas</v>
      </c>
      <c r="H36" s="59">
        <f t="shared" ref="H36:H42" si="8">SUM(I36/J36)</f>
        <v>12562.5</v>
      </c>
      <c r="I36" s="59">
        <f>ADM!O75</f>
        <v>150750</v>
      </c>
      <c r="J36" s="205">
        <v>12</v>
      </c>
    </row>
    <row r="37" spans="2:16" x14ac:dyDescent="0.25">
      <c r="B37" s="248" t="str">
        <f>MARKETING!B99</f>
        <v>Despesas Financeiras / Bancos</v>
      </c>
      <c r="C37" s="59">
        <f t="shared" si="7"/>
        <v>0</v>
      </c>
      <c r="D37" s="59">
        <f>MARKETING!O99</f>
        <v>0</v>
      </c>
      <c r="E37" s="205">
        <v>12</v>
      </c>
      <c r="G37" s="248" t="str">
        <f>ADM!B99</f>
        <v>Despesas Financeiras / Bancos</v>
      </c>
      <c r="H37" s="59">
        <f t="shared" si="8"/>
        <v>150</v>
      </c>
      <c r="I37" s="59">
        <f>ADM!O99</f>
        <v>1800</v>
      </c>
      <c r="J37" s="205">
        <v>12</v>
      </c>
    </row>
    <row r="38" spans="2:16" x14ac:dyDescent="0.25">
      <c r="B38" s="248" t="str">
        <f>MARKETING!B105</f>
        <v>Impostos e Taxas</v>
      </c>
      <c r="C38" s="59">
        <f t="shared" si="7"/>
        <v>0</v>
      </c>
      <c r="D38" s="59">
        <f>MARKETING!O105</f>
        <v>0</v>
      </c>
      <c r="E38" s="205">
        <v>12</v>
      </c>
      <c r="G38" s="248" t="str">
        <f>ADM!B105</f>
        <v>Impostos e Taxas</v>
      </c>
      <c r="H38" s="59">
        <f t="shared" si="8"/>
        <v>275</v>
      </c>
      <c r="I38" s="59">
        <f>ADM!O105</f>
        <v>3300</v>
      </c>
      <c r="J38" s="205">
        <v>12</v>
      </c>
    </row>
    <row r="39" spans="2:16" x14ac:dyDescent="0.25">
      <c r="B39" s="248" t="str">
        <f>MARKETING!B116</f>
        <v>Investimento</v>
      </c>
      <c r="C39" s="59">
        <f t="shared" si="7"/>
        <v>1458.3333333333333</v>
      </c>
      <c r="D39" s="59">
        <f>MARKETING!O116</f>
        <v>17500</v>
      </c>
      <c r="E39" s="205">
        <v>12</v>
      </c>
      <c r="G39" s="248" t="str">
        <f>ADM!B116</f>
        <v>Investimento</v>
      </c>
      <c r="H39" s="59">
        <f t="shared" si="8"/>
        <v>750</v>
      </c>
      <c r="I39" s="59">
        <f>ADM!O116</f>
        <v>9000</v>
      </c>
      <c r="J39" s="205">
        <v>12</v>
      </c>
    </row>
    <row r="40" spans="2:16" x14ac:dyDescent="0.25">
      <c r="B40" s="248" t="str">
        <f>MARKETING!B126</f>
        <v>Despesas Com Veículos</v>
      </c>
      <c r="C40" s="59">
        <f t="shared" si="7"/>
        <v>0</v>
      </c>
      <c r="D40" s="59">
        <f>MARKETING!O126</f>
        <v>0</v>
      </c>
      <c r="E40" s="205">
        <v>11</v>
      </c>
      <c r="G40" s="248" t="str">
        <f>ADM!B125</f>
        <v>Devolução Entradas</v>
      </c>
      <c r="H40" s="59">
        <f t="shared" si="8"/>
        <v>1463.6363636363637</v>
      </c>
      <c r="I40" s="59">
        <f>ADM!O126</f>
        <v>16100</v>
      </c>
      <c r="J40" s="205">
        <v>11</v>
      </c>
    </row>
    <row r="41" spans="2:16" x14ac:dyDescent="0.25">
      <c r="B41" s="248" t="str">
        <f>MARKETING!B130</f>
        <v>Despesas Com Eventos</v>
      </c>
      <c r="C41" s="59">
        <f t="shared" si="7"/>
        <v>10063.636363636364</v>
      </c>
      <c r="D41" s="59">
        <f>MARKETING!O130</f>
        <v>110700</v>
      </c>
      <c r="E41" s="205">
        <v>11</v>
      </c>
      <c r="G41" s="248" t="str">
        <f>ADM!B129</f>
        <v>Manutenções Veículos</v>
      </c>
      <c r="H41" s="59">
        <f t="shared" si="8"/>
        <v>0</v>
      </c>
      <c r="I41" s="59">
        <f>ADM!O130</f>
        <v>0</v>
      </c>
      <c r="J41" s="205">
        <v>11</v>
      </c>
    </row>
    <row r="42" spans="2:16" ht="15.75" customHeight="1" x14ac:dyDescent="0.25">
      <c r="B42" s="248" t="str">
        <f>MARKETING!B133</f>
        <v>Despesas Matérias-Primas</v>
      </c>
      <c r="C42" s="59">
        <f t="shared" si="7"/>
        <v>0</v>
      </c>
      <c r="D42" s="57">
        <f>MARKETING!O133</f>
        <v>0</v>
      </c>
      <c r="E42" s="205">
        <v>12</v>
      </c>
      <c r="G42" s="248" t="str">
        <f>ADM!B132</f>
        <v>Crowdfunding/Excurções/eventos</v>
      </c>
      <c r="H42" s="59">
        <f t="shared" si="8"/>
        <v>0</v>
      </c>
      <c r="I42" s="66">
        <f>ADM!O133</f>
        <v>0</v>
      </c>
      <c r="J42" s="205">
        <v>12</v>
      </c>
    </row>
    <row r="43" spans="2:16" x14ac:dyDescent="0.25">
      <c r="B43" s="248" t="str">
        <f>MARKETING!B49</f>
        <v>Compras Mercadorias Revenda</v>
      </c>
      <c r="C43" s="59">
        <f t="shared" si="7"/>
        <v>2387.5</v>
      </c>
      <c r="D43" s="57">
        <f>MARKETING!O48</f>
        <v>28650</v>
      </c>
      <c r="E43" s="205">
        <v>12</v>
      </c>
      <c r="G43" s="248"/>
      <c r="J43" s="205"/>
    </row>
    <row r="44" spans="2:16" x14ac:dyDescent="0.25">
      <c r="B44" s="248"/>
      <c r="C44" s="59"/>
      <c r="D44" s="57"/>
      <c r="E44" s="205"/>
      <c r="G44" s="248"/>
      <c r="J44" s="205"/>
    </row>
    <row r="45" spans="2:16" s="200" customFormat="1" ht="19.5" customHeight="1" thickBot="1" x14ac:dyDescent="0.3">
      <c r="B45" s="60"/>
      <c r="C45" s="190"/>
      <c r="D45" s="271">
        <f>SUM(D34:D43)</f>
        <v>451235.6</v>
      </c>
      <c r="E45" s="255"/>
      <c r="G45" s="60"/>
      <c r="H45" s="190"/>
      <c r="I45" s="271">
        <f>SUM(I34:I43)</f>
        <v>577550</v>
      </c>
      <c r="J45" s="255"/>
    </row>
    <row r="46" spans="2:16" s="200" customFormat="1" ht="19.5" customHeight="1" thickBot="1" x14ac:dyDescent="0.3">
      <c r="E46" s="207"/>
      <c r="J46" s="207"/>
    </row>
    <row r="47" spans="2:16" ht="13.5" thickBot="1" x14ac:dyDescent="0.3">
      <c r="B47" s="282" t="s">
        <v>12</v>
      </c>
      <c r="C47" s="283"/>
      <c r="G47" s="284" t="s">
        <v>13</v>
      </c>
      <c r="H47" s="285"/>
      <c r="I47" s="66"/>
    </row>
    <row r="48" spans="2:16" x14ac:dyDescent="0.25">
      <c r="B48" s="269" t="str">
        <f>GERAL!B22</f>
        <v>Doações</v>
      </c>
      <c r="C48" s="264">
        <f>GERAL!O22</f>
        <v>76500</v>
      </c>
      <c r="G48" s="53" t="s">
        <v>0</v>
      </c>
      <c r="H48" s="187">
        <f>D15</f>
        <v>289050</v>
      </c>
      <c r="I48" s="66"/>
    </row>
    <row r="49" spans="2:9" x14ac:dyDescent="0.25">
      <c r="B49" s="265" t="str">
        <f>GERAL!B33</f>
        <v>Editais/Projetos</v>
      </c>
      <c r="C49" s="266">
        <f>GERAL!O33</f>
        <v>413000</v>
      </c>
      <c r="G49" s="56" t="s">
        <v>1</v>
      </c>
      <c r="H49" s="188">
        <f>I15</f>
        <v>97350</v>
      </c>
      <c r="I49" s="66"/>
    </row>
    <row r="50" spans="2:9" x14ac:dyDescent="0.25">
      <c r="B50" s="265" t="str">
        <f>GERAL!B37</f>
        <v>Negócios Sociais</v>
      </c>
      <c r="C50" s="267">
        <f>GERAL!O37</f>
        <v>347600</v>
      </c>
      <c r="D50" s="257"/>
      <c r="G50" s="56" t="s">
        <v>7</v>
      </c>
      <c r="H50" s="258">
        <f>D30</f>
        <v>92900</v>
      </c>
      <c r="I50" s="66"/>
    </row>
    <row r="51" spans="2:9" x14ac:dyDescent="0.25">
      <c r="B51" s="265" t="str">
        <f>GERAL!B40</f>
        <v>Eventos</v>
      </c>
      <c r="C51" s="267">
        <f ca="1">GERAL!O40</f>
        <v>55085</v>
      </c>
      <c r="D51" s="257"/>
      <c r="G51" s="56" t="s">
        <v>8</v>
      </c>
      <c r="H51" s="188">
        <f>I30</f>
        <v>362596</v>
      </c>
      <c r="I51" s="66"/>
    </row>
    <row r="52" spans="2:9" x14ac:dyDescent="0.25">
      <c r="B52" s="265" t="str">
        <f>GERAL!B43</f>
        <v>Aplicações</v>
      </c>
      <c r="C52" s="268">
        <f>GERAL!O43</f>
        <v>60000</v>
      </c>
      <c r="G52" s="56" t="s">
        <v>2</v>
      </c>
      <c r="H52" s="188">
        <f>N15</f>
        <v>132960</v>
      </c>
      <c r="I52" s="66"/>
    </row>
    <row r="53" spans="2:9" x14ac:dyDescent="0.25">
      <c r="B53" s="270"/>
      <c r="C53" s="266"/>
      <c r="G53" s="56" t="s">
        <v>9</v>
      </c>
      <c r="H53" s="188">
        <f>N30</f>
        <v>124500</v>
      </c>
      <c r="I53" s="66"/>
    </row>
    <row r="54" spans="2:9" x14ac:dyDescent="0.25">
      <c r="B54" s="270"/>
      <c r="C54" s="266"/>
      <c r="G54" s="56" t="s">
        <v>10</v>
      </c>
      <c r="H54" s="188">
        <f>D45</f>
        <v>451235.6</v>
      </c>
      <c r="I54" s="66"/>
    </row>
    <row r="55" spans="2:9" x14ac:dyDescent="0.25">
      <c r="B55" s="280" t="s">
        <v>261</v>
      </c>
      <c r="C55" s="281">
        <v>1500000</v>
      </c>
      <c r="G55" s="56" t="s">
        <v>11</v>
      </c>
      <c r="H55" s="188">
        <f>I45</f>
        <v>577550</v>
      </c>
      <c r="I55" s="66"/>
    </row>
    <row r="56" spans="2:9" x14ac:dyDescent="0.25">
      <c r="B56" s="280"/>
      <c r="C56" s="281"/>
      <c r="G56" s="56"/>
      <c r="H56" s="188"/>
      <c r="I56" s="66"/>
    </row>
    <row r="57" spans="2:9" x14ac:dyDescent="0.2">
      <c r="B57" s="67"/>
      <c r="C57" s="189"/>
      <c r="G57" s="56"/>
      <c r="H57" s="58"/>
      <c r="I57" s="57"/>
    </row>
    <row r="58" spans="2:9" ht="16.5" thickBot="1" x14ac:dyDescent="0.3">
      <c r="B58" s="199"/>
      <c r="C58" s="259">
        <f ca="1">SUM(C48:C56)</f>
        <v>2532585</v>
      </c>
      <c r="D58" s="260"/>
      <c r="E58" s="261"/>
      <c r="F58" s="260"/>
      <c r="G58" s="262"/>
      <c r="H58" s="263">
        <f>SUM(H48:H56)</f>
        <v>2128141.6</v>
      </c>
      <c r="I58" s="201"/>
    </row>
    <row r="59" spans="2:9" ht="15.75" x14ac:dyDescent="0.25">
      <c r="B59" s="202"/>
      <c r="C59" s="203"/>
      <c r="D59" s="200"/>
      <c r="E59" s="207"/>
      <c r="F59" s="200"/>
      <c r="G59" s="200"/>
      <c r="H59" s="204"/>
      <c r="I59" s="201"/>
    </row>
  </sheetData>
  <mergeCells count="13">
    <mergeCell ref="B55:B56"/>
    <mergeCell ref="C55:C56"/>
    <mergeCell ref="B47:C47"/>
    <mergeCell ref="G47:H47"/>
    <mergeCell ref="B32:E32"/>
    <mergeCell ref="G32:J32"/>
    <mergeCell ref="F1:F30"/>
    <mergeCell ref="B2:E2"/>
    <mergeCell ref="G2:J2"/>
    <mergeCell ref="L2:O2"/>
    <mergeCell ref="B17:E17"/>
    <mergeCell ref="G17:J17"/>
    <mergeCell ref="L17:O17"/>
  </mergeCells>
  <printOptions horizontalCentered="1" verticalCentered="1"/>
  <pageMargins left="0.11811023622047245" right="0.11811023622047245" top="0.19685039370078741" bottom="0.19685039370078741" header="0.11811023622047245" footer="0.11811023622047245"/>
  <pageSetup paperSize="9"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A0EC-26BA-4842-87E9-4C9D7006001A}">
  <sheetPr>
    <tabColor theme="2" tint="-0.499984740745262"/>
  </sheetPr>
  <dimension ref="A1:O165"/>
  <sheetViews>
    <sheetView showGridLines="0" view="pageBreakPreview" zoomScale="55" zoomScaleNormal="55" zoomScaleSheetLayoutView="55" workbookViewId="0">
      <pane xSplit="2" ySplit="3" topLeftCell="C4" activePane="bottomRight" state="frozen"/>
      <selection pane="topRight"/>
      <selection pane="bottomLeft"/>
      <selection pane="bottomRight" activeCell="F26" sqref="F26"/>
    </sheetView>
  </sheetViews>
  <sheetFormatPr defaultRowHeight="15" customHeight="1" x14ac:dyDescent="0.25"/>
  <cols>
    <col min="1" max="1" width="2.28515625" customWidth="1"/>
    <col min="2" max="2" width="42.85546875" bestFit="1" customWidth="1"/>
    <col min="3" max="3" width="22.7109375" customWidth="1"/>
    <col min="4" max="4" width="22.7109375" bestFit="1" customWidth="1"/>
    <col min="5" max="6" width="22.28515625" bestFit="1" customWidth="1"/>
    <col min="7" max="10" width="23.5703125" bestFit="1" customWidth="1"/>
    <col min="11" max="11" width="23.7109375" style="39" bestFit="1" customWidth="1"/>
    <col min="12" max="12" width="24.85546875" style="39" bestFit="1" customWidth="1"/>
    <col min="13" max="14" width="25.42578125" style="39" bestFit="1" customWidth="1"/>
    <col min="15" max="15" width="25.42578125" style="209" bestFit="1" customWidth="1"/>
  </cols>
  <sheetData>
    <row r="1" spans="1:15" ht="42.75" customHeight="1" x14ac:dyDescent="0.25">
      <c r="C1" s="286" t="s">
        <v>248</v>
      </c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5" x14ac:dyDescent="0.25">
      <c r="A2" s="287" t="s">
        <v>15</v>
      </c>
      <c r="B2" s="287"/>
      <c r="C2" s="184">
        <f>C47/O$47</f>
        <v>6.9748291712980623E-2</v>
      </c>
      <c r="D2" s="184">
        <f>D47/$O$47</f>
        <v>0.10924297496176763</v>
      </c>
      <c r="E2" s="184">
        <f>E47/$O$47</f>
        <v>7.700515156062801E-2</v>
      </c>
      <c r="F2" s="184">
        <f t="shared" ref="F2:N2" si="0">F47/$O$47</f>
        <v>7.8055796968981642E-2</v>
      </c>
      <c r="G2" s="184">
        <f t="shared" si="0"/>
        <v>7.2448887314500415E-2</v>
      </c>
      <c r="H2" s="184">
        <f t="shared" si="0"/>
        <v>8.9515807116205146E-2</v>
      </c>
      <c r="I2" s="184">
        <f t="shared" si="0"/>
        <v>9.1464528962722433E-2</v>
      </c>
      <c r="J2" s="184">
        <f t="shared" si="0"/>
        <v>7.8489231543384941E-2</v>
      </c>
      <c r="K2" s="274">
        <f t="shared" si="0"/>
        <v>7.1367034616789754E-2</v>
      </c>
      <c r="L2" s="274">
        <f t="shared" si="0"/>
        <v>8.0850583104734183E-2</v>
      </c>
      <c r="M2" s="274">
        <f t="shared" si="0"/>
        <v>8.041714853033087E-2</v>
      </c>
      <c r="N2" s="274">
        <f t="shared" si="0"/>
        <v>0.10139456360697459</v>
      </c>
    </row>
    <row r="3" spans="1:15" ht="22.5" x14ac:dyDescent="0.25">
      <c r="B3" s="2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275" t="s">
        <v>25</v>
      </c>
      <c r="L3" s="275" t="s">
        <v>26</v>
      </c>
      <c r="M3" s="275" t="s">
        <v>27</v>
      </c>
      <c r="N3" s="275" t="s">
        <v>28</v>
      </c>
      <c r="O3" s="210" t="s">
        <v>5</v>
      </c>
    </row>
    <row r="4" spans="1:15" ht="22.5" x14ac:dyDescent="0.25">
      <c r="B4" s="31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211"/>
    </row>
    <row r="5" spans="1:15" ht="19.5" x14ac:dyDescent="0.25">
      <c r="B5" s="33" t="s">
        <v>29</v>
      </c>
      <c r="C5" s="243">
        <f>C6</f>
        <v>63350</v>
      </c>
      <c r="D5" s="243">
        <f>C5+D6</f>
        <v>-56700.359999999986</v>
      </c>
      <c r="E5" s="243">
        <f t="shared" ref="E5:N5" si="1">D5+E6</f>
        <v>-172478.71999999997</v>
      </c>
      <c r="F5" s="243">
        <f t="shared" si="1"/>
        <v>-293187.07999999996</v>
      </c>
      <c r="G5" s="243">
        <f t="shared" si="1"/>
        <v>-397825.43999999994</v>
      </c>
      <c r="H5" s="243">
        <f t="shared" si="1"/>
        <v>-394378.79999999993</v>
      </c>
      <c r="I5" s="243">
        <f t="shared" si="1"/>
        <v>-559617.15999999992</v>
      </c>
      <c r="J5" s="243">
        <f t="shared" si="1"/>
        <v>-687435.5199999999</v>
      </c>
      <c r="K5" s="243">
        <f t="shared" ca="1" si="1"/>
        <v>-893253.87999999989</v>
      </c>
      <c r="L5" s="243">
        <f t="shared" ca="1" si="1"/>
        <v>-1126422.2399999998</v>
      </c>
      <c r="M5" s="243">
        <f t="shared" ca="1" si="1"/>
        <v>-1358340.5999999996</v>
      </c>
      <c r="N5" s="243">
        <f t="shared" ca="1" si="1"/>
        <v>-1650756.5999999996</v>
      </c>
      <c r="O5" s="212"/>
    </row>
    <row r="6" spans="1:15" ht="19.5" x14ac:dyDescent="0.25">
      <c r="B6" s="33" t="s">
        <v>30</v>
      </c>
      <c r="C6" s="243">
        <f t="shared" ref="C6:I6" si="2">SUM(C8-C47)</f>
        <v>63350</v>
      </c>
      <c r="D6" s="243">
        <f>SUM(D8-D47)</f>
        <v>-120050.35999999999</v>
      </c>
      <c r="E6" s="243">
        <f t="shared" si="2"/>
        <v>-115778.35999999999</v>
      </c>
      <c r="F6" s="243">
        <f t="shared" si="2"/>
        <v>-120708.35999999999</v>
      </c>
      <c r="G6" s="243">
        <f t="shared" si="2"/>
        <v>-104638.35999999999</v>
      </c>
      <c r="H6" s="243">
        <f t="shared" si="2"/>
        <v>3446.640000000014</v>
      </c>
      <c r="I6" s="243">
        <f t="shared" si="2"/>
        <v>-165238.35999999999</v>
      </c>
      <c r="J6" s="243">
        <f>SUM(J8-J47)</f>
        <v>-127818.35999999999</v>
      </c>
      <c r="K6" s="243">
        <f ca="1">SUM(K8-K47)</f>
        <v>-205818.36</v>
      </c>
      <c r="L6" s="243">
        <f ca="1">SUM(L8-L47)</f>
        <v>-233168.36</v>
      </c>
      <c r="M6" s="243">
        <f ca="1">SUM(M8-M47)</f>
        <v>-231918.36</v>
      </c>
      <c r="N6" s="243">
        <f ca="1">SUM(N8-N47)</f>
        <v>-292416</v>
      </c>
      <c r="O6" s="212">
        <f ca="1">SUM(C6:N6)</f>
        <v>-1650756.5999999996</v>
      </c>
    </row>
    <row r="7" spans="1:15" ht="22.5" x14ac:dyDescent="0.25">
      <c r="B7" s="31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11"/>
    </row>
    <row r="8" spans="1:15" s="9" customFormat="1" ht="19.5" x14ac:dyDescent="0.25">
      <c r="B8" s="18" t="s">
        <v>31</v>
      </c>
      <c r="C8" s="49">
        <f>SUM(C9,C16,C22,C28,C33,C37,C40,C43)</f>
        <v>264500</v>
      </c>
      <c r="D8" s="49">
        <f t="shared" ref="D8:I8" si="3">SUM(D9,D16,D22,D28,D33,D37,D40,D43)</f>
        <v>195000</v>
      </c>
      <c r="E8" s="49">
        <f t="shared" si="3"/>
        <v>106300</v>
      </c>
      <c r="F8" s="49">
        <f t="shared" si="3"/>
        <v>104400</v>
      </c>
      <c r="G8" s="49">
        <f t="shared" si="3"/>
        <v>104300</v>
      </c>
      <c r="H8" s="49">
        <f t="shared" si="3"/>
        <v>261605</v>
      </c>
      <c r="I8" s="49">
        <f t="shared" si="3"/>
        <v>98540</v>
      </c>
      <c r="J8" s="49">
        <f>SUM(J9,J16,J22,J28,J33,J37,J40,J43)</f>
        <v>98540</v>
      </c>
      <c r="K8" s="49">
        <f t="shared" ref="K8:N8" ca="1" si="4">SUM(K9,K16,K22,K28,K33,K37,K40,K43)</f>
        <v>98540</v>
      </c>
      <c r="L8" s="49">
        <f t="shared" ca="1" si="4"/>
        <v>98540</v>
      </c>
      <c r="M8" s="49">
        <f t="shared" ca="1" si="4"/>
        <v>98540</v>
      </c>
      <c r="N8" s="49">
        <f t="shared" ca="1" si="4"/>
        <v>98540</v>
      </c>
      <c r="O8" s="213">
        <f ca="1">SUM(C8:N8)</f>
        <v>1233185</v>
      </c>
    </row>
    <row r="9" spans="1:15" s="42" customFormat="1" ht="19.5" hidden="1" x14ac:dyDescent="0.4">
      <c r="B9" s="10" t="s">
        <v>32</v>
      </c>
      <c r="C9" s="40">
        <f>SUM(C10:C15)</f>
        <v>0</v>
      </c>
      <c r="D9" s="40">
        <f>SUM(D10:D15)</f>
        <v>0</v>
      </c>
      <c r="E9" s="40">
        <f>SUM(E10:E15)</f>
        <v>0</v>
      </c>
      <c r="F9" s="40">
        <f t="shared" ref="F9:N9" si="5">SUM(F10:F15)</f>
        <v>0</v>
      </c>
      <c r="G9" s="40">
        <f>SUM(G10:G15)</f>
        <v>0</v>
      </c>
      <c r="H9" s="40">
        <f t="shared" si="5"/>
        <v>0</v>
      </c>
      <c r="I9" s="40">
        <f t="shared" si="5"/>
        <v>0</v>
      </c>
      <c r="J9" s="40">
        <f t="shared" si="5"/>
        <v>0</v>
      </c>
      <c r="K9" s="40">
        <f t="shared" si="5"/>
        <v>0</v>
      </c>
      <c r="L9" s="40">
        <f t="shared" si="5"/>
        <v>0</v>
      </c>
      <c r="M9" s="40">
        <f t="shared" si="5"/>
        <v>0</v>
      </c>
      <c r="N9" s="40">
        <f t="shared" si="5"/>
        <v>0</v>
      </c>
      <c r="O9" s="214">
        <f>SUM(C9:N9)</f>
        <v>0</v>
      </c>
    </row>
    <row r="10" spans="1:15" s="9" customFormat="1" ht="16.5" hidden="1" x14ac:dyDescent="0.25">
      <c r="B10" s="36" t="s">
        <v>33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215">
        <f t="shared" ref="O10:O73" si="6">SUM(C10:N10)</f>
        <v>0</v>
      </c>
    </row>
    <row r="11" spans="1:15" s="9" customFormat="1" ht="16.5" hidden="1" x14ac:dyDescent="0.25">
      <c r="B11" s="36" t="s">
        <v>34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215">
        <f t="shared" si="6"/>
        <v>0</v>
      </c>
    </row>
    <row r="12" spans="1:15" s="9" customFormat="1" ht="16.5" hidden="1" x14ac:dyDescent="0.25">
      <c r="B12" s="36" t="s">
        <v>35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215">
        <f t="shared" si="6"/>
        <v>0</v>
      </c>
    </row>
    <row r="13" spans="1:15" s="9" customFormat="1" ht="16.5" hidden="1" x14ac:dyDescent="0.25">
      <c r="B13" s="36" t="s">
        <v>36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215">
        <f t="shared" si="6"/>
        <v>0</v>
      </c>
    </row>
    <row r="14" spans="1:15" s="9" customFormat="1" ht="16.5" hidden="1" x14ac:dyDescent="0.25">
      <c r="B14" s="36" t="s">
        <v>37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215">
        <f t="shared" si="6"/>
        <v>0</v>
      </c>
    </row>
    <row r="15" spans="1:15" s="9" customFormat="1" ht="16.5" hidden="1" x14ac:dyDescent="0.25">
      <c r="B15" s="36" t="s">
        <v>38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215">
        <f t="shared" si="6"/>
        <v>0</v>
      </c>
    </row>
    <row r="16" spans="1:15" s="42" customFormat="1" ht="19.5" hidden="1" x14ac:dyDescent="0.4">
      <c r="B16" s="10" t="s">
        <v>39</v>
      </c>
      <c r="C16" s="40">
        <f>SUM(C17:C21)</f>
        <v>0</v>
      </c>
      <c r="D16" s="40">
        <f>SUM(D17:D21)</f>
        <v>0</v>
      </c>
      <c r="E16" s="40">
        <f t="shared" ref="E16:L16" si="7">SUM(E17:E21)</f>
        <v>0</v>
      </c>
      <c r="F16" s="40">
        <f t="shared" si="7"/>
        <v>0</v>
      </c>
      <c r="G16" s="40">
        <f>SUM(G17:G21)</f>
        <v>0</v>
      </c>
      <c r="H16" s="40">
        <f t="shared" si="7"/>
        <v>0</v>
      </c>
      <c r="I16" s="40">
        <f t="shared" si="7"/>
        <v>0</v>
      </c>
      <c r="J16" s="40">
        <f t="shared" si="7"/>
        <v>0</v>
      </c>
      <c r="K16" s="40">
        <f t="shared" si="7"/>
        <v>0</v>
      </c>
      <c r="L16" s="40">
        <f t="shared" si="7"/>
        <v>0</v>
      </c>
      <c r="M16" s="40">
        <f>SUM(M17:M21)</f>
        <v>0</v>
      </c>
      <c r="N16" s="40">
        <f>SUM(N17:N21)</f>
        <v>0</v>
      </c>
      <c r="O16" s="214">
        <f>SUM(C16:N16)</f>
        <v>0</v>
      </c>
    </row>
    <row r="17" spans="2:15" s="9" customFormat="1" ht="16.5" hidden="1" x14ac:dyDescent="0.25">
      <c r="B17" s="36" t="s">
        <v>40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215">
        <f t="shared" si="6"/>
        <v>0</v>
      </c>
    </row>
    <row r="18" spans="2:15" s="9" customFormat="1" ht="16.5" hidden="1" x14ac:dyDescent="0.25">
      <c r="B18" s="36" t="s">
        <v>41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215">
        <f t="shared" si="6"/>
        <v>0</v>
      </c>
    </row>
    <row r="19" spans="2:15" s="9" customFormat="1" ht="16.5" hidden="1" x14ac:dyDescent="0.25">
      <c r="B19" s="36" t="s">
        <v>42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215">
        <f t="shared" si="6"/>
        <v>0</v>
      </c>
    </row>
    <row r="20" spans="2:15" s="9" customFormat="1" ht="16.5" hidden="1" x14ac:dyDescent="0.25">
      <c r="B20" s="36" t="s">
        <v>43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215">
        <f t="shared" si="6"/>
        <v>0</v>
      </c>
    </row>
    <row r="21" spans="2:15" s="9" customFormat="1" ht="16.5" hidden="1" x14ac:dyDescent="0.25">
      <c r="B21" s="36" t="s">
        <v>44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215">
        <f t="shared" si="6"/>
        <v>0</v>
      </c>
    </row>
    <row r="22" spans="2:15" s="42" customFormat="1" ht="19.5" x14ac:dyDescent="0.4">
      <c r="B22" s="10" t="s">
        <v>45</v>
      </c>
      <c r="C22" s="40">
        <f>SUM(C23:C27)</f>
        <v>5500</v>
      </c>
      <c r="D22" s="40">
        <f t="shared" ref="D22:N22" si="8">SUM(D23:D27)</f>
        <v>7000</v>
      </c>
      <c r="E22" s="40">
        <f t="shared" si="8"/>
        <v>5500</v>
      </c>
      <c r="F22" s="40">
        <f t="shared" si="8"/>
        <v>5500</v>
      </c>
      <c r="G22" s="40">
        <f t="shared" si="8"/>
        <v>5500</v>
      </c>
      <c r="H22" s="40">
        <f t="shared" si="8"/>
        <v>14500</v>
      </c>
      <c r="I22" s="40">
        <f t="shared" si="8"/>
        <v>5500</v>
      </c>
      <c r="J22" s="40">
        <f t="shared" si="8"/>
        <v>5500</v>
      </c>
      <c r="K22" s="40">
        <f>SUM(K23:K27)</f>
        <v>5500</v>
      </c>
      <c r="L22" s="40">
        <f t="shared" si="8"/>
        <v>5500</v>
      </c>
      <c r="M22" s="40">
        <f t="shared" si="8"/>
        <v>5500</v>
      </c>
      <c r="N22" s="40">
        <f t="shared" si="8"/>
        <v>5500</v>
      </c>
      <c r="O22" s="214">
        <f t="shared" si="6"/>
        <v>76500</v>
      </c>
    </row>
    <row r="23" spans="2:15" s="9" customFormat="1" ht="16.5" x14ac:dyDescent="0.25">
      <c r="B23" s="12" t="s">
        <v>46</v>
      </c>
      <c r="C23" s="37">
        <f>SUM(ADM!C23,MARKETING!C23,COMERCIAL!C23,OPERAÇÕES!C23,'FAVELA 3D'!C23)</f>
        <v>2500</v>
      </c>
      <c r="D23" s="37">
        <f>SUM(ADM!D23,MARKETING!D23,COMERCIAL!D23,OPERAÇÕES!D23,'FAVELA 3D'!D23)</f>
        <v>2500</v>
      </c>
      <c r="E23" s="37">
        <f>SUM(ADM!E23,MARKETING!E23,COMERCIAL!E23,OPERAÇÕES!E23,'FAVELA 3D'!E23)</f>
        <v>2500</v>
      </c>
      <c r="F23" s="37">
        <f>SUM(ADM!F23,MARKETING!F23,COMERCIAL!F23,OPERAÇÕES!F23,'FAVELA 3D'!F23)</f>
        <v>2500</v>
      </c>
      <c r="G23" s="37">
        <f>SUM(ADM!G23,MARKETING!G23,COMERCIAL!G23,OPERAÇÕES!G23,'FAVELA 3D'!G23)</f>
        <v>2500</v>
      </c>
      <c r="H23" s="37">
        <f>SUM(ADM!H23,MARKETING!H23,COMERCIAL!H23,OPERAÇÕES!H23,'FAVELA 3D'!H23)</f>
        <v>2500</v>
      </c>
      <c r="I23" s="37">
        <f>SUM(ADM!I23,MARKETING!I23,COMERCIAL!I23,OPERAÇÕES!I23,'FAVELA 3D'!I23)</f>
        <v>2500</v>
      </c>
      <c r="J23" s="37">
        <f>SUM(ADM!J23,MARKETING!J23,COMERCIAL!J23,OPERAÇÕES!J23,'FAVELA 3D'!J23)</f>
        <v>2500</v>
      </c>
      <c r="K23" s="37">
        <f>SUM(ADM!K23,MARKETING!K23,COMERCIAL!K23,OPERAÇÕES!K23,'FAVELA 3D'!K23)</f>
        <v>2500</v>
      </c>
      <c r="L23" s="37">
        <f>SUM(ADM!L23,MARKETING!L23,COMERCIAL!L23,OPERAÇÕES!L23,'FAVELA 3D'!L23)</f>
        <v>2500</v>
      </c>
      <c r="M23" s="37">
        <f>SUM(ADM!M23,MARKETING!M23,COMERCIAL!M23,OPERAÇÕES!M23,'FAVELA 3D'!M23)</f>
        <v>2500</v>
      </c>
      <c r="N23" s="37">
        <f>SUM(ADM!N23,MARKETING!N23,COMERCIAL!N23,OPERAÇÕES!N23,'FAVELA 3D'!N23)</f>
        <v>2500</v>
      </c>
      <c r="O23" s="215">
        <f t="shared" si="6"/>
        <v>30000</v>
      </c>
    </row>
    <row r="24" spans="2:15" s="9" customFormat="1" ht="16.5" x14ac:dyDescent="0.25">
      <c r="B24" s="12" t="s">
        <v>47</v>
      </c>
      <c r="C24" s="37">
        <f>SUM(ADM!C24,MARKETING!C24,COMERCIAL!C24,OPERAÇÕES!C24,'FAVELA 3D'!C24)</f>
        <v>0</v>
      </c>
      <c r="D24" s="37">
        <f>SUM(ADM!D24,MARKETING!D24,COMERCIAL!D24,OPERAÇÕES!D24,'FAVELA 3D'!D24)</f>
        <v>1500</v>
      </c>
      <c r="E24" s="37">
        <f>SUM(ADM!E24,MARKETING!E24,COMERCIAL!E24,OPERAÇÕES!E24,'FAVELA 3D'!E24)</f>
        <v>0</v>
      </c>
      <c r="F24" s="37">
        <f>SUM(ADM!F24,MARKETING!F24,COMERCIAL!F24,OPERAÇÕES!F24,'FAVELA 3D'!F24)</f>
        <v>0</v>
      </c>
      <c r="G24" s="37">
        <f>SUM(ADM!G24,MARKETING!G24,COMERCIAL!G24,OPERAÇÕES!G24,'FAVELA 3D'!G24)</f>
        <v>0</v>
      </c>
      <c r="H24" s="37">
        <f>SUM(ADM!H24,MARKETING!H24,COMERCIAL!H24,OPERAÇÕES!H24,'FAVELA 3D'!H24)</f>
        <v>9000</v>
      </c>
      <c r="I24" s="37">
        <f>SUM(ADM!I24,MARKETING!I24,COMERCIAL!I24,OPERAÇÕES!I24,'FAVELA 3D'!I24)</f>
        <v>0</v>
      </c>
      <c r="J24" s="37">
        <f>SUM(ADM!J24,MARKETING!J24,COMERCIAL!J24,OPERAÇÕES!J24,'FAVELA 3D'!J24)</f>
        <v>0</v>
      </c>
      <c r="K24" s="37">
        <f>SUM(ADM!K24,MARKETING!K24,COMERCIAL!K24,OPERAÇÕES!K24,'FAVELA 3D'!K24)</f>
        <v>0</v>
      </c>
      <c r="L24" s="37">
        <f>SUM(ADM!L24,MARKETING!L24,COMERCIAL!L24,OPERAÇÕES!L24,'FAVELA 3D'!L24)</f>
        <v>0</v>
      </c>
      <c r="M24" s="37">
        <f>SUM(ADM!M24,MARKETING!M24,COMERCIAL!M24,OPERAÇÕES!M24,'FAVELA 3D'!M24)</f>
        <v>0</v>
      </c>
      <c r="N24" s="37">
        <f>SUM(ADM!N24,MARKETING!N24,COMERCIAL!N24,OPERAÇÕES!N24,'FAVELA 3D'!N24)</f>
        <v>0</v>
      </c>
      <c r="O24" s="215">
        <f t="shared" si="6"/>
        <v>10500</v>
      </c>
    </row>
    <row r="25" spans="2:15" s="9" customFormat="1" ht="16.5" x14ac:dyDescent="0.25">
      <c r="B25" s="12" t="s">
        <v>48</v>
      </c>
      <c r="C25" s="37">
        <f>SUM(ADM!C25,MARKETING!C25,COMERCIAL!C25,OPERAÇÕES!C25,'FAVELA 3D'!C25)</f>
        <v>0</v>
      </c>
      <c r="D25" s="37">
        <f>SUM(ADM!D25,MARKETING!D25,COMERCIAL!D25,OPERAÇÕES!D25,'FAVELA 3D'!D25)</f>
        <v>0</v>
      </c>
      <c r="E25" s="37">
        <f>SUM(ADM!E25,MARKETING!E25,COMERCIAL!E25,OPERAÇÕES!E25,'FAVELA 3D'!E25)</f>
        <v>0</v>
      </c>
      <c r="F25" s="37">
        <f>SUM(ADM!F25,MARKETING!F25,COMERCIAL!F25,OPERAÇÕES!F25,'FAVELA 3D'!F25)</f>
        <v>0</v>
      </c>
      <c r="G25" s="37">
        <f>SUM(ADM!G25,MARKETING!G25,COMERCIAL!G25,OPERAÇÕES!G25,'FAVELA 3D'!G25)</f>
        <v>0</v>
      </c>
      <c r="H25" s="37">
        <f>SUM(ADM!H25,MARKETING!H25,COMERCIAL!H25,OPERAÇÕES!H25,'FAVELA 3D'!H25)</f>
        <v>0</v>
      </c>
      <c r="I25" s="37">
        <f>SUM(ADM!I25,MARKETING!I25,COMERCIAL!I25,OPERAÇÕES!I25,'FAVELA 3D'!I25)</f>
        <v>0</v>
      </c>
      <c r="J25" s="37">
        <f>SUM(ADM!J25,MARKETING!J25,COMERCIAL!J25,OPERAÇÕES!J25,'FAVELA 3D'!J25)</f>
        <v>0</v>
      </c>
      <c r="K25" s="37">
        <f>SUM(ADM!K25,MARKETING!K25,COMERCIAL!K25,OPERAÇÕES!K25,'FAVELA 3D'!K25)</f>
        <v>0</v>
      </c>
      <c r="L25" s="37">
        <f>SUM(ADM!L25,MARKETING!L25,COMERCIAL!L25,OPERAÇÕES!L25,'FAVELA 3D'!L25)</f>
        <v>0</v>
      </c>
      <c r="M25" s="37">
        <f>SUM(ADM!M25,MARKETING!M25,COMERCIAL!M25,OPERAÇÕES!M25,'FAVELA 3D'!M25)</f>
        <v>0</v>
      </c>
      <c r="N25" s="37">
        <f>SUM(ADM!N25,MARKETING!N25,COMERCIAL!N25,OPERAÇÕES!N25,'FAVELA 3D'!N25)</f>
        <v>0</v>
      </c>
      <c r="O25" s="215">
        <f t="shared" si="6"/>
        <v>0</v>
      </c>
    </row>
    <row r="26" spans="2:15" s="9" customFormat="1" ht="16.5" x14ac:dyDescent="0.25">
      <c r="B26" s="12" t="s">
        <v>49</v>
      </c>
      <c r="C26" s="37">
        <f>SUM(ADM!C26,MARKETING!C26,COMERCIAL!C26,OPERAÇÕES!C26,'FAVELA 3D'!C26)</f>
        <v>3000</v>
      </c>
      <c r="D26" s="37">
        <f>SUM(ADM!D26,MARKETING!D26,COMERCIAL!D26,OPERAÇÕES!D26,'FAVELA 3D'!D26)</f>
        <v>3000</v>
      </c>
      <c r="E26" s="37">
        <f>SUM(ADM!E26,MARKETING!E26,COMERCIAL!E26,OPERAÇÕES!E26,'FAVELA 3D'!E26)</f>
        <v>3000</v>
      </c>
      <c r="F26" s="37">
        <f>SUM(ADM!F26,MARKETING!F26,COMERCIAL!F26,OPERAÇÕES!F26,'FAVELA 3D'!F26)</f>
        <v>3000</v>
      </c>
      <c r="G26" s="37">
        <f>SUM(ADM!G26,MARKETING!G26,COMERCIAL!G26,OPERAÇÕES!G26,'FAVELA 3D'!G26)</f>
        <v>3000</v>
      </c>
      <c r="H26" s="37">
        <f>SUM(ADM!H26,MARKETING!H26,COMERCIAL!H26,OPERAÇÕES!H26,'FAVELA 3D'!H26)</f>
        <v>3000</v>
      </c>
      <c r="I26" s="37">
        <f>SUM(ADM!I26,MARKETING!I26,COMERCIAL!I26,OPERAÇÕES!I26,'FAVELA 3D'!I26)</f>
        <v>3000</v>
      </c>
      <c r="J26" s="37">
        <f>SUM(ADM!J26,MARKETING!J26,COMERCIAL!J26,OPERAÇÕES!J26,'FAVELA 3D'!J26)</f>
        <v>3000</v>
      </c>
      <c r="K26" s="37">
        <f>SUM(ADM!K26,MARKETING!K26,COMERCIAL!K26,OPERAÇÕES!K26,'FAVELA 3D'!K26)</f>
        <v>3000</v>
      </c>
      <c r="L26" s="37">
        <f>SUM(ADM!L26,MARKETING!L26,COMERCIAL!L26,OPERAÇÕES!L26,'FAVELA 3D'!L26)</f>
        <v>3000</v>
      </c>
      <c r="M26" s="37">
        <f>SUM(ADM!M26,MARKETING!M26,COMERCIAL!M26,OPERAÇÕES!M26,'FAVELA 3D'!M26)</f>
        <v>3000</v>
      </c>
      <c r="N26" s="37">
        <f>SUM(ADM!N26,MARKETING!N26,COMERCIAL!N26,OPERAÇÕES!N26,'FAVELA 3D'!N26)</f>
        <v>3000</v>
      </c>
      <c r="O26" s="215">
        <f t="shared" si="6"/>
        <v>36000</v>
      </c>
    </row>
    <row r="27" spans="2:15" s="9" customFormat="1" ht="16.5" x14ac:dyDescent="0.25">
      <c r="B27" s="12" t="s">
        <v>50</v>
      </c>
      <c r="C27" s="37">
        <f>SUM(ADM!C27,MARKETING!C27,COMERCIAL!C27,OPERAÇÕES!C27,'FAVELA 3D'!C27)</f>
        <v>0</v>
      </c>
      <c r="D27" s="37">
        <f>SUM(ADM!D27,MARKETING!D27,COMERCIAL!D27,OPERAÇÕES!D27,'FAVELA 3D'!D27)</f>
        <v>0</v>
      </c>
      <c r="E27" s="37">
        <f>SUM(ADM!E27,MARKETING!E27,COMERCIAL!E27,OPERAÇÕES!E27,'FAVELA 3D'!E27)</f>
        <v>0</v>
      </c>
      <c r="F27" s="37">
        <f>SUM(ADM!F27,MARKETING!F27,COMERCIAL!F27,OPERAÇÕES!F27,'FAVELA 3D'!F27)</f>
        <v>0</v>
      </c>
      <c r="G27" s="37">
        <f>SUM(ADM!G27,MARKETING!G27,COMERCIAL!G27,OPERAÇÕES!G27,'FAVELA 3D'!G27)</f>
        <v>0</v>
      </c>
      <c r="H27" s="37">
        <f>SUM(ADM!H27,MARKETING!H27,COMERCIAL!H27,OPERAÇÕES!H27,'FAVELA 3D'!H27)</f>
        <v>0</v>
      </c>
      <c r="I27" s="37">
        <f>SUM(ADM!I27,MARKETING!I27,COMERCIAL!I27,OPERAÇÕES!I27,'FAVELA 3D'!I27)</f>
        <v>0</v>
      </c>
      <c r="J27" s="37">
        <f>SUM(ADM!J27,MARKETING!J27,COMERCIAL!J27,OPERAÇÕES!J27,'FAVELA 3D'!J27)</f>
        <v>0</v>
      </c>
      <c r="K27" s="37">
        <f>SUM(ADM!K27,MARKETING!K27,COMERCIAL!K27,OPERAÇÕES!K27,'FAVELA 3D'!K27)</f>
        <v>0</v>
      </c>
      <c r="L27" s="37">
        <f>SUM(ADM!L27,MARKETING!L27,COMERCIAL!L27,OPERAÇÕES!L27,'FAVELA 3D'!L27)</f>
        <v>0</v>
      </c>
      <c r="M27" s="37">
        <f>SUM(ADM!M27,MARKETING!M27,COMERCIAL!M27,OPERAÇÕES!M27,'FAVELA 3D'!M27)</f>
        <v>0</v>
      </c>
      <c r="N27" s="37">
        <f>SUM(ADM!N27,MARKETING!N27,COMERCIAL!N27,OPERAÇÕES!N27,'FAVELA 3D'!N27)</f>
        <v>0</v>
      </c>
      <c r="O27" s="215">
        <f t="shared" si="6"/>
        <v>0</v>
      </c>
    </row>
    <row r="28" spans="2:15" s="42" customFormat="1" ht="19.5" x14ac:dyDescent="0.4">
      <c r="B28" s="10" t="s">
        <v>51</v>
      </c>
      <c r="C28" s="40">
        <f>SUM(C29:C32)</f>
        <v>53500</v>
      </c>
      <c r="D28" s="40">
        <f t="shared" ref="D28:N28" si="9">SUM(D29:D32)</f>
        <v>53500</v>
      </c>
      <c r="E28" s="40">
        <f t="shared" si="9"/>
        <v>53500</v>
      </c>
      <c r="F28" s="40">
        <f t="shared" si="9"/>
        <v>53500</v>
      </c>
      <c r="G28" s="40">
        <f t="shared" si="9"/>
        <v>53500</v>
      </c>
      <c r="H28" s="40">
        <f t="shared" si="9"/>
        <v>53500</v>
      </c>
      <c r="I28" s="40">
        <f t="shared" si="9"/>
        <v>53500</v>
      </c>
      <c r="J28" s="40">
        <f t="shared" si="9"/>
        <v>53500</v>
      </c>
      <c r="K28" s="40">
        <f t="shared" si="9"/>
        <v>53500</v>
      </c>
      <c r="L28" s="40">
        <f t="shared" si="9"/>
        <v>53500</v>
      </c>
      <c r="M28" s="40">
        <f t="shared" si="9"/>
        <v>53500</v>
      </c>
      <c r="N28" s="40">
        <f t="shared" si="9"/>
        <v>53500</v>
      </c>
      <c r="O28" s="214">
        <f>SUM(C28:N28)</f>
        <v>642000</v>
      </c>
    </row>
    <row r="29" spans="2:15" s="9" customFormat="1" ht="16.5" x14ac:dyDescent="0.25">
      <c r="B29" s="12" t="s">
        <v>52</v>
      </c>
      <c r="C29" s="37">
        <f>SUM(ADM!C29,MARKETING!C29,COMERCIAL!C29,OPERAÇÕES!C29,'FAVELA 3D'!C29)</f>
        <v>53500</v>
      </c>
      <c r="D29" s="37">
        <f>SUM(ADM!D29,MARKETING!D29,COMERCIAL!D29,OPERAÇÕES!D29,'FAVELA 3D'!D29)</f>
        <v>53500</v>
      </c>
      <c r="E29" s="37">
        <f>SUM(ADM!E29,MARKETING!E29,COMERCIAL!E29,OPERAÇÕES!E29,'FAVELA 3D'!E29)</f>
        <v>53500</v>
      </c>
      <c r="F29" s="37">
        <f>SUM(ADM!F29,MARKETING!F29,COMERCIAL!F29,OPERAÇÕES!F29,'FAVELA 3D'!F29)</f>
        <v>53500</v>
      </c>
      <c r="G29" s="37">
        <f>SUM(ADM!G29,MARKETING!G29,COMERCIAL!G29,OPERAÇÕES!G29,'FAVELA 3D'!G29)</f>
        <v>53500</v>
      </c>
      <c r="H29" s="37">
        <f>SUM(ADM!H29,MARKETING!H29,COMERCIAL!H29,OPERAÇÕES!H29,'FAVELA 3D'!H29)</f>
        <v>53500</v>
      </c>
      <c r="I29" s="37">
        <f>SUM(ADM!I29,MARKETING!I29,COMERCIAL!I29,OPERAÇÕES!I29,'FAVELA 3D'!I29)</f>
        <v>53500</v>
      </c>
      <c r="J29" s="37">
        <f>SUM(ADM!J29,MARKETING!J29,COMERCIAL!J29,OPERAÇÕES!J29,'FAVELA 3D'!J29)</f>
        <v>53500</v>
      </c>
      <c r="K29" s="37">
        <f>SUM(ADM!K29,MARKETING!K29,COMERCIAL!K29,OPERAÇÕES!K29,'FAVELA 3D'!K29)</f>
        <v>53500</v>
      </c>
      <c r="L29" s="37">
        <f>SUM(ADM!L29,MARKETING!L29,COMERCIAL!L29,OPERAÇÕES!L29,'FAVELA 3D'!L29)</f>
        <v>53500</v>
      </c>
      <c r="M29" s="37">
        <f>SUM(ADM!M29,MARKETING!M29,COMERCIAL!M29,OPERAÇÕES!M29,'FAVELA 3D'!M29)</f>
        <v>53500</v>
      </c>
      <c r="N29" s="37">
        <f>SUM(ADM!N29,MARKETING!N29,COMERCIAL!N29,OPERAÇÕES!N29,'FAVELA 3D'!N29)</f>
        <v>53500</v>
      </c>
      <c r="O29" s="215">
        <f>SUM(C29:N29)</f>
        <v>642000</v>
      </c>
    </row>
    <row r="30" spans="2:15" s="9" customFormat="1" ht="16.5" x14ac:dyDescent="0.25">
      <c r="B30" s="12" t="s">
        <v>53</v>
      </c>
      <c r="C30" s="37">
        <f>SUM(ADM!C30,MARKETING!C30,COMERCIAL!C30,OPERAÇÕES!C30,'FAVELA 3D'!C30)</f>
        <v>0</v>
      </c>
      <c r="D30" s="37">
        <f>SUM(ADM!D30,MARKETING!D30,COMERCIAL!D30,OPERAÇÕES!D30,'FAVELA 3D'!D30)</f>
        <v>0</v>
      </c>
      <c r="E30" s="37">
        <f>SUM(ADM!E30,MARKETING!E30,COMERCIAL!E30,OPERAÇÕES!E30,'FAVELA 3D'!E30)</f>
        <v>0</v>
      </c>
      <c r="F30" s="37">
        <f>SUM(ADM!F30,MARKETING!F30,COMERCIAL!F30,OPERAÇÕES!F30,'FAVELA 3D'!F30)</f>
        <v>0</v>
      </c>
      <c r="G30" s="37">
        <f>SUM(ADM!G30,MARKETING!G30,COMERCIAL!G30,OPERAÇÕES!G30,'FAVELA 3D'!G30)</f>
        <v>0</v>
      </c>
      <c r="H30" s="37">
        <f>SUM(ADM!H30,MARKETING!H30,COMERCIAL!H30,OPERAÇÕES!H30,'FAVELA 3D'!H30)</f>
        <v>0</v>
      </c>
      <c r="I30" s="37">
        <f>SUM(ADM!I30,MARKETING!I30,COMERCIAL!I30,OPERAÇÕES!I30,'FAVELA 3D'!I30)</f>
        <v>0</v>
      </c>
      <c r="J30" s="37">
        <f>SUM(ADM!J30,MARKETING!J30,COMERCIAL!J30,OPERAÇÕES!J30,'FAVELA 3D'!J30)</f>
        <v>0</v>
      </c>
      <c r="K30" s="37">
        <f>SUM(ADM!K30,MARKETING!K30,COMERCIAL!K30,OPERAÇÕES!K30,'FAVELA 3D'!K30)</f>
        <v>0</v>
      </c>
      <c r="L30" s="37">
        <f>SUM(ADM!L30,MARKETING!L30,COMERCIAL!L30,OPERAÇÕES!L30,'FAVELA 3D'!L30)</f>
        <v>0</v>
      </c>
      <c r="M30" s="37">
        <f>SUM(ADM!M30,MARKETING!M30,COMERCIAL!M30,OPERAÇÕES!M30,'FAVELA 3D'!M30)</f>
        <v>0</v>
      </c>
      <c r="N30" s="37">
        <f>SUM(ADM!N30,MARKETING!N30,COMERCIAL!N30,OPERAÇÕES!N30,'FAVELA 3D'!N30)</f>
        <v>0</v>
      </c>
      <c r="O30" s="215">
        <f t="shared" si="6"/>
        <v>0</v>
      </c>
    </row>
    <row r="31" spans="2:15" s="9" customFormat="1" ht="16.5" x14ac:dyDescent="0.25">
      <c r="B31" s="12" t="s">
        <v>54</v>
      </c>
      <c r="C31" s="37">
        <f>SUM(ADM!C31,MARKETING!C31,COMERCIAL!C31,OPERAÇÕES!C31,'FAVELA 3D'!C31)</f>
        <v>0</v>
      </c>
      <c r="D31" s="37">
        <f>SUM(ADM!D31,MARKETING!D31,COMERCIAL!D31,OPERAÇÕES!D31,'FAVELA 3D'!D31)</f>
        <v>0</v>
      </c>
      <c r="E31" s="37">
        <f>SUM(ADM!E31,MARKETING!E31,COMERCIAL!E31,OPERAÇÕES!E31,'FAVELA 3D'!E31)</f>
        <v>0</v>
      </c>
      <c r="F31" s="37">
        <f>SUM(ADM!F31,MARKETING!F31,COMERCIAL!F31,OPERAÇÕES!F31,'FAVELA 3D'!F31)</f>
        <v>0</v>
      </c>
      <c r="G31" s="37">
        <f>SUM(ADM!G31,MARKETING!G31,COMERCIAL!G31,OPERAÇÕES!G31,'FAVELA 3D'!G31)</f>
        <v>0</v>
      </c>
      <c r="H31" s="37">
        <f>SUM(ADM!H31,MARKETING!H31,COMERCIAL!H31,OPERAÇÕES!H31,'FAVELA 3D'!H31)</f>
        <v>0</v>
      </c>
      <c r="I31" s="37">
        <f>SUM(ADM!I31,MARKETING!I31,COMERCIAL!I31,OPERAÇÕES!I31,'FAVELA 3D'!I31)</f>
        <v>0</v>
      </c>
      <c r="J31" s="37">
        <f>SUM(ADM!J31,MARKETING!J31,COMERCIAL!J31,OPERAÇÕES!J31,'FAVELA 3D'!J31)</f>
        <v>0</v>
      </c>
      <c r="K31" s="37">
        <f>SUM(ADM!K31,MARKETING!K31,COMERCIAL!K31,OPERAÇÕES!K31,'FAVELA 3D'!K31)</f>
        <v>0</v>
      </c>
      <c r="L31" s="37">
        <f>SUM(ADM!L31,MARKETING!L31,COMERCIAL!L31,OPERAÇÕES!L31,'FAVELA 3D'!L31)</f>
        <v>0</v>
      </c>
      <c r="M31" s="37">
        <f>SUM(ADM!M31,MARKETING!M31,COMERCIAL!M31,OPERAÇÕES!M31,'FAVELA 3D'!M31)</f>
        <v>0</v>
      </c>
      <c r="N31" s="37">
        <f>SUM(ADM!N31,MARKETING!N31,COMERCIAL!N31,OPERAÇÕES!N31,'FAVELA 3D'!N31)</f>
        <v>0</v>
      </c>
      <c r="O31" s="215">
        <f t="shared" si="6"/>
        <v>0</v>
      </c>
    </row>
    <row r="32" spans="2:15" s="9" customFormat="1" ht="16.5" x14ac:dyDescent="0.25">
      <c r="B32" s="12" t="s">
        <v>55</v>
      </c>
      <c r="C32" s="37">
        <f>SUM(ADM!C32,MARKETING!C32,COMERCIAL!C32,OPERAÇÕES!C32,'FAVELA 3D'!C32)</f>
        <v>0</v>
      </c>
      <c r="D32" s="37">
        <f>SUM(ADM!D32,MARKETING!D32,COMERCIAL!D32,OPERAÇÕES!D32,'FAVELA 3D'!D32)</f>
        <v>0</v>
      </c>
      <c r="E32" s="37">
        <f>SUM(ADM!E32,MARKETING!E32,COMERCIAL!E32,OPERAÇÕES!E32,'FAVELA 3D'!E32)</f>
        <v>0</v>
      </c>
      <c r="F32" s="37">
        <f>SUM(ADM!F32,MARKETING!F32,COMERCIAL!F32,OPERAÇÕES!F32,'FAVELA 3D'!F32)</f>
        <v>0</v>
      </c>
      <c r="G32" s="37">
        <f>SUM(ADM!G32,MARKETING!G32,COMERCIAL!G32,OPERAÇÕES!G32,'FAVELA 3D'!G32)</f>
        <v>0</v>
      </c>
      <c r="H32" s="37">
        <f>SUM(ADM!H32,MARKETING!H32,COMERCIAL!H32,OPERAÇÕES!H32,'FAVELA 3D'!H32)</f>
        <v>0</v>
      </c>
      <c r="I32" s="37">
        <f>SUM(ADM!I32,MARKETING!I32,COMERCIAL!I32,OPERAÇÕES!I32,'FAVELA 3D'!I32)</f>
        <v>0</v>
      </c>
      <c r="J32" s="37">
        <f>SUM(ADM!J32,MARKETING!J32,COMERCIAL!J32,OPERAÇÕES!J32,'FAVELA 3D'!J32)</f>
        <v>0</v>
      </c>
      <c r="K32" s="37">
        <f>SUM(ADM!K32,MARKETING!K32,COMERCIAL!K32,OPERAÇÕES!K32,'FAVELA 3D'!K32)</f>
        <v>0</v>
      </c>
      <c r="L32" s="37">
        <f>SUM(ADM!L32,MARKETING!L32,COMERCIAL!L32,OPERAÇÕES!L32,'FAVELA 3D'!L32)</f>
        <v>0</v>
      </c>
      <c r="M32" s="37">
        <f>SUM(ADM!M32,MARKETING!M32,COMERCIAL!M32,OPERAÇÕES!M32,'FAVELA 3D'!M32)</f>
        <v>0</v>
      </c>
      <c r="N32" s="37">
        <f>SUM(ADM!N32,MARKETING!N32,COMERCIAL!N32,OPERAÇÕES!N32,'FAVELA 3D'!N32)</f>
        <v>0</v>
      </c>
      <c r="O32" s="215">
        <f t="shared" si="6"/>
        <v>0</v>
      </c>
    </row>
    <row r="33" spans="2:15" s="42" customFormat="1" ht="19.5" x14ac:dyDescent="0.4">
      <c r="B33" s="10" t="s">
        <v>56</v>
      </c>
      <c r="C33" s="40">
        <f>SUM(C34:C36)</f>
        <v>174000</v>
      </c>
      <c r="D33" s="40">
        <f t="shared" ref="D33:N33" si="10">SUM(D34:D36)</f>
        <v>90000</v>
      </c>
      <c r="E33" s="40">
        <f t="shared" si="10"/>
        <v>0</v>
      </c>
      <c r="F33" s="40">
        <f t="shared" si="10"/>
        <v>0</v>
      </c>
      <c r="G33" s="40">
        <f t="shared" si="10"/>
        <v>0</v>
      </c>
      <c r="H33" s="40">
        <f t="shared" si="10"/>
        <v>149000</v>
      </c>
      <c r="I33" s="40">
        <f t="shared" si="10"/>
        <v>0</v>
      </c>
      <c r="J33" s="40">
        <f t="shared" si="10"/>
        <v>0</v>
      </c>
      <c r="K33" s="40">
        <f t="shared" si="10"/>
        <v>0</v>
      </c>
      <c r="L33" s="40">
        <f t="shared" si="10"/>
        <v>0</v>
      </c>
      <c r="M33" s="40">
        <f t="shared" si="10"/>
        <v>0</v>
      </c>
      <c r="N33" s="40">
        <f t="shared" si="10"/>
        <v>0</v>
      </c>
      <c r="O33" s="214">
        <f t="shared" si="6"/>
        <v>413000</v>
      </c>
    </row>
    <row r="34" spans="2:15" s="9" customFormat="1" ht="16.5" x14ac:dyDescent="0.25">
      <c r="B34" s="12" t="s">
        <v>57</v>
      </c>
      <c r="C34" s="37">
        <f>SUM(ADM!C34,MARKETING!C34,COMERCIAL!C34,OPERAÇÕES!C34,'FAVELA 3D'!C34)</f>
        <v>0</v>
      </c>
      <c r="D34" s="37">
        <f>SUM(ADM!D34,MARKETING!D34,COMERCIAL!D34,OPERAÇÕES!D34,'FAVELA 3D'!D34)</f>
        <v>0</v>
      </c>
      <c r="E34" s="37">
        <f>SUM(ADM!E34,MARKETING!E34,COMERCIAL!E34,OPERAÇÕES!E34,'FAVELA 3D'!E34)</f>
        <v>0</v>
      </c>
      <c r="F34" s="37">
        <f>SUM(ADM!F34,MARKETING!F34,COMERCIAL!F34,OPERAÇÕES!F34,'FAVELA 3D'!F34)</f>
        <v>0</v>
      </c>
      <c r="G34" s="37">
        <f>SUM(ADM!G34,MARKETING!G34,COMERCIAL!G34,OPERAÇÕES!G34,'FAVELA 3D'!G34)</f>
        <v>0</v>
      </c>
      <c r="H34" s="37">
        <f>SUM(ADM!H34,MARKETING!H34,COMERCIAL!H34,OPERAÇÕES!H34,'FAVELA 3D'!H34)</f>
        <v>0</v>
      </c>
      <c r="I34" s="37">
        <f>SUM(ADM!I34,MARKETING!I34,COMERCIAL!I34,OPERAÇÕES!I34,'FAVELA 3D'!I34)</f>
        <v>0</v>
      </c>
      <c r="J34" s="37">
        <f>SUM(ADM!J34,MARKETING!J34,COMERCIAL!J34,OPERAÇÕES!J34,'FAVELA 3D'!J34)</f>
        <v>0</v>
      </c>
      <c r="K34" s="37">
        <f>SUM(ADM!K34,MARKETING!K34,COMERCIAL!K34,OPERAÇÕES!K34,'FAVELA 3D'!K34)</f>
        <v>0</v>
      </c>
      <c r="L34" s="37">
        <f>SUM(ADM!L34,MARKETING!L34,COMERCIAL!L34,OPERAÇÕES!L34,'FAVELA 3D'!L34)</f>
        <v>0</v>
      </c>
      <c r="M34" s="37">
        <f>SUM(ADM!M34,MARKETING!M34,COMERCIAL!M34,OPERAÇÕES!M34,'FAVELA 3D'!M34)</f>
        <v>0</v>
      </c>
      <c r="N34" s="37">
        <f>SUM(ADM!N34,MARKETING!N34,COMERCIAL!N34,OPERAÇÕES!N34,'FAVELA 3D'!N34)</f>
        <v>0</v>
      </c>
      <c r="O34" s="215">
        <f t="shared" si="6"/>
        <v>0</v>
      </c>
    </row>
    <row r="35" spans="2:15" s="9" customFormat="1" ht="16.5" x14ac:dyDescent="0.25">
      <c r="B35" s="12" t="s">
        <v>58</v>
      </c>
      <c r="C35" s="37">
        <f>SUM(ADM!C35,MARKETING!C35,COMERCIAL!C35,OPERAÇÕES!C35,'FAVELA 3D'!C35)</f>
        <v>0</v>
      </c>
      <c r="D35" s="37">
        <f>SUM(ADM!D35,MARKETING!D35,COMERCIAL!D35,OPERAÇÕES!D35,'FAVELA 3D'!D35)</f>
        <v>0</v>
      </c>
      <c r="E35" s="37">
        <f>SUM(ADM!E35,MARKETING!E35,COMERCIAL!E35,OPERAÇÕES!E35,'FAVELA 3D'!E35)</f>
        <v>0</v>
      </c>
      <c r="F35" s="37">
        <f>SUM(ADM!F35,MARKETING!F35,COMERCIAL!F35,OPERAÇÕES!F35,'FAVELA 3D'!F35)</f>
        <v>0</v>
      </c>
      <c r="G35" s="37">
        <f>SUM(ADM!G35,MARKETING!G35,COMERCIAL!G35,OPERAÇÕES!G35,'FAVELA 3D'!G35)</f>
        <v>0</v>
      </c>
      <c r="H35" s="37">
        <f>SUM(ADM!H35,MARKETING!H35,COMERCIAL!H35,OPERAÇÕES!H35,'FAVELA 3D'!H35)</f>
        <v>0</v>
      </c>
      <c r="I35" s="37">
        <f>SUM(ADM!I35,MARKETING!I35,COMERCIAL!I35,OPERAÇÕES!I35,'FAVELA 3D'!I35)</f>
        <v>0</v>
      </c>
      <c r="J35" s="37">
        <f>SUM(ADM!J35,MARKETING!J35,COMERCIAL!J35,OPERAÇÕES!J35,'FAVELA 3D'!J35)</f>
        <v>0</v>
      </c>
      <c r="K35" s="37">
        <f>SUM(ADM!K35,MARKETING!K35,COMERCIAL!K35,OPERAÇÕES!K35,'FAVELA 3D'!K35)</f>
        <v>0</v>
      </c>
      <c r="L35" s="37">
        <f>SUM(ADM!L35,MARKETING!L35,COMERCIAL!L35,OPERAÇÕES!L35,'FAVELA 3D'!L35)</f>
        <v>0</v>
      </c>
      <c r="M35" s="37">
        <f>SUM(ADM!M35,MARKETING!M35,COMERCIAL!M35,OPERAÇÕES!M35,'FAVELA 3D'!M35)</f>
        <v>0</v>
      </c>
      <c r="N35" s="37">
        <f>SUM(ADM!N35,MARKETING!N35,COMERCIAL!N35,OPERAÇÕES!N35,'FAVELA 3D'!N35)</f>
        <v>0</v>
      </c>
      <c r="O35" s="215">
        <f t="shared" si="6"/>
        <v>0</v>
      </c>
    </row>
    <row r="36" spans="2:15" s="9" customFormat="1" ht="16.5" x14ac:dyDescent="0.25">
      <c r="B36" s="12" t="s">
        <v>59</v>
      </c>
      <c r="C36" s="37">
        <f>SUM(ADM!C36,MARKETING!C36,COMERCIAL!C36,OPERAÇÕES!C36,'FAVELA 3D'!C36)</f>
        <v>174000</v>
      </c>
      <c r="D36" s="37">
        <f>SUM(ADM!D36,MARKETING!D36,COMERCIAL!D36,OPERAÇÕES!D36,'FAVELA 3D'!D36)</f>
        <v>90000</v>
      </c>
      <c r="E36" s="37">
        <f>SUM(ADM!E36,MARKETING!E36,COMERCIAL!E36,OPERAÇÕES!E36,'FAVELA 3D'!E36)</f>
        <v>0</v>
      </c>
      <c r="F36" s="37">
        <f>SUM(ADM!F36,MARKETING!F36,COMERCIAL!F36,OPERAÇÕES!F36,'FAVELA 3D'!F36)</f>
        <v>0</v>
      </c>
      <c r="G36" s="37">
        <f>SUM(ADM!G36,MARKETING!G36,COMERCIAL!G36,OPERAÇÕES!G36,'FAVELA 3D'!G36)</f>
        <v>0</v>
      </c>
      <c r="H36" s="37">
        <f>SUM(ADM!H36,MARKETING!H36,COMERCIAL!H36,OPERAÇÕES!H36,'FAVELA 3D'!H36)</f>
        <v>149000</v>
      </c>
      <c r="I36" s="37">
        <f>SUM(ADM!I36,MARKETING!I36,COMERCIAL!I36,OPERAÇÕES!I36,'FAVELA 3D'!I36)</f>
        <v>0</v>
      </c>
      <c r="J36" s="37">
        <f>SUM(ADM!J36,MARKETING!J36,COMERCIAL!J36,OPERAÇÕES!J36,'FAVELA 3D'!J36)</f>
        <v>0</v>
      </c>
      <c r="K36" s="37">
        <f>SUM(ADM!K36,MARKETING!K36,COMERCIAL!K36,OPERAÇÕES!K36,'FAVELA 3D'!K36)</f>
        <v>0</v>
      </c>
      <c r="L36" s="37">
        <f>SUM(ADM!L36,MARKETING!L36,COMERCIAL!L36,OPERAÇÕES!L36,'FAVELA 3D'!L36)</f>
        <v>0</v>
      </c>
      <c r="M36" s="37">
        <f>SUM(ADM!M36,MARKETING!M36,COMERCIAL!M36,OPERAÇÕES!M36,'FAVELA 3D'!M36)</f>
        <v>0</v>
      </c>
      <c r="N36" s="37">
        <f>SUM(ADM!N36,MARKETING!N36,COMERCIAL!N36,OPERAÇÕES!N36,'FAVELA 3D'!N36)</f>
        <v>0</v>
      </c>
      <c r="O36" s="215">
        <f t="shared" si="6"/>
        <v>413000</v>
      </c>
    </row>
    <row r="37" spans="2:15" s="42" customFormat="1" ht="19.5" x14ac:dyDescent="0.4">
      <c r="B37" s="10" t="s">
        <v>60</v>
      </c>
      <c r="C37" s="40">
        <f>SUM(C38:C39)</f>
        <v>16500</v>
      </c>
      <c r="D37" s="40">
        <f t="shared" ref="D37:N37" si="11">SUM(D38:D39)</f>
        <v>29500</v>
      </c>
      <c r="E37" s="40">
        <f t="shared" si="11"/>
        <v>34400</v>
      </c>
      <c r="F37" s="40">
        <f t="shared" si="11"/>
        <v>34400</v>
      </c>
      <c r="G37" s="40">
        <f t="shared" si="11"/>
        <v>34400</v>
      </c>
      <c r="H37" s="40">
        <f t="shared" si="11"/>
        <v>34400</v>
      </c>
      <c r="I37" s="40">
        <f t="shared" si="11"/>
        <v>29500</v>
      </c>
      <c r="J37" s="40">
        <f t="shared" si="11"/>
        <v>29500</v>
      </c>
      <c r="K37" s="40">
        <f>SUM(K38:K39)</f>
        <v>29500</v>
      </c>
      <c r="L37" s="40">
        <f t="shared" si="11"/>
        <v>29500</v>
      </c>
      <c r="M37" s="40">
        <f t="shared" si="11"/>
        <v>29500</v>
      </c>
      <c r="N37" s="40">
        <f t="shared" si="11"/>
        <v>16500</v>
      </c>
      <c r="O37" s="214">
        <f>SUM(C37:N37)</f>
        <v>347600</v>
      </c>
    </row>
    <row r="38" spans="2:15" s="9" customFormat="1" ht="16.5" x14ac:dyDescent="0.25">
      <c r="B38" s="12" t="s">
        <v>61</v>
      </c>
      <c r="C38" s="37">
        <f>SUM(ADM!C38,MARKETING!C38,COMERCIAL!C38,OPERAÇÕES!C38,'FAVELA 3D'!C38)</f>
        <v>16500</v>
      </c>
      <c r="D38" s="37">
        <f>SUM(ADM!D38,MARKETING!D38,COMERCIAL!D38,OPERAÇÕES!D38,'FAVELA 3D'!D38)</f>
        <v>16500</v>
      </c>
      <c r="E38" s="37">
        <f>SUM(ADM!E38,MARKETING!E38,COMERCIAL!E38,OPERAÇÕES!E38,'FAVELA 3D'!E38)</f>
        <v>21400</v>
      </c>
      <c r="F38" s="37">
        <f>SUM(ADM!F38,MARKETING!F38,COMERCIAL!F38,OPERAÇÕES!F38,'FAVELA 3D'!F38)</f>
        <v>21400</v>
      </c>
      <c r="G38" s="37">
        <f>SUM(ADM!G38,MARKETING!G38,COMERCIAL!G38,OPERAÇÕES!G38,'FAVELA 3D'!G38)</f>
        <v>21400</v>
      </c>
      <c r="H38" s="37">
        <f>SUM(ADM!H38,MARKETING!H38,COMERCIAL!H38,OPERAÇÕES!H38,'FAVELA 3D'!H38)</f>
        <v>21400</v>
      </c>
      <c r="I38" s="37">
        <f>SUM(ADM!I38,MARKETING!I38,COMERCIAL!I38,OPERAÇÕES!I38,'FAVELA 3D'!I38)</f>
        <v>16500</v>
      </c>
      <c r="J38" s="37">
        <f>SUM(ADM!J38,MARKETING!J38,COMERCIAL!J38,OPERAÇÕES!J38,'FAVELA 3D'!J38)</f>
        <v>16500</v>
      </c>
      <c r="K38" s="37">
        <f>SUM(ADM!K38,MARKETING!K38,COMERCIAL!K38,OPERAÇÕES!K38,'FAVELA 3D'!K38)</f>
        <v>16500</v>
      </c>
      <c r="L38" s="37">
        <f>SUM(ADM!L38,MARKETING!L38,COMERCIAL!L38,OPERAÇÕES!L38,'FAVELA 3D'!L38)</f>
        <v>16500</v>
      </c>
      <c r="M38" s="37">
        <f>SUM(ADM!M38,MARKETING!M38,COMERCIAL!M38,OPERAÇÕES!M38,'FAVELA 3D'!M38)</f>
        <v>16500</v>
      </c>
      <c r="N38" s="37">
        <f>SUM(ADM!N38,MARKETING!N38,COMERCIAL!N38,OPERAÇÕES!N38,'FAVELA 3D'!N38)</f>
        <v>16500</v>
      </c>
      <c r="O38" s="215">
        <f t="shared" si="6"/>
        <v>217600</v>
      </c>
    </row>
    <row r="39" spans="2:15" s="9" customFormat="1" ht="16.5" x14ac:dyDescent="0.25">
      <c r="B39" s="12" t="s">
        <v>62</v>
      </c>
      <c r="C39" s="37">
        <f>SUM(ADM!C39,MARKETING!C39,COMERCIAL!C39,OPERAÇÕES!C39,'FAVELA 3D'!C39)</f>
        <v>0</v>
      </c>
      <c r="D39" s="37">
        <f>SUM(ADM!D39,MARKETING!D39,COMERCIAL!D39,OPERAÇÕES!D39,'FAVELA 3D'!D39)</f>
        <v>13000</v>
      </c>
      <c r="E39" s="37">
        <f>SUM(ADM!E39,MARKETING!E39,COMERCIAL!E39,OPERAÇÕES!E39,'FAVELA 3D'!E39)</f>
        <v>13000</v>
      </c>
      <c r="F39" s="37">
        <f>SUM(ADM!F39,MARKETING!F39,COMERCIAL!F39,OPERAÇÕES!F39,'FAVELA 3D'!F39)</f>
        <v>13000</v>
      </c>
      <c r="G39" s="37">
        <f>SUM(ADM!G39,MARKETING!G39,COMERCIAL!G39,OPERAÇÕES!G39,'FAVELA 3D'!G39)</f>
        <v>13000</v>
      </c>
      <c r="H39" s="37">
        <f>SUM(ADM!H39,MARKETING!H39,COMERCIAL!H39,OPERAÇÕES!H39,'FAVELA 3D'!H39)</f>
        <v>13000</v>
      </c>
      <c r="I39" s="37">
        <f>SUM(ADM!I39,MARKETING!I39,COMERCIAL!I39,OPERAÇÕES!I39,'FAVELA 3D'!I39)</f>
        <v>13000</v>
      </c>
      <c r="J39" s="37">
        <f>SUM(ADM!J39,MARKETING!J39,COMERCIAL!J39,OPERAÇÕES!J39,'FAVELA 3D'!J39)</f>
        <v>13000</v>
      </c>
      <c r="K39" s="37">
        <f>SUM(ADM!K39,MARKETING!K39,COMERCIAL!K39,OPERAÇÕES!K39,'FAVELA 3D'!K39)</f>
        <v>13000</v>
      </c>
      <c r="L39" s="37">
        <f>SUM(ADM!L39,MARKETING!L39,COMERCIAL!L39,OPERAÇÕES!L39,'FAVELA 3D'!L39)</f>
        <v>13000</v>
      </c>
      <c r="M39" s="37">
        <f>SUM(ADM!M39,MARKETING!M39,COMERCIAL!M39,OPERAÇÕES!M39,'FAVELA 3D'!M39)</f>
        <v>13000</v>
      </c>
      <c r="N39" s="37">
        <f>SUM(ADM!N39,MARKETING!N39,COMERCIAL!N39,OPERAÇÕES!N39,'FAVELA 3D'!N39)</f>
        <v>0</v>
      </c>
      <c r="O39" s="215">
        <f t="shared" si="6"/>
        <v>130000</v>
      </c>
    </row>
    <row r="40" spans="2:15" s="42" customFormat="1" ht="19.5" x14ac:dyDescent="0.4">
      <c r="B40" s="10" t="s">
        <v>63</v>
      </c>
      <c r="C40" s="40">
        <f>SUM(C41:C42)</f>
        <v>10000</v>
      </c>
      <c r="D40" s="40">
        <f t="shared" ref="D40:N40" si="12">SUM(D41:D42)</f>
        <v>10000</v>
      </c>
      <c r="E40" s="40">
        <f t="shared" si="12"/>
        <v>7900</v>
      </c>
      <c r="F40" s="40">
        <f t="shared" si="12"/>
        <v>6000</v>
      </c>
      <c r="G40" s="40">
        <f t="shared" si="12"/>
        <v>5900</v>
      </c>
      <c r="H40" s="40">
        <f t="shared" si="12"/>
        <v>5205</v>
      </c>
      <c r="I40" s="40">
        <f t="shared" si="12"/>
        <v>5040</v>
      </c>
      <c r="J40" s="40">
        <f t="shared" si="12"/>
        <v>5040</v>
      </c>
      <c r="K40" s="40">
        <f t="shared" ca="1" si="12"/>
        <v>0</v>
      </c>
      <c r="L40" s="40">
        <f t="shared" ca="1" si="12"/>
        <v>0</v>
      </c>
      <c r="M40" s="40">
        <f t="shared" ca="1" si="12"/>
        <v>0</v>
      </c>
      <c r="N40" s="40">
        <f t="shared" ca="1" si="12"/>
        <v>0</v>
      </c>
      <c r="O40" s="214">
        <f t="shared" ca="1" si="6"/>
        <v>55085</v>
      </c>
    </row>
    <row r="41" spans="2:15" s="9" customFormat="1" ht="16.5" x14ac:dyDescent="0.25">
      <c r="B41" s="12" t="s">
        <v>64</v>
      </c>
      <c r="C41" s="37">
        <f>SUM(ADM!C41,MARKETING!C41,COMERCIAL!C41,OPERAÇÕES!C41,'FAVELA 3D'!C41)</f>
        <v>10000</v>
      </c>
      <c r="D41" s="37">
        <f>SUM(ADM!D41,MARKETING!D41,COMERCIAL!D41,OPERAÇÕES!D41,'FAVELA 3D'!D41)</f>
        <v>10000</v>
      </c>
      <c r="E41" s="37">
        <f>SUM(ADM!E41,MARKETING!E41,COMERCIAL!E41,OPERAÇÕES!E41,'FAVELA 3D'!E41)</f>
        <v>7900</v>
      </c>
      <c r="F41" s="37">
        <f>SUM(ADM!F41,MARKETING!F41,COMERCIAL!F41,OPERAÇÕES!F41,'FAVELA 3D'!F41)</f>
        <v>6000</v>
      </c>
      <c r="G41" s="37">
        <f>SUM(ADM!G41,MARKETING!G41,COMERCIAL!G41,OPERAÇÕES!G41,'FAVELA 3D'!G41)</f>
        <v>5900</v>
      </c>
      <c r="H41" s="37">
        <f>SUM(ADM!H41,MARKETING!H41,COMERCIAL!H41,OPERAÇÕES!H41,'FAVELA 3D'!H41)</f>
        <v>5205</v>
      </c>
      <c r="I41" s="37">
        <f>SUM(ADM!I41,MARKETING!I41,COMERCIAL!I41,OPERAÇÕES!I41,'FAVELA 3D'!I41)</f>
        <v>5040</v>
      </c>
      <c r="J41" s="37">
        <f>SUM(ADM!J41,MARKETING!J41,COMERCIAL!J41,OPERAÇÕES!J41,'FAVELA 3D'!J41)</f>
        <v>5040</v>
      </c>
      <c r="K41" s="37">
        <f ca="1">SUM(ADM!K41,MARKETING!K41,COMERCIAL!K41,OPERAÇÕES!K41,'FAVELA 3D'!K41)</f>
        <v>10000</v>
      </c>
      <c r="L41" s="37">
        <f ca="1">SUM(ADM!L41,MARKETING!L41,COMERCIAL!L41,OPERAÇÕES!L41,'FAVELA 3D'!L41)</f>
        <v>10000</v>
      </c>
      <c r="M41" s="37">
        <f ca="1">SUM(ADM!M41,MARKETING!M41,COMERCIAL!M41,OPERAÇÕES!M41,'FAVELA 3D'!M41)</f>
        <v>10000</v>
      </c>
      <c r="N41" s="37">
        <f ca="1">SUM(ADM!N41,MARKETING!N41,COMERCIAL!N41,OPERAÇÕES!N41,'FAVELA 3D'!N41)</f>
        <v>10000</v>
      </c>
      <c r="O41" s="215">
        <f t="shared" ca="1" si="6"/>
        <v>55085</v>
      </c>
    </row>
    <row r="42" spans="2:15" s="9" customFormat="1" ht="16.5" x14ac:dyDescent="0.25">
      <c r="B42" s="12" t="s">
        <v>65</v>
      </c>
      <c r="C42" s="37">
        <f>SUM(ADM!C42,MARKETING!C42,COMERCIAL!C42,OPERAÇÕES!C42,'FAVELA 3D'!C42)</f>
        <v>0</v>
      </c>
      <c r="D42" s="37">
        <f>SUM(ADM!D42,MARKETING!D42,COMERCIAL!D42,OPERAÇÕES!D42,'FAVELA 3D'!D42)</f>
        <v>0</v>
      </c>
      <c r="E42" s="37">
        <f>SUM(ADM!E42,MARKETING!E42,COMERCIAL!E42,OPERAÇÕES!E42,'FAVELA 3D'!E42)</f>
        <v>0</v>
      </c>
      <c r="F42" s="37">
        <f>SUM(ADM!F42,MARKETING!F42,COMERCIAL!F42,OPERAÇÕES!F42,'FAVELA 3D'!F42)</f>
        <v>0</v>
      </c>
      <c r="G42" s="37">
        <f>SUM(ADM!G42,MARKETING!G42,COMERCIAL!G42,OPERAÇÕES!G42,'FAVELA 3D'!G42)</f>
        <v>0</v>
      </c>
      <c r="H42" s="37">
        <f>SUM(ADM!H42,MARKETING!H42,COMERCIAL!H42,OPERAÇÕES!H42,'FAVELA 3D'!H42)</f>
        <v>0</v>
      </c>
      <c r="I42" s="37">
        <f>SUM(ADM!I42,MARKETING!I42,COMERCIAL!I42,OPERAÇÕES!I42,'FAVELA 3D'!I42)</f>
        <v>0</v>
      </c>
      <c r="J42" s="37">
        <f>SUM(ADM!J42,MARKETING!J42,COMERCIAL!J42,OPERAÇÕES!J42,'FAVELA 3D'!J42)</f>
        <v>0</v>
      </c>
      <c r="K42" s="37">
        <f>SUM(ADM!K42,MARKETING!K42,COMERCIAL!K42,OPERAÇÕES!K42,'FAVELA 3D'!K42)</f>
        <v>0</v>
      </c>
      <c r="L42" s="37">
        <f>SUM(ADM!L42,MARKETING!L42,COMERCIAL!L42,OPERAÇÕES!L42,'FAVELA 3D'!L42)</f>
        <v>0</v>
      </c>
      <c r="M42" s="37">
        <f>SUM(ADM!M42,MARKETING!M42,COMERCIAL!M42,OPERAÇÕES!M42,'FAVELA 3D'!M42)</f>
        <v>0</v>
      </c>
      <c r="N42" s="37">
        <f>SUM(ADM!N42,MARKETING!N42,COMERCIAL!N42,OPERAÇÕES!N42,'FAVELA 3D'!N42)</f>
        <v>0</v>
      </c>
      <c r="O42" s="215">
        <f t="shared" si="6"/>
        <v>0</v>
      </c>
    </row>
    <row r="43" spans="2:15" s="42" customFormat="1" ht="19.5" x14ac:dyDescent="0.4">
      <c r="B43" s="10" t="s">
        <v>66</v>
      </c>
      <c r="C43" s="40">
        <f t="shared" ref="C43" si="13">SUM(C44:C46)</f>
        <v>5000</v>
      </c>
      <c r="D43" s="40">
        <f t="shared" ref="D43:N43" si="14">SUM(D44:D46)</f>
        <v>5000</v>
      </c>
      <c r="E43" s="40">
        <f t="shared" si="14"/>
        <v>5000</v>
      </c>
      <c r="F43" s="40">
        <f t="shared" si="14"/>
        <v>5000</v>
      </c>
      <c r="G43" s="40">
        <f t="shared" si="14"/>
        <v>5000</v>
      </c>
      <c r="H43" s="40">
        <f t="shared" si="14"/>
        <v>5000</v>
      </c>
      <c r="I43" s="40">
        <f t="shared" si="14"/>
        <v>5000</v>
      </c>
      <c r="J43" s="40">
        <f t="shared" si="14"/>
        <v>5000</v>
      </c>
      <c r="K43" s="40">
        <f t="shared" si="14"/>
        <v>5000</v>
      </c>
      <c r="L43" s="40">
        <f t="shared" si="14"/>
        <v>5000</v>
      </c>
      <c r="M43" s="40">
        <f t="shared" si="14"/>
        <v>5000</v>
      </c>
      <c r="N43" s="40">
        <f t="shared" si="14"/>
        <v>5000</v>
      </c>
      <c r="O43" s="214">
        <f t="shared" si="6"/>
        <v>60000</v>
      </c>
    </row>
    <row r="44" spans="2:15" s="9" customFormat="1" ht="16.5" x14ac:dyDescent="0.25">
      <c r="B44" s="47" t="s">
        <v>67</v>
      </c>
      <c r="C44" s="197">
        <f>SUM(ADM!C44,MARKETING!C44,COMERCIAL!C44,OPERAÇÕES!C44,'FAVELA 3D'!C44)</f>
        <v>0</v>
      </c>
      <c r="D44" s="197">
        <f>SUM(ADM!D44,MARKETING!D44,COMERCIAL!D44,OPERAÇÕES!D44,'FAVELA 3D'!D44)</f>
        <v>0</v>
      </c>
      <c r="E44" s="197">
        <f>SUM(ADM!E44,MARKETING!E44,COMERCIAL!E44,OPERAÇÕES!E44,'FAVELA 3D'!E44)</f>
        <v>0</v>
      </c>
      <c r="F44" s="197">
        <f>SUM(ADM!F44,MARKETING!F44,COMERCIAL!F44,OPERAÇÕES!F44,'FAVELA 3D'!F44)</f>
        <v>0</v>
      </c>
      <c r="G44" s="197">
        <f>SUM(ADM!G44,MARKETING!G44,COMERCIAL!G44,OPERAÇÕES!G44,'FAVELA 3D'!G44)</f>
        <v>0</v>
      </c>
      <c r="H44" s="197">
        <f>SUM(ADM!H44,MARKETING!H44,COMERCIAL!H44,OPERAÇÕES!H44,'FAVELA 3D'!H44)</f>
        <v>0</v>
      </c>
      <c r="I44" s="197">
        <f>SUM(ADM!I44,MARKETING!I44,COMERCIAL!I44,OPERAÇÕES!I44,'FAVELA 3D'!I44)</f>
        <v>0</v>
      </c>
      <c r="J44" s="197">
        <f>SUM(ADM!J44,MARKETING!J44,COMERCIAL!J44,OPERAÇÕES!J44,'FAVELA 3D'!J44)</f>
        <v>0</v>
      </c>
      <c r="K44" s="197">
        <f>SUM(ADM!K44,MARKETING!K44,COMERCIAL!K44,OPERAÇÕES!K44,'FAVELA 3D'!K44)</f>
        <v>0</v>
      </c>
      <c r="L44" s="197">
        <f>SUM(ADM!L44,MARKETING!L44,COMERCIAL!L44,OPERAÇÕES!L44,'FAVELA 3D'!L44)</f>
        <v>0</v>
      </c>
      <c r="M44" s="197">
        <f>SUM(ADM!M44,MARKETING!M44,COMERCIAL!M44,OPERAÇÕES!M44,'FAVELA 3D'!M44)</f>
        <v>0</v>
      </c>
      <c r="N44" s="197">
        <f>SUM(ADM!N44,MARKETING!N44,COMERCIAL!N44,OPERAÇÕES!N44,'FAVELA 3D'!N44)</f>
        <v>0</v>
      </c>
      <c r="O44" s="216">
        <f>SUM(C44:N44)</f>
        <v>0</v>
      </c>
    </row>
    <row r="45" spans="2:15" s="9" customFormat="1" ht="16.5" x14ac:dyDescent="0.25">
      <c r="B45" s="12" t="s">
        <v>68</v>
      </c>
      <c r="C45" s="37">
        <f>SUM(ADM!C45,MARKETING!C45,COMERCIAL!C45,OPERAÇÕES!C45,'FAVELA 3D'!C45)</f>
        <v>5000</v>
      </c>
      <c r="D45" s="37">
        <f>SUM(ADM!D45,MARKETING!D45,COMERCIAL!D45,OPERAÇÕES!D45,'FAVELA 3D'!D45)</f>
        <v>5000</v>
      </c>
      <c r="E45" s="37">
        <f>SUM(ADM!E45,MARKETING!E45,COMERCIAL!E45,OPERAÇÕES!E45,'FAVELA 3D'!E45)</f>
        <v>5000</v>
      </c>
      <c r="F45" s="37">
        <f>SUM(ADM!F45,MARKETING!F45,COMERCIAL!F45,OPERAÇÕES!F45,'FAVELA 3D'!F45)</f>
        <v>5000</v>
      </c>
      <c r="G45" s="37">
        <f>SUM(ADM!G45,MARKETING!G45,COMERCIAL!G45,OPERAÇÕES!G45,'FAVELA 3D'!G45)</f>
        <v>5000</v>
      </c>
      <c r="H45" s="37">
        <f>SUM(ADM!H45,MARKETING!H45,COMERCIAL!H45,OPERAÇÕES!H45,'FAVELA 3D'!H45)</f>
        <v>5000</v>
      </c>
      <c r="I45" s="37">
        <f>SUM(ADM!I45,MARKETING!I45,COMERCIAL!I45,OPERAÇÕES!I45,'FAVELA 3D'!I45)</f>
        <v>5000</v>
      </c>
      <c r="J45" s="37">
        <f>SUM(ADM!J45,MARKETING!J45,COMERCIAL!J45,OPERAÇÕES!J45,'FAVELA 3D'!J45)</f>
        <v>5000</v>
      </c>
      <c r="K45" s="37">
        <f>SUM(ADM!K45,MARKETING!K45,COMERCIAL!K45,OPERAÇÕES!K45,'FAVELA 3D'!K45)</f>
        <v>5000</v>
      </c>
      <c r="L45" s="37">
        <f>SUM(ADM!L45,MARKETING!L45,COMERCIAL!L45,OPERAÇÕES!L45,'FAVELA 3D'!L45)</f>
        <v>5000</v>
      </c>
      <c r="M45" s="37">
        <f>SUM(ADM!M45,MARKETING!M45,COMERCIAL!M45,OPERAÇÕES!M45,'FAVELA 3D'!M45)</f>
        <v>5000</v>
      </c>
      <c r="N45" s="37">
        <f>SUM(ADM!N45,MARKETING!N45,COMERCIAL!N45,OPERAÇÕES!N45,'FAVELA 3D'!N45)</f>
        <v>5000</v>
      </c>
      <c r="O45" s="215">
        <f t="shared" si="6"/>
        <v>60000</v>
      </c>
    </row>
    <row r="46" spans="2:15" s="9" customFormat="1" ht="16.5" x14ac:dyDescent="0.25">
      <c r="B46" s="12"/>
      <c r="C46" s="37">
        <f>SUM(ADM!C46,MARKETING!C46,COMERCIAL!C46,OPERAÇÕES!C46,'FAVELA 3D'!C46)</f>
        <v>0</v>
      </c>
      <c r="D46" s="37">
        <f>SUM(ADM!D46,MARKETING!D46,COMERCIAL!D46,OPERAÇÕES!D46,'FAVELA 3D'!D46)</f>
        <v>0</v>
      </c>
      <c r="E46" s="37">
        <f>SUM(ADM!E46,MARKETING!E46,COMERCIAL!E46,OPERAÇÕES!E46,'FAVELA 3D'!E46)</f>
        <v>0</v>
      </c>
      <c r="F46" s="37">
        <f>SUM(ADM!F46,MARKETING!F46,COMERCIAL!F46,OPERAÇÕES!F46,'FAVELA 3D'!F46)</f>
        <v>0</v>
      </c>
      <c r="G46" s="37">
        <f>SUM(ADM!G46,MARKETING!G46,COMERCIAL!G46,OPERAÇÕES!G46,'FAVELA 3D'!G46)</f>
        <v>0</v>
      </c>
      <c r="H46" s="37">
        <f>SUM(ADM!H46,MARKETING!H46,COMERCIAL!H46,OPERAÇÕES!H46,'FAVELA 3D'!H46)</f>
        <v>0</v>
      </c>
      <c r="I46" s="37">
        <f>SUM(ADM!I46,MARKETING!I46,COMERCIAL!I46,OPERAÇÕES!I46,'FAVELA 3D'!I46)</f>
        <v>0</v>
      </c>
      <c r="J46" s="37">
        <f>SUM(ADM!J46,MARKETING!J46,COMERCIAL!J46,OPERAÇÕES!J46,'FAVELA 3D'!J46)</f>
        <v>0</v>
      </c>
      <c r="K46" s="37">
        <f>SUM(ADM!K46,MARKETING!K46,COMERCIAL!K46,OPERAÇÕES!K46,'FAVELA 3D'!K46)</f>
        <v>0</v>
      </c>
      <c r="L46" s="37">
        <f>SUM(ADM!L46,MARKETING!L46,COMERCIAL!L46,OPERAÇÕES!L46,'FAVELA 3D'!L46)</f>
        <v>0</v>
      </c>
      <c r="M46" s="37">
        <f>SUM(ADM!M46,MARKETING!M46,COMERCIAL!M46,OPERAÇÕES!M46,'FAVELA 3D'!M46)</f>
        <v>0</v>
      </c>
      <c r="N46" s="37">
        <f>SUM(ADM!N46,MARKETING!N46,COMERCIAL!N46,OPERAÇÕES!N46,'FAVELA 3D'!N46)</f>
        <v>0</v>
      </c>
      <c r="O46" s="215">
        <f t="shared" si="6"/>
        <v>0</v>
      </c>
    </row>
    <row r="47" spans="2:15" s="9" customFormat="1" ht="19.5" x14ac:dyDescent="0.25">
      <c r="B47" s="19" t="s">
        <v>69</v>
      </c>
      <c r="C47" s="48">
        <f>SUM(C48,C50,C53,C75,C99,C105,C116,C120,C123,C126,C130,C133)</f>
        <v>201150</v>
      </c>
      <c r="D47" s="48">
        <f t="shared" ref="D47:J47" si="15">SUM(D48,D50,D53,D75,D99,D105,D116,D120,D123,D126,D130,D133)</f>
        <v>315050.36</v>
      </c>
      <c r="E47" s="48">
        <f t="shared" si="15"/>
        <v>222078.36</v>
      </c>
      <c r="F47" s="48">
        <f t="shared" si="15"/>
        <v>225108.36</v>
      </c>
      <c r="G47" s="48">
        <f t="shared" si="15"/>
        <v>208938.36</v>
      </c>
      <c r="H47" s="48">
        <f t="shared" si="15"/>
        <v>258158.36</v>
      </c>
      <c r="I47" s="48">
        <f t="shared" si="15"/>
        <v>263778.36</v>
      </c>
      <c r="J47" s="48">
        <f t="shared" si="15"/>
        <v>226358.36</v>
      </c>
      <c r="K47" s="48">
        <f>SUM(K48,K50,K53,K75,K99,K105,K116,K120,K123,K126,K130,K133)</f>
        <v>205818.36</v>
      </c>
      <c r="L47" s="48">
        <f>SUM(L48,L50,L53,L75,L99,L105,L116,L120,L123,L126,L130,L133)</f>
        <v>233168.36</v>
      </c>
      <c r="M47" s="48">
        <f>SUM(M48,M50,M53,M75,M99,M105,M116,M120,M123,M126,M130,M133)</f>
        <v>231918.36</v>
      </c>
      <c r="N47" s="48">
        <f>SUM(N48,N50,N53,N75,N99,N105,N116,N120,N123,N126,N130,N133)</f>
        <v>292416</v>
      </c>
      <c r="O47" s="217">
        <f>SUM(C47:N47)</f>
        <v>2883941.5999999992</v>
      </c>
    </row>
    <row r="48" spans="2:15" s="42" customFormat="1" ht="19.5" x14ac:dyDescent="0.4">
      <c r="B48" s="15" t="s">
        <v>70</v>
      </c>
      <c r="C48" s="43">
        <f>SUM(C49)</f>
        <v>800</v>
      </c>
      <c r="D48" s="43">
        <f t="shared" ref="D48:N48" si="16">SUM(D49)</f>
        <v>800</v>
      </c>
      <c r="E48" s="43">
        <f t="shared" si="16"/>
        <v>15450</v>
      </c>
      <c r="F48" s="43">
        <f t="shared" si="16"/>
        <v>14800</v>
      </c>
      <c r="G48" s="43">
        <f t="shared" si="16"/>
        <v>800</v>
      </c>
      <c r="H48" s="43">
        <f t="shared" si="16"/>
        <v>800</v>
      </c>
      <c r="I48" s="43">
        <f t="shared" si="16"/>
        <v>800</v>
      </c>
      <c r="J48" s="43">
        <f t="shared" si="16"/>
        <v>800</v>
      </c>
      <c r="K48" s="43">
        <f t="shared" si="16"/>
        <v>800</v>
      </c>
      <c r="L48" s="43">
        <f t="shared" si="16"/>
        <v>800</v>
      </c>
      <c r="M48" s="43">
        <f t="shared" si="16"/>
        <v>800</v>
      </c>
      <c r="N48" s="43">
        <f t="shared" si="16"/>
        <v>800</v>
      </c>
      <c r="O48" s="218">
        <f t="shared" si="6"/>
        <v>38250</v>
      </c>
    </row>
    <row r="49" spans="2:15" s="9" customFormat="1" ht="16.5" x14ac:dyDescent="0.25">
      <c r="B49" s="12" t="s">
        <v>71</v>
      </c>
      <c r="C49" s="37">
        <f>SUM(ADM!C49,MARKETING!C49,COMERCIAL!C49,OPERAÇÕES!C49,'FAVELA 3D'!C49)</f>
        <v>800</v>
      </c>
      <c r="D49" s="37">
        <f>SUM(ADM!D49,MARKETING!D49,COMERCIAL!D49,OPERAÇÕES!D49,'FAVELA 3D'!D49)</f>
        <v>800</v>
      </c>
      <c r="E49" s="37">
        <f>SUM(ADM!E49,MARKETING!E49,COMERCIAL!E49,OPERAÇÕES!E49,'FAVELA 3D'!E49)</f>
        <v>15450</v>
      </c>
      <c r="F49" s="37">
        <f>SUM(ADM!F49,MARKETING!F49,COMERCIAL!F49,OPERAÇÕES!F49,'FAVELA 3D'!F49)</f>
        <v>14800</v>
      </c>
      <c r="G49" s="37">
        <f>SUM(ADM!G49,MARKETING!G49,COMERCIAL!G49,OPERAÇÕES!G49,'FAVELA 3D'!G49)</f>
        <v>800</v>
      </c>
      <c r="H49" s="37">
        <f>SUM(ADM!H49,MARKETING!H49,COMERCIAL!H49,OPERAÇÕES!H49,'FAVELA 3D'!H49)</f>
        <v>800</v>
      </c>
      <c r="I49" s="37">
        <f>SUM(ADM!I49,MARKETING!I49,COMERCIAL!I49,OPERAÇÕES!I49,'FAVELA 3D'!I49)</f>
        <v>800</v>
      </c>
      <c r="J49" s="37">
        <f>SUM(ADM!J49,MARKETING!J49,COMERCIAL!J49,OPERAÇÕES!J49,'FAVELA 3D'!J49)</f>
        <v>800</v>
      </c>
      <c r="K49" s="37">
        <f>SUM(ADM!K49,MARKETING!K49,COMERCIAL!K49,OPERAÇÕES!K49,'FAVELA 3D'!K49)</f>
        <v>800</v>
      </c>
      <c r="L49" s="37">
        <f>SUM(ADM!L49,MARKETING!L49,COMERCIAL!L49,OPERAÇÕES!L49,'FAVELA 3D'!L49)</f>
        <v>800</v>
      </c>
      <c r="M49" s="37">
        <f>SUM(ADM!M49,MARKETING!M49,COMERCIAL!M49,OPERAÇÕES!M49,'FAVELA 3D'!M49)</f>
        <v>800</v>
      </c>
      <c r="N49" s="37">
        <f>SUM(ADM!N49,MARKETING!N49,COMERCIAL!N49,OPERAÇÕES!N49,'FAVELA 3D'!N49)</f>
        <v>800</v>
      </c>
      <c r="O49" s="215">
        <f t="shared" si="6"/>
        <v>38250</v>
      </c>
    </row>
    <row r="50" spans="2:15" s="42" customFormat="1" ht="19.5" x14ac:dyDescent="0.4">
      <c r="B50" s="15" t="s">
        <v>72</v>
      </c>
      <c r="C50" s="43">
        <f t="shared" ref="C50" si="17">SUM(C51:C52)</f>
        <v>0</v>
      </c>
      <c r="D50" s="43">
        <f t="shared" ref="D50:N50" si="18">SUM(D51:D52)</f>
        <v>20200</v>
      </c>
      <c r="E50" s="43">
        <f t="shared" si="18"/>
        <v>600</v>
      </c>
      <c r="F50" s="43">
        <f t="shared" si="18"/>
        <v>500</v>
      </c>
      <c r="G50" s="43">
        <f t="shared" si="18"/>
        <v>760</v>
      </c>
      <c r="H50" s="43">
        <f t="shared" si="18"/>
        <v>40550</v>
      </c>
      <c r="I50" s="43">
        <f t="shared" si="18"/>
        <v>40500</v>
      </c>
      <c r="J50" s="43">
        <f t="shared" si="18"/>
        <v>700</v>
      </c>
      <c r="K50" s="43">
        <f t="shared" si="18"/>
        <v>550</v>
      </c>
      <c r="L50" s="43">
        <f t="shared" si="18"/>
        <v>700</v>
      </c>
      <c r="M50" s="43">
        <f t="shared" si="18"/>
        <v>550</v>
      </c>
      <c r="N50" s="43">
        <f t="shared" si="18"/>
        <v>40700</v>
      </c>
      <c r="O50" s="218">
        <f t="shared" si="6"/>
        <v>146310</v>
      </c>
    </row>
    <row r="51" spans="2:15" s="9" customFormat="1" ht="16.5" x14ac:dyDescent="0.25">
      <c r="B51" s="12" t="s">
        <v>73</v>
      </c>
      <c r="C51" s="37">
        <f>SUM(ADM!C51,MARKETING!C51,COMERCIAL!C51,OPERAÇÕES!C51,'FAVELA 3D'!C51)</f>
        <v>0</v>
      </c>
      <c r="D51" s="37">
        <f>SUM(ADM!D51,MARKETING!D51,COMERCIAL!D51,OPERAÇÕES!D51,'FAVELA 3D'!D51)</f>
        <v>20200</v>
      </c>
      <c r="E51" s="37">
        <f>SUM(ADM!E51,MARKETING!E51,COMERCIAL!E51,OPERAÇÕES!E51,'FAVELA 3D'!E51)</f>
        <v>600</v>
      </c>
      <c r="F51" s="37">
        <f>SUM(ADM!F51,MARKETING!F51,COMERCIAL!F51,OPERAÇÕES!F51,'FAVELA 3D'!F51)</f>
        <v>500</v>
      </c>
      <c r="G51" s="37">
        <f>SUM(ADM!G51,MARKETING!G51,COMERCIAL!G51,OPERAÇÕES!G51,'FAVELA 3D'!G51)</f>
        <v>760</v>
      </c>
      <c r="H51" s="37">
        <f>SUM(ADM!H51,MARKETING!H51,COMERCIAL!H51,OPERAÇÕES!H51,'FAVELA 3D'!H51)</f>
        <v>40550</v>
      </c>
      <c r="I51" s="37">
        <f>SUM(ADM!I51,MARKETING!I51,COMERCIAL!I51,OPERAÇÕES!I51,'FAVELA 3D'!I51)</f>
        <v>40500</v>
      </c>
      <c r="J51" s="37">
        <f>SUM(ADM!J51,MARKETING!J51,COMERCIAL!J51,OPERAÇÕES!J51,'FAVELA 3D'!J51)</f>
        <v>700</v>
      </c>
      <c r="K51" s="37">
        <f>SUM(ADM!K51,MARKETING!K51,COMERCIAL!K51,OPERAÇÕES!K51,'FAVELA 3D'!K51)</f>
        <v>550</v>
      </c>
      <c r="L51" s="37">
        <f>SUM(ADM!L51,MARKETING!L51,COMERCIAL!L51,OPERAÇÕES!L51,'FAVELA 3D'!L51)</f>
        <v>700</v>
      </c>
      <c r="M51" s="37">
        <f>SUM(ADM!M51,MARKETING!M51,COMERCIAL!M51,OPERAÇÕES!M51,'FAVELA 3D'!M51)</f>
        <v>550</v>
      </c>
      <c r="N51" s="37">
        <f>SUM(ADM!N51,MARKETING!N51,COMERCIAL!N51,OPERAÇÕES!N51,'FAVELA 3D'!N51)</f>
        <v>40700</v>
      </c>
      <c r="O51" s="215">
        <f t="shared" si="6"/>
        <v>146310</v>
      </c>
    </row>
    <row r="52" spans="2:15" s="9" customFormat="1" ht="16.5" x14ac:dyDescent="0.25">
      <c r="B52" s="12" t="s">
        <v>74</v>
      </c>
      <c r="C52" s="37">
        <f>SUM(ADM!C52,MARKETING!C52,COMERCIAL!C52,OPERAÇÕES!C52,'FAVELA 3D'!C52)</f>
        <v>0</v>
      </c>
      <c r="D52" s="37">
        <f>SUM(ADM!D52,MARKETING!D52,COMERCIAL!D52,OPERAÇÕES!D52,'FAVELA 3D'!D52)</f>
        <v>0</v>
      </c>
      <c r="E52" s="37">
        <f>SUM(ADM!E52,MARKETING!E52,COMERCIAL!E52,OPERAÇÕES!E52,'FAVELA 3D'!E52)</f>
        <v>0</v>
      </c>
      <c r="F52" s="37">
        <f>SUM(ADM!F52,MARKETING!F52,COMERCIAL!F52,OPERAÇÕES!F52,'FAVELA 3D'!F52)</f>
        <v>0</v>
      </c>
      <c r="G52" s="37">
        <f>SUM(ADM!G52,MARKETING!G52,COMERCIAL!G52,OPERAÇÕES!G52,'FAVELA 3D'!G52)</f>
        <v>0</v>
      </c>
      <c r="H52" s="37">
        <f>SUM(ADM!H52,MARKETING!H52,COMERCIAL!H52,OPERAÇÕES!H52,'FAVELA 3D'!H52)</f>
        <v>0</v>
      </c>
      <c r="I52" s="37">
        <f>SUM(ADM!I52,MARKETING!I52,COMERCIAL!I52,OPERAÇÕES!I52,'FAVELA 3D'!I52)</f>
        <v>0</v>
      </c>
      <c r="J52" s="37">
        <f>SUM(ADM!J52,MARKETING!J52,COMERCIAL!J52,OPERAÇÕES!J52,'FAVELA 3D'!J52)</f>
        <v>0</v>
      </c>
      <c r="K52" s="37">
        <f>SUM(ADM!K52,MARKETING!K52,COMERCIAL!K52,OPERAÇÕES!K52,'FAVELA 3D'!K52)</f>
        <v>0</v>
      </c>
      <c r="L52" s="37">
        <f>SUM(ADM!L52,MARKETING!L52,COMERCIAL!L52,OPERAÇÕES!L52,'FAVELA 3D'!L52)</f>
        <v>0</v>
      </c>
      <c r="M52" s="37">
        <f>SUM(ADM!M52,MARKETING!M52,COMERCIAL!M52,OPERAÇÕES!M52,'FAVELA 3D'!M52)</f>
        <v>0</v>
      </c>
      <c r="N52" s="37">
        <f>SUM(ADM!N52,MARKETING!N52,COMERCIAL!N52,OPERAÇÕES!N52,'FAVELA 3D'!N52)</f>
        <v>0</v>
      </c>
      <c r="O52" s="215">
        <f t="shared" si="6"/>
        <v>0</v>
      </c>
    </row>
    <row r="53" spans="2:15" s="42" customFormat="1" ht="19.5" x14ac:dyDescent="0.4">
      <c r="B53" s="15" t="s">
        <v>75</v>
      </c>
      <c r="C53" s="43">
        <f>SUM(C54:C74)</f>
        <v>155250</v>
      </c>
      <c r="D53" s="43">
        <f t="shared" ref="D53:N53" si="19">SUM(D54:D74)</f>
        <v>163546</v>
      </c>
      <c r="E53" s="43">
        <f t="shared" si="19"/>
        <v>163546</v>
      </c>
      <c r="F53" s="43">
        <f t="shared" si="19"/>
        <v>163546</v>
      </c>
      <c r="G53" s="43">
        <f t="shared" si="19"/>
        <v>163546</v>
      </c>
      <c r="H53" s="43">
        <f t="shared" si="19"/>
        <v>163546</v>
      </c>
      <c r="I53" s="43">
        <f t="shared" si="19"/>
        <v>166046</v>
      </c>
      <c r="J53" s="43">
        <f t="shared" si="19"/>
        <v>163546</v>
      </c>
      <c r="K53" s="43">
        <f t="shared" si="19"/>
        <v>163546</v>
      </c>
      <c r="L53" s="43">
        <f t="shared" si="19"/>
        <v>163546</v>
      </c>
      <c r="M53" s="43">
        <f t="shared" si="19"/>
        <v>163546</v>
      </c>
      <c r="N53" s="43">
        <f t="shared" si="19"/>
        <v>175566</v>
      </c>
      <c r="O53" s="218">
        <f>SUM(C53:N53)</f>
        <v>1968776</v>
      </c>
    </row>
    <row r="54" spans="2:15" s="9" customFormat="1" ht="16.5" x14ac:dyDescent="0.25">
      <c r="B54" s="12" t="s">
        <v>76</v>
      </c>
      <c r="C54" s="37">
        <f>SUM(ADM!C54,MARKETING!C54,COMERCIAL!C54,OPERAÇÕES!C54,'FAVELA 3D'!C54)</f>
        <v>0</v>
      </c>
      <c r="D54" s="37">
        <f>SUM(ADM!D54,MARKETING!D54,COMERCIAL!D54,OPERAÇÕES!D54,'FAVELA 3D'!D54)</f>
        <v>0</v>
      </c>
      <c r="E54" s="37">
        <f>SUM(ADM!E54,MARKETING!E54,COMERCIAL!E54,OPERAÇÕES!E54,'FAVELA 3D'!E54)</f>
        <v>0</v>
      </c>
      <c r="F54" s="37">
        <f>SUM(ADM!F54,MARKETING!F54,COMERCIAL!F54,OPERAÇÕES!F54,'FAVELA 3D'!F54)</f>
        <v>0</v>
      </c>
      <c r="G54" s="37">
        <f>SUM(ADM!G54,MARKETING!G54,COMERCIAL!G54,OPERAÇÕES!G54,'FAVELA 3D'!G54)</f>
        <v>0</v>
      </c>
      <c r="H54" s="37">
        <f>SUM(ADM!H54,MARKETING!H54,COMERCIAL!H54,OPERAÇÕES!H54,'FAVELA 3D'!H54)</f>
        <v>0</v>
      </c>
      <c r="I54" s="37">
        <f>SUM(ADM!I54,MARKETING!I54,COMERCIAL!I54,OPERAÇÕES!I54,'FAVELA 3D'!I54)</f>
        <v>0</v>
      </c>
      <c r="J54" s="37">
        <f>SUM(ADM!J54,MARKETING!J54,COMERCIAL!J54,OPERAÇÕES!J54,'FAVELA 3D'!J54)</f>
        <v>0</v>
      </c>
      <c r="K54" s="37">
        <f>SUM(ADM!K54,MARKETING!K54,COMERCIAL!K54,OPERAÇÕES!K54,'FAVELA 3D'!K54)</f>
        <v>0</v>
      </c>
      <c r="L54" s="37">
        <f>SUM(ADM!L54,MARKETING!L54,COMERCIAL!L54,OPERAÇÕES!L54,'FAVELA 3D'!L54)</f>
        <v>0</v>
      </c>
      <c r="M54" s="37">
        <f>SUM(ADM!M54,MARKETING!M54,COMERCIAL!M54,OPERAÇÕES!M54,'FAVELA 3D'!M54)</f>
        <v>0</v>
      </c>
      <c r="N54" s="37">
        <f>SUM(ADM!N54,MARKETING!N54,COMERCIAL!N54,OPERAÇÕES!N54,'FAVELA 3D'!N54)</f>
        <v>0</v>
      </c>
      <c r="O54" s="215">
        <f t="shared" si="6"/>
        <v>0</v>
      </c>
    </row>
    <row r="55" spans="2:15" s="9" customFormat="1" ht="16.5" x14ac:dyDescent="0.25">
      <c r="B55" s="12" t="s">
        <v>77</v>
      </c>
      <c r="C55" s="37">
        <f>SUM(ADM!C55,MARKETING!C55,COMERCIAL!C55,OPERAÇÕES!C55,'FAVELA 3D'!C55)</f>
        <v>0</v>
      </c>
      <c r="D55" s="37">
        <f>SUM(ADM!D55,MARKETING!D55,COMERCIAL!D55,OPERAÇÕES!D55,'FAVELA 3D'!D55)</f>
        <v>0</v>
      </c>
      <c r="E55" s="37">
        <f>SUM(ADM!E55,MARKETING!E55,COMERCIAL!E55,OPERAÇÕES!E55,'FAVELA 3D'!E55)</f>
        <v>0</v>
      </c>
      <c r="F55" s="37">
        <f>SUM(ADM!F55,MARKETING!F55,COMERCIAL!F55,OPERAÇÕES!F55,'FAVELA 3D'!F55)</f>
        <v>0</v>
      </c>
      <c r="G55" s="37">
        <f>SUM(ADM!G55,MARKETING!G55,COMERCIAL!G55,OPERAÇÕES!G55,'FAVELA 3D'!G55)</f>
        <v>0</v>
      </c>
      <c r="H55" s="37">
        <f>SUM(ADM!H55,MARKETING!H55,COMERCIAL!H55,OPERAÇÕES!H55,'FAVELA 3D'!H55)</f>
        <v>0</v>
      </c>
      <c r="I55" s="37">
        <f>SUM(ADM!I55,MARKETING!I55,COMERCIAL!I55,OPERAÇÕES!I55,'FAVELA 3D'!I55)</f>
        <v>0</v>
      </c>
      <c r="J55" s="37">
        <f>SUM(ADM!J55,MARKETING!J55,COMERCIAL!J55,OPERAÇÕES!J55,'FAVELA 3D'!J55)</f>
        <v>0</v>
      </c>
      <c r="K55" s="37">
        <f>SUM(ADM!K55,MARKETING!K55,COMERCIAL!K55,OPERAÇÕES!K55,'FAVELA 3D'!K55)</f>
        <v>0</v>
      </c>
      <c r="L55" s="37">
        <f>SUM(ADM!L55,MARKETING!L55,COMERCIAL!L55,OPERAÇÕES!L55,'FAVELA 3D'!L55)</f>
        <v>0</v>
      </c>
      <c r="M55" s="37">
        <f>SUM(ADM!M55,MARKETING!M55,COMERCIAL!M55,OPERAÇÕES!M55,'FAVELA 3D'!M55)</f>
        <v>0</v>
      </c>
      <c r="N55" s="37">
        <f>SUM(ADM!N55,MARKETING!N55,COMERCIAL!N55,OPERAÇÕES!N55,'FAVELA 3D'!N55)</f>
        <v>0</v>
      </c>
      <c r="O55" s="215">
        <f t="shared" si="6"/>
        <v>0</v>
      </c>
    </row>
    <row r="56" spans="2:15" s="9" customFormat="1" ht="16.5" x14ac:dyDescent="0.25">
      <c r="B56" s="12" t="s">
        <v>78</v>
      </c>
      <c r="C56" s="37">
        <f>SUM(ADM!C56,MARKETING!C56,COMERCIAL!C56,OPERAÇÕES!C56,'FAVELA 3D'!C56)</f>
        <v>0</v>
      </c>
      <c r="D56" s="37">
        <f>SUM(ADM!D56,MARKETING!D56,COMERCIAL!D56,OPERAÇÕES!D56,'FAVELA 3D'!D56)</f>
        <v>0</v>
      </c>
      <c r="E56" s="37">
        <f>SUM(ADM!E56,MARKETING!E56,COMERCIAL!E56,OPERAÇÕES!E56,'FAVELA 3D'!E56)</f>
        <v>0</v>
      </c>
      <c r="F56" s="37">
        <f>SUM(ADM!F56,MARKETING!F56,COMERCIAL!F56,OPERAÇÕES!F56,'FAVELA 3D'!F56)</f>
        <v>0</v>
      </c>
      <c r="G56" s="37">
        <f>SUM(ADM!G56,MARKETING!G56,COMERCIAL!G56,OPERAÇÕES!G56,'FAVELA 3D'!G56)</f>
        <v>0</v>
      </c>
      <c r="H56" s="37">
        <f>SUM(ADM!H56,MARKETING!H56,COMERCIAL!H56,OPERAÇÕES!H56,'FAVELA 3D'!H56)</f>
        <v>0</v>
      </c>
      <c r="I56" s="37">
        <f>SUM(ADM!I56,MARKETING!I56,COMERCIAL!I56,OPERAÇÕES!I56,'FAVELA 3D'!I56)</f>
        <v>0</v>
      </c>
      <c r="J56" s="37">
        <f>SUM(ADM!J56,MARKETING!J56,COMERCIAL!J56,OPERAÇÕES!J56,'FAVELA 3D'!J56)</f>
        <v>0</v>
      </c>
      <c r="K56" s="37">
        <f>SUM(ADM!K56,MARKETING!K56,COMERCIAL!K56,OPERAÇÕES!K56,'FAVELA 3D'!K56)</f>
        <v>0</v>
      </c>
      <c r="L56" s="37">
        <f>SUM(ADM!L56,MARKETING!L56,COMERCIAL!L56,OPERAÇÕES!L56,'FAVELA 3D'!L56)</f>
        <v>0</v>
      </c>
      <c r="M56" s="37">
        <f>SUM(ADM!M56,MARKETING!M56,COMERCIAL!M56,OPERAÇÕES!M56,'FAVELA 3D'!M56)</f>
        <v>0</v>
      </c>
      <c r="N56" s="37">
        <f>SUM(ADM!N56,MARKETING!N56,COMERCIAL!N56,OPERAÇÕES!N56,'FAVELA 3D'!N56)</f>
        <v>0</v>
      </c>
      <c r="O56" s="215">
        <f t="shared" si="6"/>
        <v>0</v>
      </c>
    </row>
    <row r="57" spans="2:15" s="9" customFormat="1" ht="16.5" x14ac:dyDescent="0.25">
      <c r="B57" s="12" t="s">
        <v>79</v>
      </c>
      <c r="C57" s="37">
        <f>SUM(ADM!C57,MARKETING!C57,COMERCIAL!C57,OPERAÇÕES!C57,'FAVELA 3D'!C57)</f>
        <v>0</v>
      </c>
      <c r="D57" s="37">
        <f>SUM(ADM!D57,MARKETING!D57,COMERCIAL!D57,OPERAÇÕES!D57,'FAVELA 3D'!D57)</f>
        <v>0</v>
      </c>
      <c r="E57" s="37">
        <f>SUM(ADM!E57,MARKETING!E57,COMERCIAL!E57,OPERAÇÕES!E57,'FAVELA 3D'!E57)</f>
        <v>0</v>
      </c>
      <c r="F57" s="37">
        <f>SUM(ADM!F57,MARKETING!F57,COMERCIAL!F57,OPERAÇÕES!F57,'FAVELA 3D'!F57)</f>
        <v>0</v>
      </c>
      <c r="G57" s="37">
        <f>SUM(ADM!G57,MARKETING!G57,COMERCIAL!G57,OPERAÇÕES!G57,'FAVELA 3D'!G57)</f>
        <v>0</v>
      </c>
      <c r="H57" s="37">
        <f>SUM(ADM!H57,MARKETING!H57,COMERCIAL!H57,OPERAÇÕES!H57,'FAVELA 3D'!H57)</f>
        <v>0</v>
      </c>
      <c r="I57" s="37">
        <f>SUM(ADM!I57,MARKETING!I57,COMERCIAL!I57,OPERAÇÕES!I57,'FAVELA 3D'!I57)</f>
        <v>0</v>
      </c>
      <c r="J57" s="37">
        <f>SUM(ADM!J57,MARKETING!J57,COMERCIAL!J57,OPERAÇÕES!J57,'FAVELA 3D'!J57)</f>
        <v>0</v>
      </c>
      <c r="K57" s="37">
        <f>SUM(ADM!K57,MARKETING!K57,COMERCIAL!K57,OPERAÇÕES!K57,'FAVELA 3D'!K57)</f>
        <v>0</v>
      </c>
      <c r="L57" s="37">
        <f>SUM(ADM!L57,MARKETING!L57,COMERCIAL!L57,OPERAÇÕES!L57,'FAVELA 3D'!L57)</f>
        <v>0</v>
      </c>
      <c r="M57" s="37">
        <f>SUM(ADM!M57,MARKETING!M57,COMERCIAL!M57,OPERAÇÕES!M57,'FAVELA 3D'!M57)</f>
        <v>0</v>
      </c>
      <c r="N57" s="37">
        <f>SUM(ADM!N57,MARKETING!N57,COMERCIAL!N57,OPERAÇÕES!N57,'FAVELA 3D'!N57)</f>
        <v>0</v>
      </c>
      <c r="O57" s="215">
        <f t="shared" si="6"/>
        <v>0</v>
      </c>
    </row>
    <row r="58" spans="2:15" s="9" customFormat="1" ht="16.5" x14ac:dyDescent="0.25">
      <c r="B58" s="12" t="s">
        <v>80</v>
      </c>
      <c r="C58" s="37">
        <f>SUM(ADM!C58,MARKETING!C58,COMERCIAL!C58,OPERAÇÕES!C58,'FAVELA 3D'!C58)</f>
        <v>3000</v>
      </c>
      <c r="D58" s="37">
        <f>SUM(ADM!D58,MARKETING!D58,COMERCIAL!D58,OPERAÇÕES!D58,'FAVELA 3D'!D58)</f>
        <v>3000</v>
      </c>
      <c r="E58" s="37">
        <f>SUM(ADM!E58,MARKETING!E58,COMERCIAL!E58,OPERAÇÕES!E58,'FAVELA 3D'!E58)</f>
        <v>3000</v>
      </c>
      <c r="F58" s="37">
        <f>SUM(ADM!F58,MARKETING!F58,COMERCIAL!F58,OPERAÇÕES!F58,'FAVELA 3D'!F58)</f>
        <v>3000</v>
      </c>
      <c r="G58" s="37">
        <f>SUM(ADM!G58,MARKETING!G58,COMERCIAL!G58,OPERAÇÕES!G58,'FAVELA 3D'!G58)</f>
        <v>3000</v>
      </c>
      <c r="H58" s="37">
        <f>SUM(ADM!H58,MARKETING!H58,COMERCIAL!H58,OPERAÇÕES!H58,'FAVELA 3D'!H58)</f>
        <v>3000</v>
      </c>
      <c r="I58" s="37">
        <f>SUM(ADM!I58,MARKETING!I58,COMERCIAL!I58,OPERAÇÕES!I58,'FAVELA 3D'!I58)</f>
        <v>3000</v>
      </c>
      <c r="J58" s="37">
        <f>SUM(ADM!J58,MARKETING!J58,COMERCIAL!J58,OPERAÇÕES!J58,'FAVELA 3D'!J58)</f>
        <v>3000</v>
      </c>
      <c r="K58" s="37">
        <f>SUM(ADM!K58,MARKETING!K58,COMERCIAL!K58,OPERAÇÕES!K58,'FAVELA 3D'!K58)</f>
        <v>3000</v>
      </c>
      <c r="L58" s="37">
        <f>SUM(ADM!L58,MARKETING!L58,COMERCIAL!L58,OPERAÇÕES!L58,'FAVELA 3D'!L58)</f>
        <v>3000</v>
      </c>
      <c r="M58" s="37">
        <f>SUM(ADM!M58,MARKETING!M58,COMERCIAL!M58,OPERAÇÕES!M58,'FAVELA 3D'!M58)</f>
        <v>3000</v>
      </c>
      <c r="N58" s="37">
        <f>SUM(ADM!N58,MARKETING!N58,COMERCIAL!N58,OPERAÇÕES!N58,'FAVELA 3D'!N58)</f>
        <v>3000</v>
      </c>
      <c r="O58" s="215">
        <f t="shared" si="6"/>
        <v>36000</v>
      </c>
    </row>
    <row r="59" spans="2:15" s="9" customFormat="1" ht="16.5" x14ac:dyDescent="0.25">
      <c r="B59" s="12" t="s">
        <v>81</v>
      </c>
      <c r="C59" s="37">
        <f>SUM(ADM!C59,MARKETING!C59,COMERCIAL!C59,OPERAÇÕES!C59,'FAVELA 3D'!C59)</f>
        <v>800</v>
      </c>
      <c r="D59" s="37">
        <f>SUM(ADM!D59,MARKETING!D59,COMERCIAL!D59,OPERAÇÕES!D59,'FAVELA 3D'!D59)</f>
        <v>800</v>
      </c>
      <c r="E59" s="37">
        <f>SUM(ADM!E59,MARKETING!E59,COMERCIAL!E59,OPERAÇÕES!E59,'FAVELA 3D'!E59)</f>
        <v>800</v>
      </c>
      <c r="F59" s="37">
        <f>SUM(ADM!F59,MARKETING!F59,COMERCIAL!F59,OPERAÇÕES!F59,'FAVELA 3D'!F59)</f>
        <v>800</v>
      </c>
      <c r="G59" s="37">
        <f>SUM(ADM!G59,MARKETING!G59,COMERCIAL!G59,OPERAÇÕES!G59,'FAVELA 3D'!G59)</f>
        <v>800</v>
      </c>
      <c r="H59" s="37">
        <f>SUM(ADM!H59,MARKETING!H59,COMERCIAL!H59,OPERAÇÕES!H59,'FAVELA 3D'!H59)</f>
        <v>800</v>
      </c>
      <c r="I59" s="37">
        <f>SUM(ADM!I59,MARKETING!I59,COMERCIAL!I59,OPERAÇÕES!I59,'FAVELA 3D'!I59)</f>
        <v>800</v>
      </c>
      <c r="J59" s="37">
        <f>SUM(ADM!J59,MARKETING!J59,COMERCIAL!J59,OPERAÇÕES!J59,'FAVELA 3D'!J59)</f>
        <v>800</v>
      </c>
      <c r="K59" s="37">
        <f>SUM(ADM!K59,MARKETING!K59,COMERCIAL!K59,OPERAÇÕES!K59,'FAVELA 3D'!K59)</f>
        <v>800</v>
      </c>
      <c r="L59" s="37">
        <f>SUM(ADM!L59,MARKETING!L59,COMERCIAL!L59,OPERAÇÕES!L59,'FAVELA 3D'!L59)</f>
        <v>800</v>
      </c>
      <c r="M59" s="37">
        <f>SUM(ADM!M59,MARKETING!M59,COMERCIAL!M59,OPERAÇÕES!M59,'FAVELA 3D'!M59)</f>
        <v>800</v>
      </c>
      <c r="N59" s="37">
        <f>SUM(ADM!N59,MARKETING!N59,COMERCIAL!N59,OPERAÇÕES!N59,'FAVELA 3D'!N59)</f>
        <v>800</v>
      </c>
      <c r="O59" s="215">
        <f t="shared" si="6"/>
        <v>9600</v>
      </c>
    </row>
    <row r="60" spans="2:15" s="9" customFormat="1" ht="16.5" x14ac:dyDescent="0.25">
      <c r="B60" s="12" t="s">
        <v>82</v>
      </c>
      <c r="C60" s="37">
        <f>SUM(ADM!C60,MARKETING!C60,COMERCIAL!C60,OPERAÇÕES!C60,'FAVELA 3D'!C60)</f>
        <v>0</v>
      </c>
      <c r="D60" s="37">
        <f>SUM(ADM!D60,MARKETING!D60,COMERCIAL!D60,OPERAÇÕES!D60,'FAVELA 3D'!D60)</f>
        <v>0</v>
      </c>
      <c r="E60" s="37">
        <f>SUM(ADM!E60,MARKETING!E60,COMERCIAL!E60,OPERAÇÕES!E60,'FAVELA 3D'!E60)</f>
        <v>0</v>
      </c>
      <c r="F60" s="37">
        <f>SUM(ADM!F60,MARKETING!F60,COMERCIAL!F60,OPERAÇÕES!F60,'FAVELA 3D'!F60)</f>
        <v>0</v>
      </c>
      <c r="G60" s="37">
        <f>SUM(ADM!G60,MARKETING!G60,COMERCIAL!G60,OPERAÇÕES!G60,'FAVELA 3D'!G60)</f>
        <v>0</v>
      </c>
      <c r="H60" s="37">
        <f>SUM(ADM!H60,MARKETING!H60,COMERCIAL!H60,OPERAÇÕES!H60,'FAVELA 3D'!H60)</f>
        <v>0</v>
      </c>
      <c r="I60" s="37">
        <f>SUM(ADM!I60,MARKETING!I60,COMERCIAL!I60,OPERAÇÕES!I60,'FAVELA 3D'!I60)</f>
        <v>0</v>
      </c>
      <c r="J60" s="37">
        <f>SUM(ADM!J60,MARKETING!J60,COMERCIAL!J60,OPERAÇÕES!J60,'FAVELA 3D'!J60)</f>
        <v>0</v>
      </c>
      <c r="K60" s="37">
        <f>SUM(ADM!K60,MARKETING!K60,COMERCIAL!K60,OPERAÇÕES!K60,'FAVELA 3D'!K60)</f>
        <v>0</v>
      </c>
      <c r="L60" s="37">
        <f>SUM(ADM!L60,MARKETING!L60,COMERCIAL!L60,OPERAÇÕES!L60,'FAVELA 3D'!L60)</f>
        <v>0</v>
      </c>
      <c r="M60" s="37">
        <f>SUM(ADM!M60,MARKETING!M60,COMERCIAL!M60,OPERAÇÕES!M60,'FAVELA 3D'!M60)</f>
        <v>0</v>
      </c>
      <c r="N60" s="37">
        <f>SUM(ADM!N60,MARKETING!N60,COMERCIAL!N60,OPERAÇÕES!N60,'FAVELA 3D'!N60)</f>
        <v>0</v>
      </c>
      <c r="O60" s="215">
        <f t="shared" si="6"/>
        <v>0</v>
      </c>
    </row>
    <row r="61" spans="2:15" s="9" customFormat="1" ht="16.5" x14ac:dyDescent="0.25">
      <c r="B61" s="12" t="s">
        <v>83</v>
      </c>
      <c r="C61" s="37">
        <f>SUM(ADM!C61,MARKETING!C61,COMERCIAL!C61,OPERAÇÕES!C61,'FAVELA 3D'!C61)</f>
        <v>0</v>
      </c>
      <c r="D61" s="37">
        <f>SUM(ADM!D61,MARKETING!D61,COMERCIAL!D61,OPERAÇÕES!D61,'FAVELA 3D'!D61)</f>
        <v>0</v>
      </c>
      <c r="E61" s="37">
        <f>SUM(ADM!E61,MARKETING!E61,COMERCIAL!E61,OPERAÇÕES!E61,'FAVELA 3D'!E61)</f>
        <v>0</v>
      </c>
      <c r="F61" s="37">
        <f>SUM(ADM!F61,MARKETING!F61,COMERCIAL!F61,OPERAÇÕES!F61,'FAVELA 3D'!F61)</f>
        <v>0</v>
      </c>
      <c r="G61" s="37">
        <f>SUM(ADM!G61,MARKETING!G61,COMERCIAL!G61,OPERAÇÕES!G61,'FAVELA 3D'!G61)</f>
        <v>0</v>
      </c>
      <c r="H61" s="37">
        <f>SUM(ADM!H61,MARKETING!H61,COMERCIAL!H61,OPERAÇÕES!H61,'FAVELA 3D'!H61)</f>
        <v>0</v>
      </c>
      <c r="I61" s="37">
        <f>SUM(ADM!I61,MARKETING!I61,COMERCIAL!I61,OPERAÇÕES!I61,'FAVELA 3D'!I61)</f>
        <v>0</v>
      </c>
      <c r="J61" s="37">
        <f>SUM(ADM!J61,MARKETING!J61,COMERCIAL!J61,OPERAÇÕES!J61,'FAVELA 3D'!J61)</f>
        <v>0</v>
      </c>
      <c r="K61" s="37">
        <f>SUM(ADM!K61,MARKETING!K61,COMERCIAL!K61,OPERAÇÕES!K61,'FAVELA 3D'!K61)</f>
        <v>0</v>
      </c>
      <c r="L61" s="37">
        <f>SUM(ADM!L61,MARKETING!L61,COMERCIAL!L61,OPERAÇÕES!L61,'FAVELA 3D'!L61)</f>
        <v>0</v>
      </c>
      <c r="M61" s="37">
        <f>SUM(ADM!M61,MARKETING!M61,COMERCIAL!M61,OPERAÇÕES!M61,'FAVELA 3D'!M61)</f>
        <v>0</v>
      </c>
      <c r="N61" s="37">
        <f>SUM(ADM!N61,MARKETING!N61,COMERCIAL!N61,OPERAÇÕES!N61,'FAVELA 3D'!N61)</f>
        <v>0</v>
      </c>
      <c r="O61" s="215">
        <f t="shared" si="6"/>
        <v>0</v>
      </c>
    </row>
    <row r="62" spans="2:15" s="9" customFormat="1" ht="16.5" x14ac:dyDescent="0.25">
      <c r="B62" s="12" t="s">
        <v>84</v>
      </c>
      <c r="C62" s="37">
        <f>SUM(ADM!C62,MARKETING!C62,COMERCIAL!C62,OPERAÇÕES!C62,'FAVELA 3D'!C62)</f>
        <v>0</v>
      </c>
      <c r="D62" s="37">
        <f>SUM(ADM!D62,MARKETING!D62,COMERCIAL!D62,OPERAÇÕES!D62,'FAVELA 3D'!D62)</f>
        <v>0</v>
      </c>
      <c r="E62" s="37">
        <f>SUM(ADM!E62,MARKETING!E62,COMERCIAL!E62,OPERAÇÕES!E62,'FAVELA 3D'!E62)</f>
        <v>0</v>
      </c>
      <c r="F62" s="37">
        <f>SUM(ADM!F62,MARKETING!F62,COMERCIAL!F62,OPERAÇÕES!F62,'FAVELA 3D'!F62)</f>
        <v>0</v>
      </c>
      <c r="G62" s="37">
        <f>SUM(ADM!G62,MARKETING!G62,COMERCIAL!G62,OPERAÇÕES!G62,'FAVELA 3D'!G62)</f>
        <v>0</v>
      </c>
      <c r="H62" s="37">
        <f>SUM(ADM!H62,MARKETING!H62,COMERCIAL!H62,OPERAÇÕES!H62,'FAVELA 3D'!H62)</f>
        <v>0</v>
      </c>
      <c r="I62" s="37">
        <f>SUM(ADM!I62,MARKETING!I62,COMERCIAL!I62,OPERAÇÕES!I62,'FAVELA 3D'!I62)</f>
        <v>0</v>
      </c>
      <c r="J62" s="37">
        <f>SUM(ADM!J62,MARKETING!J62,COMERCIAL!J62,OPERAÇÕES!J62,'FAVELA 3D'!J62)</f>
        <v>0</v>
      </c>
      <c r="K62" s="37">
        <f>SUM(ADM!K62,MARKETING!K62,COMERCIAL!K62,OPERAÇÕES!K62,'FAVELA 3D'!K62)</f>
        <v>0</v>
      </c>
      <c r="L62" s="37">
        <f>SUM(ADM!L62,MARKETING!L62,COMERCIAL!L62,OPERAÇÕES!L62,'FAVELA 3D'!L62)</f>
        <v>0</v>
      </c>
      <c r="M62" s="37">
        <f>SUM(ADM!M62,MARKETING!M62,COMERCIAL!M62,OPERAÇÕES!M62,'FAVELA 3D'!M62)</f>
        <v>0</v>
      </c>
      <c r="N62" s="37">
        <f>SUM(ADM!N62,MARKETING!N62,COMERCIAL!N62,OPERAÇÕES!N62,'FAVELA 3D'!N62)</f>
        <v>0</v>
      </c>
      <c r="O62" s="215">
        <f t="shared" si="6"/>
        <v>0</v>
      </c>
    </row>
    <row r="63" spans="2:15" s="9" customFormat="1" ht="16.5" x14ac:dyDescent="0.25">
      <c r="B63" s="12" t="s">
        <v>85</v>
      </c>
      <c r="C63" s="37">
        <f>SUM(ADM!C63,MARKETING!C63,COMERCIAL!C63,OPERAÇÕES!C63,'FAVELA 3D'!C63)</f>
        <v>1200</v>
      </c>
      <c r="D63" s="37">
        <f>SUM(ADM!D63,MARKETING!D63,COMERCIAL!D63,OPERAÇÕES!D63,'FAVELA 3D'!D63)</f>
        <v>1200</v>
      </c>
      <c r="E63" s="37">
        <f>SUM(ADM!E63,MARKETING!E63,COMERCIAL!E63,OPERAÇÕES!E63,'FAVELA 3D'!E63)</f>
        <v>1200</v>
      </c>
      <c r="F63" s="37">
        <f>SUM(ADM!F63,MARKETING!F63,COMERCIAL!F63,OPERAÇÕES!F63,'FAVELA 3D'!F63)</f>
        <v>1200</v>
      </c>
      <c r="G63" s="37">
        <f>SUM(ADM!G63,MARKETING!G63,COMERCIAL!G63,OPERAÇÕES!G63,'FAVELA 3D'!G63)</f>
        <v>1200</v>
      </c>
      <c r="H63" s="37">
        <f>SUM(ADM!H63,MARKETING!H63,COMERCIAL!H63,OPERAÇÕES!H63,'FAVELA 3D'!H63)</f>
        <v>1200</v>
      </c>
      <c r="I63" s="37">
        <f>SUM(ADM!I63,MARKETING!I63,COMERCIAL!I63,OPERAÇÕES!I63,'FAVELA 3D'!I63)</f>
        <v>1200</v>
      </c>
      <c r="J63" s="37">
        <f>SUM(ADM!J63,MARKETING!J63,COMERCIAL!J63,OPERAÇÕES!J63,'FAVELA 3D'!J63)</f>
        <v>1200</v>
      </c>
      <c r="K63" s="37">
        <f>SUM(ADM!K63,MARKETING!K63,COMERCIAL!K63,OPERAÇÕES!K63,'FAVELA 3D'!K63)</f>
        <v>1200</v>
      </c>
      <c r="L63" s="37">
        <f>SUM(ADM!L63,MARKETING!L63,COMERCIAL!L63,OPERAÇÕES!L63,'FAVELA 3D'!L63)</f>
        <v>1200</v>
      </c>
      <c r="M63" s="37">
        <f>SUM(ADM!M63,MARKETING!M63,COMERCIAL!M63,OPERAÇÕES!M63,'FAVELA 3D'!M63)</f>
        <v>1200</v>
      </c>
      <c r="N63" s="37">
        <f>SUM(ADM!N63,MARKETING!N63,COMERCIAL!N63,OPERAÇÕES!N63,'FAVELA 3D'!N63)</f>
        <v>1200</v>
      </c>
      <c r="O63" s="215">
        <f t="shared" si="6"/>
        <v>14400</v>
      </c>
    </row>
    <row r="64" spans="2:15" s="9" customFormat="1" ht="16.5" x14ac:dyDescent="0.25">
      <c r="B64" s="12" t="s">
        <v>86</v>
      </c>
      <c r="C64" s="37">
        <f>SUM(ADM!C64,MARKETING!C64,COMERCIAL!C64,OPERAÇÕES!C64,'FAVELA 3D'!C64)</f>
        <v>4650</v>
      </c>
      <c r="D64" s="37">
        <f>SUM(ADM!D64,MARKETING!D64,COMERCIAL!D64,OPERAÇÕES!D64,'FAVELA 3D'!D64)</f>
        <v>4650</v>
      </c>
      <c r="E64" s="37">
        <f>SUM(ADM!E64,MARKETING!E64,COMERCIAL!E64,OPERAÇÕES!E64,'FAVELA 3D'!E64)</f>
        <v>4650</v>
      </c>
      <c r="F64" s="37">
        <f>SUM(ADM!F64,MARKETING!F64,COMERCIAL!F64,OPERAÇÕES!F64,'FAVELA 3D'!F64)</f>
        <v>4650</v>
      </c>
      <c r="G64" s="37">
        <f>SUM(ADM!G64,MARKETING!G64,COMERCIAL!G64,OPERAÇÕES!G64,'FAVELA 3D'!G64)</f>
        <v>4650</v>
      </c>
      <c r="H64" s="37">
        <f>SUM(ADM!H64,MARKETING!H64,COMERCIAL!H64,OPERAÇÕES!H64,'FAVELA 3D'!H64)</f>
        <v>4650</v>
      </c>
      <c r="I64" s="37">
        <f>SUM(ADM!I64,MARKETING!I64,COMERCIAL!I64,OPERAÇÕES!I64,'FAVELA 3D'!I64)</f>
        <v>4650</v>
      </c>
      <c r="J64" s="37">
        <f>SUM(ADM!J64,MARKETING!J64,COMERCIAL!J64,OPERAÇÕES!J64,'FAVELA 3D'!J64)</f>
        <v>4650</v>
      </c>
      <c r="K64" s="37">
        <f>SUM(ADM!K64,MARKETING!K64,COMERCIAL!K64,OPERAÇÕES!K64,'FAVELA 3D'!K64)</f>
        <v>4650</v>
      </c>
      <c r="L64" s="37">
        <f>SUM(ADM!L64,MARKETING!L64,COMERCIAL!L64,OPERAÇÕES!L64,'FAVELA 3D'!L64)</f>
        <v>4650</v>
      </c>
      <c r="M64" s="37">
        <f>SUM(ADM!M64,MARKETING!M64,COMERCIAL!M64,OPERAÇÕES!M64,'FAVELA 3D'!M64)</f>
        <v>4650</v>
      </c>
      <c r="N64" s="37">
        <f>SUM(ADM!N64,MARKETING!N64,COMERCIAL!N64,OPERAÇÕES!N64,'FAVELA 3D'!N64)</f>
        <v>4650</v>
      </c>
      <c r="O64" s="215">
        <f t="shared" si="6"/>
        <v>55800</v>
      </c>
    </row>
    <row r="65" spans="2:15" s="9" customFormat="1" ht="16.5" x14ac:dyDescent="0.25">
      <c r="B65" s="12" t="s">
        <v>87</v>
      </c>
      <c r="C65" s="37">
        <f>SUM(ADM!C65,MARKETING!C65,COMERCIAL!C65,OPERAÇÕES!C65,'FAVELA 3D'!C65)</f>
        <v>50</v>
      </c>
      <c r="D65" s="37">
        <f>SUM(ADM!D65,MARKETING!D65,COMERCIAL!D65,OPERAÇÕES!D65,'FAVELA 3D'!D65)</f>
        <v>50</v>
      </c>
      <c r="E65" s="37">
        <f>SUM(ADM!E65,MARKETING!E65,COMERCIAL!E65,OPERAÇÕES!E65,'FAVELA 3D'!E65)</f>
        <v>50</v>
      </c>
      <c r="F65" s="37">
        <f>SUM(ADM!F65,MARKETING!F65,COMERCIAL!F65,OPERAÇÕES!F65,'FAVELA 3D'!F65)</f>
        <v>50</v>
      </c>
      <c r="G65" s="37">
        <f>SUM(ADM!G65,MARKETING!G65,COMERCIAL!G65,OPERAÇÕES!G65,'FAVELA 3D'!G65)</f>
        <v>50</v>
      </c>
      <c r="H65" s="37">
        <f>SUM(ADM!H65,MARKETING!H65,COMERCIAL!H65,OPERAÇÕES!H65,'FAVELA 3D'!H65)</f>
        <v>50</v>
      </c>
      <c r="I65" s="37">
        <f>SUM(ADM!I65,MARKETING!I65,COMERCIAL!I65,OPERAÇÕES!I65,'FAVELA 3D'!I65)</f>
        <v>50</v>
      </c>
      <c r="J65" s="37">
        <f>SUM(ADM!J65,MARKETING!J65,COMERCIAL!J65,OPERAÇÕES!J65,'FAVELA 3D'!J65)</f>
        <v>50</v>
      </c>
      <c r="K65" s="37">
        <f>SUM(ADM!K65,MARKETING!K65,COMERCIAL!K65,OPERAÇÕES!K65,'FAVELA 3D'!K65)</f>
        <v>50</v>
      </c>
      <c r="L65" s="37">
        <f>SUM(ADM!L65,MARKETING!L65,COMERCIAL!L65,OPERAÇÕES!L65,'FAVELA 3D'!L65)</f>
        <v>50</v>
      </c>
      <c r="M65" s="37">
        <f>SUM(ADM!M65,MARKETING!M65,COMERCIAL!M65,OPERAÇÕES!M65,'FAVELA 3D'!M65)</f>
        <v>50</v>
      </c>
      <c r="N65" s="37">
        <f>SUM(ADM!N65,MARKETING!N65,COMERCIAL!N65,OPERAÇÕES!N65,'FAVELA 3D'!N65)</f>
        <v>50</v>
      </c>
      <c r="O65" s="215">
        <f t="shared" si="6"/>
        <v>600</v>
      </c>
    </row>
    <row r="66" spans="2:15" s="9" customFormat="1" ht="16.5" x14ac:dyDescent="0.25">
      <c r="B66" s="12" t="s">
        <v>88</v>
      </c>
      <c r="C66" s="37">
        <f>SUM(ADM!C66,MARKETING!C66,COMERCIAL!C66,OPERAÇÕES!C66,'FAVELA 3D'!C66)</f>
        <v>0</v>
      </c>
      <c r="D66" s="37">
        <f>SUM(ADM!D66,MARKETING!D66,COMERCIAL!D66,OPERAÇÕES!D66,'FAVELA 3D'!D66)</f>
        <v>0</v>
      </c>
      <c r="E66" s="37">
        <f>SUM(ADM!E66,MARKETING!E66,COMERCIAL!E66,OPERAÇÕES!E66,'FAVELA 3D'!E66)</f>
        <v>0</v>
      </c>
      <c r="F66" s="37">
        <f>SUM(ADM!F66,MARKETING!F66,COMERCIAL!F66,OPERAÇÕES!F66,'FAVELA 3D'!F66)</f>
        <v>0</v>
      </c>
      <c r="G66" s="37">
        <f>SUM(ADM!G66,MARKETING!G66,COMERCIAL!G66,OPERAÇÕES!G66,'FAVELA 3D'!G66)</f>
        <v>0</v>
      </c>
      <c r="H66" s="37">
        <f>SUM(ADM!H66,MARKETING!H66,COMERCIAL!H66,OPERAÇÕES!H66,'FAVELA 3D'!H66)</f>
        <v>0</v>
      </c>
      <c r="I66" s="37">
        <f>SUM(ADM!I66,MARKETING!I66,COMERCIAL!I66,OPERAÇÕES!I66,'FAVELA 3D'!I66)</f>
        <v>0</v>
      </c>
      <c r="J66" s="37">
        <f>SUM(ADM!J66,MARKETING!J66,COMERCIAL!J66,OPERAÇÕES!J66,'FAVELA 3D'!J66)</f>
        <v>0</v>
      </c>
      <c r="K66" s="37">
        <f>SUM(ADM!K66,MARKETING!K66,COMERCIAL!K66,OPERAÇÕES!K66,'FAVELA 3D'!K66)</f>
        <v>0</v>
      </c>
      <c r="L66" s="37">
        <f>SUM(ADM!L66,MARKETING!L66,COMERCIAL!L66,OPERAÇÕES!L66,'FAVELA 3D'!L66)</f>
        <v>0</v>
      </c>
      <c r="M66" s="37">
        <f>SUM(ADM!M66,MARKETING!M66,COMERCIAL!M66,OPERAÇÕES!M66,'FAVELA 3D'!M66)</f>
        <v>0</v>
      </c>
      <c r="N66" s="37">
        <f>SUM(ADM!N66,MARKETING!N66,COMERCIAL!N66,OPERAÇÕES!N66,'FAVELA 3D'!N66)</f>
        <v>0</v>
      </c>
      <c r="O66" s="215">
        <f t="shared" si="6"/>
        <v>0</v>
      </c>
    </row>
    <row r="67" spans="2:15" s="9" customFormat="1" ht="16.5" x14ac:dyDescent="0.25">
      <c r="B67" s="12" t="s">
        <v>89</v>
      </c>
      <c r="C67" s="37">
        <f>SUM(ADM!C67,MARKETING!C67,COMERCIAL!C67,OPERAÇÕES!C67,'FAVELA 3D'!C67)</f>
        <v>135450</v>
      </c>
      <c r="D67" s="37">
        <f>SUM(ADM!D67,MARKETING!D67,COMERCIAL!D67,OPERAÇÕES!D67,'FAVELA 3D'!D67)</f>
        <v>137750</v>
      </c>
      <c r="E67" s="37">
        <f>SUM(ADM!E67,MARKETING!E67,COMERCIAL!E67,OPERAÇÕES!E67,'FAVELA 3D'!E67)</f>
        <v>137750</v>
      </c>
      <c r="F67" s="37">
        <f>SUM(ADM!F67,MARKETING!F67,COMERCIAL!F67,OPERAÇÕES!F67,'FAVELA 3D'!F67)</f>
        <v>137750</v>
      </c>
      <c r="G67" s="37">
        <f>SUM(ADM!G67,MARKETING!G67,COMERCIAL!G67,OPERAÇÕES!G67,'FAVELA 3D'!G67)</f>
        <v>137750</v>
      </c>
      <c r="H67" s="37">
        <f>SUM(ADM!H67,MARKETING!H67,COMERCIAL!H67,OPERAÇÕES!H67,'FAVELA 3D'!H67)</f>
        <v>137750</v>
      </c>
      <c r="I67" s="37">
        <f>SUM(ADM!I67,MARKETING!I67,COMERCIAL!I67,OPERAÇÕES!I67,'FAVELA 3D'!I67)</f>
        <v>137750</v>
      </c>
      <c r="J67" s="37">
        <f>SUM(ADM!J67,MARKETING!J67,COMERCIAL!J67,OPERAÇÕES!J67,'FAVELA 3D'!J67)</f>
        <v>137750</v>
      </c>
      <c r="K67" s="37">
        <f>SUM(ADM!K67,MARKETING!K67,COMERCIAL!K67,OPERAÇÕES!K67,'FAVELA 3D'!K67)</f>
        <v>137750</v>
      </c>
      <c r="L67" s="37">
        <f>SUM(ADM!L67,MARKETING!L67,COMERCIAL!L67,OPERAÇÕES!L67,'FAVELA 3D'!L67)</f>
        <v>137750</v>
      </c>
      <c r="M67" s="37">
        <f>SUM(ADM!M67,MARKETING!M67,COMERCIAL!M67,OPERAÇÕES!M67,'FAVELA 3D'!M67)</f>
        <v>137750</v>
      </c>
      <c r="N67" s="37">
        <f>SUM(ADM!N67,MARKETING!N67,COMERCIAL!N67,OPERAÇÕES!N67,'FAVELA 3D'!N67)</f>
        <v>152050</v>
      </c>
      <c r="O67" s="215">
        <f t="shared" si="6"/>
        <v>1665000</v>
      </c>
    </row>
    <row r="68" spans="2:15" s="9" customFormat="1" ht="16.5" x14ac:dyDescent="0.25">
      <c r="B68" s="12" t="s">
        <v>90</v>
      </c>
      <c r="C68" s="37">
        <f>SUM(ADM!C68,MARKETING!C68,COMERCIAL!C68,OPERAÇÕES!C68,'FAVELA 3D'!C68)</f>
        <v>7500</v>
      </c>
      <c r="D68" s="37">
        <f>SUM(ADM!D68,MARKETING!D68,COMERCIAL!D68,OPERAÇÕES!D68,'FAVELA 3D'!D68)</f>
        <v>7500</v>
      </c>
      <c r="E68" s="37">
        <f>SUM(ADM!E68,MARKETING!E68,COMERCIAL!E68,OPERAÇÕES!E68,'FAVELA 3D'!E68)</f>
        <v>7500</v>
      </c>
      <c r="F68" s="37">
        <f>SUM(ADM!F68,MARKETING!F68,COMERCIAL!F68,OPERAÇÕES!F68,'FAVELA 3D'!F68)</f>
        <v>7500</v>
      </c>
      <c r="G68" s="37">
        <f>SUM(ADM!G68,MARKETING!G68,COMERCIAL!G68,OPERAÇÕES!G68,'FAVELA 3D'!G68)</f>
        <v>7500</v>
      </c>
      <c r="H68" s="37">
        <f>SUM(ADM!H68,MARKETING!H68,COMERCIAL!H68,OPERAÇÕES!H68,'FAVELA 3D'!H68)</f>
        <v>7500</v>
      </c>
      <c r="I68" s="37">
        <f>SUM(ADM!I68,MARKETING!I68,COMERCIAL!I68,OPERAÇÕES!I68,'FAVELA 3D'!I68)</f>
        <v>7500</v>
      </c>
      <c r="J68" s="37">
        <f>SUM(ADM!J68,MARKETING!J68,COMERCIAL!J68,OPERAÇÕES!J68,'FAVELA 3D'!J68)</f>
        <v>7500</v>
      </c>
      <c r="K68" s="37">
        <f>SUM(ADM!K68,MARKETING!K68,COMERCIAL!K68,OPERAÇÕES!K68,'FAVELA 3D'!K68)</f>
        <v>7500</v>
      </c>
      <c r="L68" s="37">
        <f>SUM(ADM!L68,MARKETING!L68,COMERCIAL!L68,OPERAÇÕES!L68,'FAVELA 3D'!L68)</f>
        <v>7500</v>
      </c>
      <c r="M68" s="37">
        <f>SUM(ADM!M68,MARKETING!M68,COMERCIAL!M68,OPERAÇÕES!M68,'FAVELA 3D'!M68)</f>
        <v>7500</v>
      </c>
      <c r="N68" s="37">
        <f>SUM(ADM!N68,MARKETING!N68,COMERCIAL!N68,OPERAÇÕES!N68,'FAVELA 3D'!N68)</f>
        <v>7500</v>
      </c>
      <c r="O68" s="215">
        <f>SUM(C68:N68)</f>
        <v>90000</v>
      </c>
    </row>
    <row r="69" spans="2:15" s="9" customFormat="1" ht="16.5" x14ac:dyDescent="0.25">
      <c r="B69" s="12" t="s">
        <v>91</v>
      </c>
      <c r="C69" s="37">
        <f>SUM(ADM!C69,MARKETING!C69,COMERCIAL!C69,OPERAÇÕES!C69,'FAVELA 3D'!C69)</f>
        <v>0</v>
      </c>
      <c r="D69" s="37">
        <f>SUM(ADM!D69,MARKETING!D69,COMERCIAL!D69,OPERAÇÕES!D69,'FAVELA 3D'!D69)</f>
        <v>0</v>
      </c>
      <c r="E69" s="37">
        <f>SUM(ADM!E69,MARKETING!E69,COMERCIAL!E69,OPERAÇÕES!E69,'FAVELA 3D'!E69)</f>
        <v>0</v>
      </c>
      <c r="F69" s="37">
        <f>SUM(ADM!F69,MARKETING!F69,COMERCIAL!F69,OPERAÇÕES!F69,'FAVELA 3D'!F69)</f>
        <v>0</v>
      </c>
      <c r="G69" s="37">
        <f>SUM(ADM!G69,MARKETING!G69,COMERCIAL!G69,OPERAÇÕES!G69,'FAVELA 3D'!G69)</f>
        <v>0</v>
      </c>
      <c r="H69" s="37">
        <f>SUM(ADM!H69,MARKETING!H69,COMERCIAL!H69,OPERAÇÕES!H69,'FAVELA 3D'!H69)</f>
        <v>0</v>
      </c>
      <c r="I69" s="37">
        <f>SUM(ADM!I69,MARKETING!I69,COMERCIAL!I69,OPERAÇÕES!I69,'FAVELA 3D'!I69)</f>
        <v>0</v>
      </c>
      <c r="J69" s="37">
        <f>SUM(ADM!J69,MARKETING!J69,COMERCIAL!J69,OPERAÇÕES!J69,'FAVELA 3D'!J69)</f>
        <v>0</v>
      </c>
      <c r="K69" s="37">
        <f>SUM(ADM!K69,MARKETING!K69,COMERCIAL!K69,OPERAÇÕES!K69,'FAVELA 3D'!K69)</f>
        <v>0</v>
      </c>
      <c r="L69" s="37">
        <f>SUM(ADM!L69,MARKETING!L69,COMERCIAL!L69,OPERAÇÕES!L69,'FAVELA 3D'!L69)</f>
        <v>0</v>
      </c>
      <c r="M69" s="37">
        <f>SUM(ADM!M69,MARKETING!M69,COMERCIAL!M69,OPERAÇÕES!M69,'FAVELA 3D'!M69)</f>
        <v>0</v>
      </c>
      <c r="N69" s="37">
        <f>SUM(ADM!N69,MARKETING!N69,COMERCIAL!N69,OPERAÇÕES!N69,'FAVELA 3D'!N69)</f>
        <v>0</v>
      </c>
      <c r="O69" s="215">
        <f t="shared" si="6"/>
        <v>0</v>
      </c>
    </row>
    <row r="70" spans="2:15" s="9" customFormat="1" ht="16.5" x14ac:dyDescent="0.25">
      <c r="B70" s="12" t="s">
        <v>92</v>
      </c>
      <c r="C70" s="37">
        <f>SUM(ADM!C70,MARKETING!C70,COMERCIAL!C70,OPERAÇÕES!C70,'FAVELA 3D'!C70)</f>
        <v>500</v>
      </c>
      <c r="D70" s="37">
        <f>SUM(ADM!D70,MARKETING!D70,COMERCIAL!D70,OPERAÇÕES!D70,'FAVELA 3D'!D70)</f>
        <v>500</v>
      </c>
      <c r="E70" s="37">
        <f>SUM(ADM!E70,MARKETING!E70,COMERCIAL!E70,OPERAÇÕES!E70,'FAVELA 3D'!E70)</f>
        <v>500</v>
      </c>
      <c r="F70" s="37">
        <f>SUM(ADM!F70,MARKETING!F70,COMERCIAL!F70,OPERAÇÕES!F70,'FAVELA 3D'!F70)</f>
        <v>500</v>
      </c>
      <c r="G70" s="37">
        <f>SUM(ADM!G70,MARKETING!G70,COMERCIAL!G70,OPERAÇÕES!G70,'FAVELA 3D'!G70)</f>
        <v>500</v>
      </c>
      <c r="H70" s="37">
        <f>SUM(ADM!H70,MARKETING!H70,COMERCIAL!H70,OPERAÇÕES!H70,'FAVELA 3D'!H70)</f>
        <v>500</v>
      </c>
      <c r="I70" s="37">
        <f>SUM(ADM!I70,MARKETING!I70,COMERCIAL!I70,OPERAÇÕES!I70,'FAVELA 3D'!I70)</f>
        <v>3000</v>
      </c>
      <c r="J70" s="37">
        <f>SUM(ADM!J70,MARKETING!J70,COMERCIAL!J70,OPERAÇÕES!J70,'FAVELA 3D'!J70)</f>
        <v>500</v>
      </c>
      <c r="K70" s="37">
        <f>SUM(ADM!K70,MARKETING!K70,COMERCIAL!K70,OPERAÇÕES!K70,'FAVELA 3D'!K70)</f>
        <v>500</v>
      </c>
      <c r="L70" s="37">
        <f>SUM(ADM!L70,MARKETING!L70,COMERCIAL!L70,OPERAÇÕES!L70,'FAVELA 3D'!L70)</f>
        <v>500</v>
      </c>
      <c r="M70" s="37">
        <f>SUM(ADM!M70,MARKETING!M70,COMERCIAL!M70,OPERAÇÕES!M70,'FAVELA 3D'!M70)</f>
        <v>500</v>
      </c>
      <c r="N70" s="37">
        <f>SUM(ADM!N70,MARKETING!N70,COMERCIAL!N70,OPERAÇÕES!N70,'FAVELA 3D'!N70)</f>
        <v>500</v>
      </c>
      <c r="O70" s="215">
        <f t="shared" si="6"/>
        <v>8500</v>
      </c>
    </row>
    <row r="71" spans="2:15" s="9" customFormat="1" ht="16.5" x14ac:dyDescent="0.25">
      <c r="B71" s="12" t="s">
        <v>93</v>
      </c>
      <c r="C71" s="37">
        <f>SUM(ADM!C71,MARKETING!C71,COMERCIAL!C71,OPERAÇÕES!C71,'FAVELA 3D'!C71)</f>
        <v>700</v>
      </c>
      <c r="D71" s="37">
        <f>SUM(ADM!D71,MARKETING!D71,COMERCIAL!D71,OPERAÇÕES!D71,'FAVELA 3D'!D71)</f>
        <v>6596</v>
      </c>
      <c r="E71" s="37">
        <f>SUM(ADM!E71,MARKETING!E71,COMERCIAL!E71,OPERAÇÕES!E71,'FAVELA 3D'!E71)</f>
        <v>6596</v>
      </c>
      <c r="F71" s="37">
        <f>SUM(ADM!F71,MARKETING!F71,COMERCIAL!F71,OPERAÇÕES!F71,'FAVELA 3D'!F71)</f>
        <v>6596</v>
      </c>
      <c r="G71" s="37">
        <f>SUM(ADM!G71,MARKETING!G71,COMERCIAL!G71,OPERAÇÕES!G71,'FAVELA 3D'!G71)</f>
        <v>6596</v>
      </c>
      <c r="H71" s="37">
        <f>SUM(ADM!H71,MARKETING!H71,COMERCIAL!H71,OPERAÇÕES!H71,'FAVELA 3D'!H71)</f>
        <v>6596</v>
      </c>
      <c r="I71" s="37">
        <f>SUM(ADM!I71,MARKETING!I71,COMERCIAL!I71,OPERAÇÕES!I71,'FAVELA 3D'!I71)</f>
        <v>6596</v>
      </c>
      <c r="J71" s="37">
        <f>SUM(ADM!J71,MARKETING!J71,COMERCIAL!J71,OPERAÇÕES!J71,'FAVELA 3D'!J71)</f>
        <v>6596</v>
      </c>
      <c r="K71" s="37">
        <f>SUM(ADM!K71,MARKETING!K71,COMERCIAL!K71,OPERAÇÕES!K71,'FAVELA 3D'!K71)</f>
        <v>6596</v>
      </c>
      <c r="L71" s="37">
        <f>SUM(ADM!L71,MARKETING!L71,COMERCIAL!L71,OPERAÇÕES!L71,'FAVELA 3D'!L71)</f>
        <v>6596</v>
      </c>
      <c r="M71" s="37">
        <f>SUM(ADM!M71,MARKETING!M71,COMERCIAL!M71,OPERAÇÕES!M71,'FAVELA 3D'!M71)</f>
        <v>6596</v>
      </c>
      <c r="N71" s="37">
        <f>SUM(ADM!N71,MARKETING!N71,COMERCIAL!N71,OPERAÇÕES!N71,'FAVELA 3D'!N71)</f>
        <v>4316</v>
      </c>
      <c r="O71" s="215">
        <f t="shared" si="6"/>
        <v>70976</v>
      </c>
    </row>
    <row r="72" spans="2:15" s="9" customFormat="1" ht="16.5" x14ac:dyDescent="0.25">
      <c r="B72" s="12" t="s">
        <v>94</v>
      </c>
      <c r="C72" s="37">
        <f>SUM(ADM!C72,MARKETING!C72,COMERCIAL!C72,OPERAÇÕES!C72,'FAVELA 3D'!C72)</f>
        <v>400</v>
      </c>
      <c r="D72" s="37">
        <f>SUM(ADM!D72,MARKETING!D72,COMERCIAL!D72,OPERAÇÕES!D72,'FAVELA 3D'!D72)</f>
        <v>400</v>
      </c>
      <c r="E72" s="37">
        <f>SUM(ADM!E72,MARKETING!E72,COMERCIAL!E72,OPERAÇÕES!E72,'FAVELA 3D'!E72)</f>
        <v>400</v>
      </c>
      <c r="F72" s="37">
        <f>SUM(ADM!F72,MARKETING!F72,COMERCIAL!F72,OPERAÇÕES!F72,'FAVELA 3D'!F72)</f>
        <v>400</v>
      </c>
      <c r="G72" s="37">
        <f>SUM(ADM!G72,MARKETING!G72,COMERCIAL!G72,OPERAÇÕES!G72,'FAVELA 3D'!G72)</f>
        <v>400</v>
      </c>
      <c r="H72" s="37">
        <f>SUM(ADM!H72,MARKETING!H72,COMERCIAL!H72,OPERAÇÕES!H72,'FAVELA 3D'!H72)</f>
        <v>400</v>
      </c>
      <c r="I72" s="37">
        <f>SUM(ADM!I72,MARKETING!I72,COMERCIAL!I72,OPERAÇÕES!I72,'FAVELA 3D'!I72)</f>
        <v>400</v>
      </c>
      <c r="J72" s="37">
        <f>SUM(ADM!J72,MARKETING!J72,COMERCIAL!J72,OPERAÇÕES!J72,'FAVELA 3D'!J72)</f>
        <v>400</v>
      </c>
      <c r="K72" s="37">
        <f>SUM(ADM!K72,MARKETING!K72,COMERCIAL!K72,OPERAÇÕES!K72,'FAVELA 3D'!K72)</f>
        <v>400</v>
      </c>
      <c r="L72" s="37">
        <f>SUM(ADM!L72,MARKETING!L72,COMERCIAL!L72,OPERAÇÕES!L72,'FAVELA 3D'!L72)</f>
        <v>400</v>
      </c>
      <c r="M72" s="37">
        <f>SUM(ADM!M72,MARKETING!M72,COMERCIAL!M72,OPERAÇÕES!M72,'FAVELA 3D'!M72)</f>
        <v>400</v>
      </c>
      <c r="N72" s="37">
        <f>SUM(ADM!N72,MARKETING!N72,COMERCIAL!N72,OPERAÇÕES!N72,'FAVELA 3D'!N72)</f>
        <v>400</v>
      </c>
      <c r="O72" s="215">
        <f t="shared" si="6"/>
        <v>4800</v>
      </c>
    </row>
    <row r="73" spans="2:15" s="9" customFormat="1" ht="16.5" x14ac:dyDescent="0.25">
      <c r="B73" s="12" t="s">
        <v>95</v>
      </c>
      <c r="C73" s="37">
        <f>SUM(ADM!C73,MARKETING!C73,COMERCIAL!C73,OPERAÇÕES!C73,'FAVELA 3D'!C73)</f>
        <v>1000</v>
      </c>
      <c r="D73" s="37">
        <f>SUM(ADM!D73,MARKETING!D73,COMERCIAL!D73,OPERAÇÕES!D73,'FAVELA 3D'!D73)</f>
        <v>1000</v>
      </c>
      <c r="E73" s="37">
        <f>SUM(ADM!E73,MARKETING!E73,COMERCIAL!E73,OPERAÇÕES!E73,'FAVELA 3D'!E73)</f>
        <v>1000</v>
      </c>
      <c r="F73" s="37">
        <f>SUM(ADM!F73,MARKETING!F73,COMERCIAL!F73,OPERAÇÕES!F73,'FAVELA 3D'!F73)</f>
        <v>1000</v>
      </c>
      <c r="G73" s="37">
        <f>SUM(ADM!G73,MARKETING!G73,COMERCIAL!G73,OPERAÇÕES!G73,'FAVELA 3D'!G73)</f>
        <v>1000</v>
      </c>
      <c r="H73" s="37">
        <f>SUM(ADM!H73,MARKETING!H73,COMERCIAL!H73,OPERAÇÕES!H73,'FAVELA 3D'!H73)</f>
        <v>1000</v>
      </c>
      <c r="I73" s="37">
        <f>SUM(ADM!I73,MARKETING!I73,COMERCIAL!I73,OPERAÇÕES!I73,'FAVELA 3D'!I73)</f>
        <v>1000</v>
      </c>
      <c r="J73" s="37">
        <f>SUM(ADM!J73,MARKETING!J73,COMERCIAL!J73,OPERAÇÕES!J73,'FAVELA 3D'!J73)</f>
        <v>1000</v>
      </c>
      <c r="K73" s="37">
        <f>SUM(ADM!K73,MARKETING!K73,COMERCIAL!K73,OPERAÇÕES!K73,'FAVELA 3D'!K73)</f>
        <v>1000</v>
      </c>
      <c r="L73" s="37">
        <f>SUM(ADM!L73,MARKETING!L73,COMERCIAL!L73,OPERAÇÕES!L73,'FAVELA 3D'!L73)</f>
        <v>1000</v>
      </c>
      <c r="M73" s="37">
        <f>SUM(ADM!M73,MARKETING!M73,COMERCIAL!M73,OPERAÇÕES!M73,'FAVELA 3D'!M73)</f>
        <v>1000</v>
      </c>
      <c r="N73" s="37">
        <f>SUM(ADM!N73,MARKETING!N73,COMERCIAL!N73,OPERAÇÕES!N73,'FAVELA 3D'!N73)</f>
        <v>1000</v>
      </c>
      <c r="O73" s="215">
        <f t="shared" si="6"/>
        <v>12000</v>
      </c>
    </row>
    <row r="74" spans="2:15" s="9" customFormat="1" ht="16.5" x14ac:dyDescent="0.25">
      <c r="B74" s="12" t="s">
        <v>96</v>
      </c>
      <c r="C74" s="37">
        <f>SUM(ADM!C74,MARKETING!C74,COMERCIAL!C74,OPERAÇÕES!C74,'FAVELA 3D'!C74)</f>
        <v>0</v>
      </c>
      <c r="D74" s="37">
        <f>SUM(ADM!D74,MARKETING!D74,COMERCIAL!D74,OPERAÇÕES!D74,'FAVELA 3D'!D74)</f>
        <v>100</v>
      </c>
      <c r="E74" s="37">
        <f>SUM(ADM!E74,MARKETING!E74,COMERCIAL!E74,OPERAÇÕES!E74,'FAVELA 3D'!E74)</f>
        <v>100</v>
      </c>
      <c r="F74" s="37">
        <f>SUM(ADM!F74,MARKETING!F74,COMERCIAL!F74,OPERAÇÕES!F74,'FAVELA 3D'!F74)</f>
        <v>100</v>
      </c>
      <c r="G74" s="37">
        <f>SUM(ADM!G74,MARKETING!G74,COMERCIAL!G74,OPERAÇÕES!G74,'FAVELA 3D'!G74)</f>
        <v>100</v>
      </c>
      <c r="H74" s="37">
        <f>SUM(ADM!H74,MARKETING!H74,COMERCIAL!H74,OPERAÇÕES!H74,'FAVELA 3D'!H74)</f>
        <v>100</v>
      </c>
      <c r="I74" s="37">
        <f>SUM(ADM!I74,MARKETING!I74,COMERCIAL!I74,OPERAÇÕES!I74,'FAVELA 3D'!I74)</f>
        <v>100</v>
      </c>
      <c r="J74" s="37">
        <f>SUM(ADM!J74,MARKETING!J74,COMERCIAL!J74,OPERAÇÕES!J74,'FAVELA 3D'!J74)</f>
        <v>100</v>
      </c>
      <c r="K74" s="37">
        <f>SUM(ADM!K74,MARKETING!K74,COMERCIAL!K74,OPERAÇÕES!K74,'FAVELA 3D'!K74)</f>
        <v>100</v>
      </c>
      <c r="L74" s="37">
        <f>SUM(ADM!L74,MARKETING!L74,COMERCIAL!L74,OPERAÇÕES!L74,'FAVELA 3D'!L74)</f>
        <v>100</v>
      </c>
      <c r="M74" s="37">
        <f>SUM(ADM!M74,MARKETING!M74,COMERCIAL!M74,OPERAÇÕES!M74,'FAVELA 3D'!M74)</f>
        <v>100</v>
      </c>
      <c r="N74" s="37">
        <f>SUM(ADM!N74,MARKETING!N74,COMERCIAL!N74,OPERAÇÕES!N74,'FAVELA 3D'!N74)</f>
        <v>100</v>
      </c>
      <c r="O74" s="215">
        <f>SUM(C74:N74)</f>
        <v>1100</v>
      </c>
    </row>
    <row r="75" spans="2:15" s="9" customFormat="1" ht="19.5" x14ac:dyDescent="0.25">
      <c r="B75" s="15" t="s">
        <v>97</v>
      </c>
      <c r="C75" s="38">
        <f>SUM(C76:C98)</f>
        <v>41900</v>
      </c>
      <c r="D75" s="38">
        <f t="shared" ref="D75:N75" si="20">SUM(D76:D98)</f>
        <v>59754.36</v>
      </c>
      <c r="E75" s="38">
        <f t="shared" si="20"/>
        <v>33982.36</v>
      </c>
      <c r="F75" s="38">
        <f t="shared" si="20"/>
        <v>37112.36</v>
      </c>
      <c r="G75" s="38">
        <f t="shared" si="20"/>
        <v>34532.36</v>
      </c>
      <c r="H75" s="38">
        <f t="shared" si="20"/>
        <v>35012.36</v>
      </c>
      <c r="I75" s="38">
        <f t="shared" si="20"/>
        <v>37132.36</v>
      </c>
      <c r="J75" s="38">
        <f t="shared" si="20"/>
        <v>51762.36</v>
      </c>
      <c r="K75" s="38">
        <f t="shared" si="20"/>
        <v>35272.36</v>
      </c>
      <c r="L75" s="38">
        <f t="shared" si="20"/>
        <v>36672.36</v>
      </c>
      <c r="M75" s="38">
        <f t="shared" si="20"/>
        <v>35772.36</v>
      </c>
      <c r="N75" s="38">
        <f t="shared" si="20"/>
        <v>30800</v>
      </c>
      <c r="O75" s="218">
        <f>SUM(C75:N75)</f>
        <v>469705.59999999992</v>
      </c>
    </row>
    <row r="76" spans="2:15" s="9" customFormat="1" ht="16.5" x14ac:dyDescent="0.25">
      <c r="B76" s="12" t="s">
        <v>98</v>
      </c>
      <c r="C76" s="37">
        <f>SUM(ADM!C76,MARKETING!C76,COMERCIAL!C76,OPERAÇÕES!C76,'FAVELA 3D'!C76)</f>
        <v>6275</v>
      </c>
      <c r="D76" s="37">
        <f>SUM(ADM!D76,MARKETING!D76,COMERCIAL!D76,OPERAÇÕES!D76,'FAVELA 3D'!D76)</f>
        <v>6575</v>
      </c>
      <c r="E76" s="37">
        <f>SUM(ADM!E76,MARKETING!E76,COMERCIAL!E76,OPERAÇÕES!E76,'FAVELA 3D'!E76)</f>
        <v>6775</v>
      </c>
      <c r="F76" s="37">
        <f>SUM(ADM!F76,MARKETING!F76,COMERCIAL!F76,OPERAÇÕES!F76,'FAVELA 3D'!F76)</f>
        <v>6775</v>
      </c>
      <c r="G76" s="37">
        <f>SUM(ADM!G76,MARKETING!G76,COMERCIAL!G76,OPERAÇÕES!G76,'FAVELA 3D'!G76)</f>
        <v>6775</v>
      </c>
      <c r="H76" s="37">
        <f>SUM(ADM!H76,MARKETING!H76,COMERCIAL!H76,OPERAÇÕES!H76,'FAVELA 3D'!H76)</f>
        <v>6775</v>
      </c>
      <c r="I76" s="37">
        <f>SUM(ADM!I76,MARKETING!I76,COMERCIAL!I76,OPERAÇÕES!I76,'FAVELA 3D'!I76)</f>
        <v>6775</v>
      </c>
      <c r="J76" s="37">
        <f>SUM(ADM!J76,MARKETING!J76,COMERCIAL!J76,OPERAÇÕES!J76,'FAVELA 3D'!J76)</f>
        <v>7125</v>
      </c>
      <c r="K76" s="37">
        <f>SUM(ADM!K76,MARKETING!K76,COMERCIAL!K76,OPERAÇÕES!K76,'FAVELA 3D'!K76)</f>
        <v>7125</v>
      </c>
      <c r="L76" s="37">
        <f>SUM(ADM!L76,MARKETING!L76,COMERCIAL!L76,OPERAÇÕES!L76,'FAVELA 3D'!L76)</f>
        <v>7125</v>
      </c>
      <c r="M76" s="37">
        <f>SUM(ADM!M76,MARKETING!M76,COMERCIAL!M76,OPERAÇÕES!M76,'FAVELA 3D'!M76)</f>
        <v>7125</v>
      </c>
      <c r="N76" s="37">
        <f>SUM(ADM!N76,MARKETING!N76,COMERCIAL!N76,OPERAÇÕES!N76,'FAVELA 3D'!N76)</f>
        <v>7125</v>
      </c>
      <c r="O76" s="215">
        <f t="shared" ref="O76:O138" si="21">SUM(C76:N76)</f>
        <v>82350</v>
      </c>
    </row>
    <row r="77" spans="2:15" s="9" customFormat="1" ht="16.5" x14ac:dyDescent="0.25">
      <c r="B77" s="12" t="s">
        <v>99</v>
      </c>
      <c r="C77" s="37">
        <f>SUM(ADM!C77,MARKETING!C77,COMERCIAL!C77,OPERAÇÕES!C77,'FAVELA 3D'!C77)</f>
        <v>0</v>
      </c>
      <c r="D77" s="37">
        <f>SUM(ADM!D77,MARKETING!D77,COMERCIAL!D77,OPERAÇÕES!D77,'FAVELA 3D'!D77)</f>
        <v>2250</v>
      </c>
      <c r="E77" s="37">
        <f>SUM(ADM!E77,MARKETING!E77,COMERCIAL!E77,OPERAÇÕES!E77,'FAVELA 3D'!E77)</f>
        <v>2250</v>
      </c>
      <c r="F77" s="37">
        <f>SUM(ADM!F77,MARKETING!F77,COMERCIAL!F77,OPERAÇÕES!F77,'FAVELA 3D'!F77)</f>
        <v>2250</v>
      </c>
      <c r="G77" s="37">
        <f>SUM(ADM!G77,MARKETING!G77,COMERCIAL!G77,OPERAÇÕES!G77,'FAVELA 3D'!G77)</f>
        <v>2250</v>
      </c>
      <c r="H77" s="37">
        <f>SUM(ADM!H77,MARKETING!H77,COMERCIAL!H77,OPERAÇÕES!H77,'FAVELA 3D'!H77)</f>
        <v>2250</v>
      </c>
      <c r="I77" s="37">
        <f>SUM(ADM!I77,MARKETING!I77,COMERCIAL!I77,OPERAÇÕES!I77,'FAVELA 3D'!I77)</f>
        <v>2250</v>
      </c>
      <c r="J77" s="37">
        <f>SUM(ADM!J77,MARKETING!J77,COMERCIAL!J77,OPERAÇÕES!J77,'FAVELA 3D'!J77)</f>
        <v>2250</v>
      </c>
      <c r="K77" s="37">
        <f>SUM(ADM!K77,MARKETING!K77,COMERCIAL!K77,OPERAÇÕES!K77,'FAVELA 3D'!K77)</f>
        <v>2250</v>
      </c>
      <c r="L77" s="37">
        <f>SUM(ADM!L77,MARKETING!L77,COMERCIAL!L77,OPERAÇÕES!L77,'FAVELA 3D'!L77)</f>
        <v>2250</v>
      </c>
      <c r="M77" s="37">
        <f>SUM(ADM!M77,MARKETING!M77,COMERCIAL!M77,OPERAÇÕES!M77,'FAVELA 3D'!M77)</f>
        <v>2250</v>
      </c>
      <c r="N77" s="37">
        <f>SUM(ADM!N77,MARKETING!N77,COMERCIAL!N77,OPERAÇÕES!N77,'FAVELA 3D'!N77)</f>
        <v>2250</v>
      </c>
      <c r="O77" s="215">
        <f t="shared" si="21"/>
        <v>24750</v>
      </c>
    </row>
    <row r="78" spans="2:15" s="9" customFormat="1" ht="16.5" x14ac:dyDescent="0.25">
      <c r="B78" s="12" t="s">
        <v>100</v>
      </c>
      <c r="C78" s="37">
        <f>SUM(ADM!C78,MARKETING!C78,COMERCIAL!C78,OPERAÇÕES!C78,'FAVELA 3D'!C78)</f>
        <v>950</v>
      </c>
      <c r="D78" s="37">
        <f>SUM(ADM!D78,MARKETING!D78,COMERCIAL!D78,OPERAÇÕES!D78,'FAVELA 3D'!D78)</f>
        <v>950</v>
      </c>
      <c r="E78" s="37">
        <f>SUM(ADM!E78,MARKETING!E78,COMERCIAL!E78,OPERAÇÕES!E78,'FAVELA 3D'!E78)</f>
        <v>950</v>
      </c>
      <c r="F78" s="37">
        <f>SUM(ADM!F78,MARKETING!F78,COMERCIAL!F78,OPERAÇÕES!F78,'FAVELA 3D'!F78)</f>
        <v>950</v>
      </c>
      <c r="G78" s="37">
        <f>SUM(ADM!G78,MARKETING!G78,COMERCIAL!G78,OPERAÇÕES!G78,'FAVELA 3D'!G78)</f>
        <v>950</v>
      </c>
      <c r="H78" s="37">
        <f>SUM(ADM!H78,MARKETING!H78,COMERCIAL!H78,OPERAÇÕES!H78,'FAVELA 3D'!H78)</f>
        <v>950</v>
      </c>
      <c r="I78" s="37">
        <f>SUM(ADM!I78,MARKETING!I78,COMERCIAL!I78,OPERAÇÕES!I78,'FAVELA 3D'!I78)</f>
        <v>950</v>
      </c>
      <c r="J78" s="37">
        <f>SUM(ADM!J78,MARKETING!J78,COMERCIAL!J78,OPERAÇÕES!J78,'FAVELA 3D'!J78)</f>
        <v>950</v>
      </c>
      <c r="K78" s="37">
        <f>SUM(ADM!K78,MARKETING!K78,COMERCIAL!K78,OPERAÇÕES!K78,'FAVELA 3D'!K78)</f>
        <v>950</v>
      </c>
      <c r="L78" s="37">
        <f>SUM(ADM!L78,MARKETING!L78,COMERCIAL!L78,OPERAÇÕES!L78,'FAVELA 3D'!L78)</f>
        <v>950</v>
      </c>
      <c r="M78" s="37">
        <f>SUM(ADM!M78,MARKETING!M78,COMERCIAL!M78,OPERAÇÕES!M78,'FAVELA 3D'!M78)</f>
        <v>950</v>
      </c>
      <c r="N78" s="37">
        <f>SUM(ADM!N78,MARKETING!N78,COMERCIAL!N78,OPERAÇÕES!N78,'FAVELA 3D'!N78)</f>
        <v>950</v>
      </c>
      <c r="O78" s="215">
        <f t="shared" si="21"/>
        <v>11400</v>
      </c>
    </row>
    <row r="79" spans="2:15" s="9" customFormat="1" ht="16.5" x14ac:dyDescent="0.25">
      <c r="B79" s="12" t="s">
        <v>101</v>
      </c>
      <c r="C79" s="37">
        <f>SUM(ADM!C79,MARKETING!C79,COMERCIAL!C79,OPERAÇÕES!C79,'FAVELA 3D'!C79)</f>
        <v>2450</v>
      </c>
      <c r="D79" s="37">
        <f>SUM(ADM!D79,MARKETING!D79,COMERCIAL!D79,OPERAÇÕES!D79,'FAVELA 3D'!D79)</f>
        <v>2650</v>
      </c>
      <c r="E79" s="37">
        <f>SUM(ADM!E79,MARKETING!E79,COMERCIAL!E79,OPERAÇÕES!E79,'FAVELA 3D'!E79)</f>
        <v>2650</v>
      </c>
      <c r="F79" s="37">
        <f>SUM(ADM!F79,MARKETING!F79,COMERCIAL!F79,OPERAÇÕES!F79,'FAVELA 3D'!F79)</f>
        <v>2650</v>
      </c>
      <c r="G79" s="37">
        <f>SUM(ADM!G79,MARKETING!G79,COMERCIAL!G79,OPERAÇÕES!G79,'FAVELA 3D'!G79)</f>
        <v>2650</v>
      </c>
      <c r="H79" s="37">
        <f>SUM(ADM!H79,MARKETING!H79,COMERCIAL!H79,OPERAÇÕES!H79,'FAVELA 3D'!H79)</f>
        <v>2650</v>
      </c>
      <c r="I79" s="37">
        <f>SUM(ADM!I79,MARKETING!I79,COMERCIAL!I79,OPERAÇÕES!I79,'FAVELA 3D'!I79)</f>
        <v>2650</v>
      </c>
      <c r="J79" s="37">
        <f>SUM(ADM!J79,MARKETING!J79,COMERCIAL!J79,OPERAÇÕES!J79,'FAVELA 3D'!J79)</f>
        <v>2650</v>
      </c>
      <c r="K79" s="37">
        <f>SUM(ADM!K79,MARKETING!K79,COMERCIAL!K79,OPERAÇÕES!K79,'FAVELA 3D'!K79)</f>
        <v>2650</v>
      </c>
      <c r="L79" s="37">
        <f>SUM(ADM!L79,MARKETING!L79,COMERCIAL!L79,OPERAÇÕES!L79,'FAVELA 3D'!L79)</f>
        <v>2650</v>
      </c>
      <c r="M79" s="37">
        <f>SUM(ADM!M79,MARKETING!M79,COMERCIAL!M79,OPERAÇÕES!M79,'FAVELA 3D'!M79)</f>
        <v>2650</v>
      </c>
      <c r="N79" s="37">
        <f>SUM(ADM!N79,MARKETING!N79,COMERCIAL!N79,OPERAÇÕES!N79,'FAVELA 3D'!N79)</f>
        <v>2650</v>
      </c>
      <c r="O79" s="215">
        <f t="shared" si="21"/>
        <v>31600</v>
      </c>
    </row>
    <row r="80" spans="2:15" s="9" customFormat="1" ht="16.5" x14ac:dyDescent="0.25">
      <c r="B80" s="12" t="s">
        <v>102</v>
      </c>
      <c r="C80" s="37">
        <f>SUM(ADM!C80,MARKETING!C80,COMERCIAL!C80,OPERAÇÕES!C80,'FAVELA 3D'!C80)</f>
        <v>1545</v>
      </c>
      <c r="D80" s="37">
        <f>SUM(ADM!D80,MARKETING!D80,COMERCIAL!D80,OPERAÇÕES!D80,'FAVELA 3D'!D80)</f>
        <v>1545</v>
      </c>
      <c r="E80" s="37">
        <f>SUM(ADM!E80,MARKETING!E80,COMERCIAL!E80,OPERAÇÕES!E80,'FAVELA 3D'!E80)</f>
        <v>1545</v>
      </c>
      <c r="F80" s="37">
        <f>SUM(ADM!F80,MARKETING!F80,COMERCIAL!F80,OPERAÇÕES!F80,'FAVELA 3D'!F80)</f>
        <v>1545</v>
      </c>
      <c r="G80" s="37">
        <f>SUM(ADM!G80,MARKETING!G80,COMERCIAL!G80,OPERAÇÕES!G80,'FAVELA 3D'!G80)</f>
        <v>1545</v>
      </c>
      <c r="H80" s="37">
        <f>SUM(ADM!H80,MARKETING!H80,COMERCIAL!H80,OPERAÇÕES!H80,'FAVELA 3D'!H80)</f>
        <v>1545</v>
      </c>
      <c r="I80" s="37">
        <f>SUM(ADM!I80,MARKETING!I80,COMERCIAL!I80,OPERAÇÕES!I80,'FAVELA 3D'!I80)</f>
        <v>1545</v>
      </c>
      <c r="J80" s="37">
        <f>SUM(ADM!J80,MARKETING!J80,COMERCIAL!J80,OPERAÇÕES!J80,'FAVELA 3D'!J80)</f>
        <v>1545</v>
      </c>
      <c r="K80" s="37">
        <f>SUM(ADM!K80,MARKETING!K80,COMERCIAL!K80,OPERAÇÕES!K80,'FAVELA 3D'!K80)</f>
        <v>1545</v>
      </c>
      <c r="L80" s="37">
        <f>SUM(ADM!L80,MARKETING!L80,COMERCIAL!L80,OPERAÇÕES!L80,'FAVELA 3D'!L80)</f>
        <v>1545</v>
      </c>
      <c r="M80" s="37">
        <f>SUM(ADM!M80,MARKETING!M80,COMERCIAL!M80,OPERAÇÕES!M80,'FAVELA 3D'!M80)</f>
        <v>1545</v>
      </c>
      <c r="N80" s="37">
        <f>SUM(ADM!N80,MARKETING!N80,COMERCIAL!N80,OPERAÇÕES!N80,'FAVELA 3D'!N80)</f>
        <v>1545</v>
      </c>
      <c r="O80" s="215">
        <f t="shared" si="21"/>
        <v>18540</v>
      </c>
    </row>
    <row r="81" spans="2:15" s="9" customFormat="1" ht="16.5" x14ac:dyDescent="0.25">
      <c r="B81" s="12" t="s">
        <v>103</v>
      </c>
      <c r="C81" s="37">
        <f>SUM(ADM!C81,MARKETING!C81,COMERCIAL!C81,OPERAÇÕES!C81,'FAVELA 3D'!C81)</f>
        <v>800</v>
      </c>
      <c r="D81" s="37">
        <f>SUM(ADM!D81,MARKETING!D81,COMERCIAL!D81,OPERAÇÕES!D81,'FAVELA 3D'!D81)</f>
        <v>850</v>
      </c>
      <c r="E81" s="37">
        <f>SUM(ADM!E81,MARKETING!E81,COMERCIAL!E81,OPERAÇÕES!E81,'FAVELA 3D'!E81)</f>
        <v>200</v>
      </c>
      <c r="F81" s="37">
        <f>SUM(ADM!F81,MARKETING!F81,COMERCIAL!F81,OPERAÇÕES!F81,'FAVELA 3D'!F81)</f>
        <v>1300</v>
      </c>
      <c r="G81" s="37">
        <f>SUM(ADM!G81,MARKETING!G81,COMERCIAL!G81,OPERAÇÕES!G81,'FAVELA 3D'!G81)</f>
        <v>200</v>
      </c>
      <c r="H81" s="37">
        <f>SUM(ADM!H81,MARKETING!H81,COMERCIAL!H81,OPERAÇÕES!H81,'FAVELA 3D'!H81)</f>
        <v>200</v>
      </c>
      <c r="I81" s="37">
        <f>SUM(ADM!I81,MARKETING!I81,COMERCIAL!I81,OPERAÇÕES!I81,'FAVELA 3D'!I81)</f>
        <v>1300</v>
      </c>
      <c r="J81" s="37">
        <f>SUM(ADM!J81,MARKETING!J81,COMERCIAL!J81,OPERAÇÕES!J81,'FAVELA 3D'!J81)</f>
        <v>400</v>
      </c>
      <c r="K81" s="37">
        <f>SUM(ADM!K81,MARKETING!K81,COMERCIAL!K81,OPERAÇÕES!K81,'FAVELA 3D'!K81)</f>
        <v>200</v>
      </c>
      <c r="L81" s="37">
        <f>SUM(ADM!L81,MARKETING!L81,COMERCIAL!L81,OPERAÇÕES!L81,'FAVELA 3D'!L81)</f>
        <v>1300</v>
      </c>
      <c r="M81" s="37">
        <f>SUM(ADM!M81,MARKETING!M81,COMERCIAL!M81,OPERAÇÕES!M81,'FAVELA 3D'!M81)</f>
        <v>200</v>
      </c>
      <c r="N81" s="37">
        <f>SUM(ADM!N81,MARKETING!N81,COMERCIAL!N81,OPERAÇÕES!N81,'FAVELA 3D'!N81)</f>
        <v>200</v>
      </c>
      <c r="O81" s="215">
        <f t="shared" si="21"/>
        <v>7150</v>
      </c>
    </row>
    <row r="82" spans="2:15" s="9" customFormat="1" ht="16.5" x14ac:dyDescent="0.25">
      <c r="B82" s="12" t="s">
        <v>104</v>
      </c>
      <c r="C82" s="37">
        <f>SUM(ADM!C82,MARKETING!C82,COMERCIAL!C82,OPERAÇÕES!C82,'FAVELA 3D'!C82)</f>
        <v>120</v>
      </c>
      <c r="D82" s="37">
        <f>SUM(ADM!D82,MARKETING!D82,COMERCIAL!D82,OPERAÇÕES!D82,'FAVELA 3D'!D82)</f>
        <v>120</v>
      </c>
      <c r="E82" s="37">
        <f>SUM(ADM!E82,MARKETING!E82,COMERCIAL!E82,OPERAÇÕES!E82,'FAVELA 3D'!E82)</f>
        <v>240</v>
      </c>
      <c r="F82" s="37">
        <f>SUM(ADM!F82,MARKETING!F82,COMERCIAL!F82,OPERAÇÕES!F82,'FAVELA 3D'!F82)</f>
        <v>120</v>
      </c>
      <c r="G82" s="37">
        <f>SUM(ADM!G82,MARKETING!G82,COMERCIAL!G82,OPERAÇÕES!G82,'FAVELA 3D'!G82)</f>
        <v>240</v>
      </c>
      <c r="H82" s="37">
        <f>SUM(ADM!H82,MARKETING!H82,COMERCIAL!H82,OPERAÇÕES!H82,'FAVELA 3D'!H82)</f>
        <v>120</v>
      </c>
      <c r="I82" s="37">
        <f>SUM(ADM!I82,MARKETING!I82,COMERCIAL!I82,OPERAÇÕES!I82,'FAVELA 3D'!I82)</f>
        <v>240</v>
      </c>
      <c r="J82" s="37">
        <f>SUM(ADM!J82,MARKETING!J82,COMERCIAL!J82,OPERAÇÕES!J82,'FAVELA 3D'!J82)</f>
        <v>120</v>
      </c>
      <c r="K82" s="37">
        <f>SUM(ADM!K82,MARKETING!K82,COMERCIAL!K82,OPERAÇÕES!K82,'FAVELA 3D'!K82)</f>
        <v>240</v>
      </c>
      <c r="L82" s="37">
        <f>SUM(ADM!L82,MARKETING!L82,COMERCIAL!L82,OPERAÇÕES!L82,'FAVELA 3D'!L82)</f>
        <v>120</v>
      </c>
      <c r="M82" s="37">
        <f>SUM(ADM!M82,MARKETING!M82,COMERCIAL!M82,OPERAÇÕES!M82,'FAVELA 3D'!M82)</f>
        <v>240</v>
      </c>
      <c r="N82" s="37">
        <f>SUM(ADM!N82,MARKETING!N82,COMERCIAL!N82,OPERAÇÕES!N82,'FAVELA 3D'!N82)</f>
        <v>120</v>
      </c>
      <c r="O82" s="215">
        <f t="shared" si="21"/>
        <v>2040</v>
      </c>
    </row>
    <row r="83" spans="2:15" s="9" customFormat="1" ht="16.5" x14ac:dyDescent="0.25">
      <c r="B83" s="12" t="s">
        <v>105</v>
      </c>
      <c r="C83" s="37">
        <f>SUM(ADM!C83,MARKETING!C83,COMERCIAL!C83,OPERAÇÕES!C83,'FAVELA 3D'!C83)</f>
        <v>2500</v>
      </c>
      <c r="D83" s="37">
        <f>SUM(ADM!D83,MARKETING!D83,COMERCIAL!D83,OPERAÇÕES!D83,'FAVELA 3D'!D83)</f>
        <v>0</v>
      </c>
      <c r="E83" s="37">
        <f>SUM(ADM!E83,MARKETING!E83,COMERCIAL!E83,OPERAÇÕES!E83,'FAVELA 3D'!E83)</f>
        <v>0</v>
      </c>
      <c r="F83" s="37">
        <f>SUM(ADM!F83,MARKETING!F83,COMERCIAL!F83,OPERAÇÕES!F83,'FAVELA 3D'!F83)</f>
        <v>0</v>
      </c>
      <c r="G83" s="37">
        <f>SUM(ADM!G83,MARKETING!G83,COMERCIAL!G83,OPERAÇÕES!G83,'FAVELA 3D'!G83)</f>
        <v>0</v>
      </c>
      <c r="H83" s="37">
        <f>SUM(ADM!H83,MARKETING!H83,COMERCIAL!H83,OPERAÇÕES!H83,'FAVELA 3D'!H83)</f>
        <v>0</v>
      </c>
      <c r="I83" s="37">
        <f>SUM(ADM!I83,MARKETING!I83,COMERCIAL!I83,OPERAÇÕES!I83,'FAVELA 3D'!I83)</f>
        <v>0</v>
      </c>
      <c r="J83" s="37">
        <f>SUM(ADM!J83,MARKETING!J83,COMERCIAL!J83,OPERAÇÕES!J83,'FAVELA 3D'!J83)</f>
        <v>16000</v>
      </c>
      <c r="K83" s="37">
        <f>SUM(ADM!K83,MARKETING!K83,COMERCIAL!K83,OPERAÇÕES!K83,'FAVELA 3D'!K83)</f>
        <v>0</v>
      </c>
      <c r="L83" s="37">
        <f>SUM(ADM!L83,MARKETING!L83,COMERCIAL!L83,OPERAÇÕES!L83,'FAVELA 3D'!L83)</f>
        <v>0</v>
      </c>
      <c r="M83" s="37">
        <f>SUM(ADM!M83,MARKETING!M83,COMERCIAL!M83,OPERAÇÕES!M83,'FAVELA 3D'!M83)</f>
        <v>0</v>
      </c>
      <c r="N83" s="37">
        <f>SUM(ADM!N83,MARKETING!N83,COMERCIAL!N83,OPERAÇÕES!N83,'FAVELA 3D'!N83)</f>
        <v>0</v>
      </c>
      <c r="O83" s="215">
        <f t="shared" si="21"/>
        <v>18500</v>
      </c>
    </row>
    <row r="84" spans="2:15" s="9" customFormat="1" ht="16.5" x14ac:dyDescent="0.25">
      <c r="B84" s="12" t="s">
        <v>106</v>
      </c>
      <c r="C84" s="37">
        <f>SUM(ADM!C84,MARKETING!C84,COMERCIAL!C84,OPERAÇÕES!C84,'FAVELA 3D'!C84)</f>
        <v>0</v>
      </c>
      <c r="D84" s="37">
        <f>SUM(ADM!D84,MARKETING!D84,COMERCIAL!D84,OPERAÇÕES!D84,'FAVELA 3D'!D84)</f>
        <v>0</v>
      </c>
      <c r="E84" s="37">
        <f>SUM(ADM!E84,MARKETING!E84,COMERCIAL!E84,OPERAÇÕES!E84,'FAVELA 3D'!E84)</f>
        <v>0</v>
      </c>
      <c r="F84" s="37">
        <f>SUM(ADM!F84,MARKETING!F84,COMERCIAL!F84,OPERAÇÕES!F84,'FAVELA 3D'!F84)</f>
        <v>1600</v>
      </c>
      <c r="G84" s="37">
        <f>SUM(ADM!G84,MARKETING!G84,COMERCIAL!G84,OPERAÇÕES!G84,'FAVELA 3D'!G84)</f>
        <v>0</v>
      </c>
      <c r="H84" s="37">
        <f>SUM(ADM!H84,MARKETING!H84,COMERCIAL!H84,OPERAÇÕES!H84,'FAVELA 3D'!H84)</f>
        <v>0</v>
      </c>
      <c r="I84" s="37">
        <f>SUM(ADM!I84,MARKETING!I84,COMERCIAL!I84,OPERAÇÕES!I84,'FAVELA 3D'!I84)</f>
        <v>0</v>
      </c>
      <c r="J84" s="37">
        <f>SUM(ADM!J84,MARKETING!J84,COMERCIAL!J84,OPERAÇÕES!J84,'FAVELA 3D'!J84)</f>
        <v>0</v>
      </c>
      <c r="K84" s="37">
        <f>SUM(ADM!K84,MARKETING!K84,COMERCIAL!K84,OPERAÇÕES!K84,'FAVELA 3D'!K84)</f>
        <v>0</v>
      </c>
      <c r="L84" s="37">
        <f>SUM(ADM!L84,MARKETING!L84,COMERCIAL!L84,OPERAÇÕES!L84,'FAVELA 3D'!L84)</f>
        <v>0</v>
      </c>
      <c r="M84" s="37">
        <f>SUM(ADM!M84,MARKETING!M84,COMERCIAL!M84,OPERAÇÕES!M84,'FAVELA 3D'!M84)</f>
        <v>0</v>
      </c>
      <c r="N84" s="37">
        <f>SUM(ADM!N84,MARKETING!N84,COMERCIAL!N84,OPERAÇÕES!N84,'FAVELA 3D'!N84)</f>
        <v>0</v>
      </c>
      <c r="O84" s="215">
        <f t="shared" si="21"/>
        <v>1600</v>
      </c>
    </row>
    <row r="85" spans="2:15" s="9" customFormat="1" ht="16.5" x14ac:dyDescent="0.25">
      <c r="B85" s="12" t="s">
        <v>107</v>
      </c>
      <c r="C85" s="37">
        <f>SUM(ADM!C85,MARKETING!C85,COMERCIAL!C85,OPERAÇÕES!C85,'FAVELA 3D'!C85)</f>
        <v>950</v>
      </c>
      <c r="D85" s="37">
        <f>SUM(ADM!D85,MARKETING!D85,COMERCIAL!D85,OPERAÇÕES!D85,'FAVELA 3D'!D85)</f>
        <v>950</v>
      </c>
      <c r="E85" s="37">
        <f>SUM(ADM!E85,MARKETING!E85,COMERCIAL!E85,OPERAÇÕES!E85,'FAVELA 3D'!E85)</f>
        <v>950</v>
      </c>
      <c r="F85" s="37">
        <f>SUM(ADM!F85,MARKETING!F85,COMERCIAL!F85,OPERAÇÕES!F85,'FAVELA 3D'!F85)</f>
        <v>950</v>
      </c>
      <c r="G85" s="37">
        <f>SUM(ADM!G85,MARKETING!G85,COMERCIAL!G85,OPERAÇÕES!G85,'FAVELA 3D'!G85)</f>
        <v>950</v>
      </c>
      <c r="H85" s="37">
        <f>SUM(ADM!H85,MARKETING!H85,COMERCIAL!H85,OPERAÇÕES!H85,'FAVELA 3D'!H85)</f>
        <v>950</v>
      </c>
      <c r="I85" s="37">
        <f>SUM(ADM!I85,MARKETING!I85,COMERCIAL!I85,OPERAÇÕES!I85,'FAVELA 3D'!I85)</f>
        <v>950</v>
      </c>
      <c r="J85" s="37">
        <f>SUM(ADM!J85,MARKETING!J85,COMERCIAL!J85,OPERAÇÕES!J85,'FAVELA 3D'!J85)</f>
        <v>950</v>
      </c>
      <c r="K85" s="37">
        <f>SUM(ADM!K85,MARKETING!K85,COMERCIAL!K85,OPERAÇÕES!K85,'FAVELA 3D'!K85)</f>
        <v>950</v>
      </c>
      <c r="L85" s="37">
        <f>SUM(ADM!L85,MARKETING!L85,COMERCIAL!L85,OPERAÇÕES!L85,'FAVELA 3D'!L85)</f>
        <v>950</v>
      </c>
      <c r="M85" s="37">
        <f>SUM(ADM!M85,MARKETING!M85,COMERCIAL!M85,OPERAÇÕES!M85,'FAVELA 3D'!M85)</f>
        <v>1450</v>
      </c>
      <c r="N85" s="37">
        <f>SUM(ADM!N85,MARKETING!N85,COMERCIAL!N85,OPERAÇÕES!N85,'FAVELA 3D'!N85)</f>
        <v>1450</v>
      </c>
      <c r="O85" s="215">
        <f t="shared" si="21"/>
        <v>12400</v>
      </c>
    </row>
    <row r="86" spans="2:15" s="9" customFormat="1" ht="16.5" x14ac:dyDescent="0.25">
      <c r="B86" s="12" t="s">
        <v>108</v>
      </c>
      <c r="C86" s="37">
        <f>SUM(ADM!C86,MARKETING!C86,COMERCIAL!C86,OPERAÇÕES!C86,'FAVELA 3D'!C86)</f>
        <v>2500</v>
      </c>
      <c r="D86" s="37">
        <f>SUM(ADM!D86,MARKETING!D86,COMERCIAL!D86,OPERAÇÕES!D86,'FAVELA 3D'!D86)</f>
        <v>2500</v>
      </c>
      <c r="E86" s="37">
        <f>SUM(ADM!E86,MARKETING!E86,COMERCIAL!E86,OPERAÇÕES!E86,'FAVELA 3D'!E86)</f>
        <v>2500</v>
      </c>
      <c r="F86" s="37">
        <f>SUM(ADM!F86,MARKETING!F86,COMERCIAL!F86,OPERAÇÕES!F86,'FAVELA 3D'!F86)</f>
        <v>2500</v>
      </c>
      <c r="G86" s="37">
        <f>SUM(ADM!G86,MARKETING!G86,COMERCIAL!G86,OPERAÇÕES!G86,'FAVELA 3D'!G86)</f>
        <v>2500</v>
      </c>
      <c r="H86" s="37">
        <f>SUM(ADM!H86,MARKETING!H86,COMERCIAL!H86,OPERAÇÕES!H86,'FAVELA 3D'!H86)</f>
        <v>2500</v>
      </c>
      <c r="I86" s="37">
        <f>SUM(ADM!I86,MARKETING!I86,COMERCIAL!I86,OPERAÇÕES!I86,'FAVELA 3D'!I86)</f>
        <v>2500</v>
      </c>
      <c r="J86" s="37">
        <f>SUM(ADM!J86,MARKETING!J86,COMERCIAL!J86,OPERAÇÕES!J86,'FAVELA 3D'!J86)</f>
        <v>2500</v>
      </c>
      <c r="K86" s="37">
        <f>SUM(ADM!K86,MARKETING!K86,COMERCIAL!K86,OPERAÇÕES!K86,'FAVELA 3D'!K86)</f>
        <v>2500</v>
      </c>
      <c r="L86" s="37">
        <f>SUM(ADM!L86,MARKETING!L86,COMERCIAL!L86,OPERAÇÕES!L86,'FAVELA 3D'!L86)</f>
        <v>2500</v>
      </c>
      <c r="M86" s="37">
        <f>SUM(ADM!M86,MARKETING!M86,COMERCIAL!M86,OPERAÇÕES!M86,'FAVELA 3D'!M86)</f>
        <v>2500</v>
      </c>
      <c r="N86" s="37">
        <f>SUM(ADM!N86,MARKETING!N86,COMERCIAL!N86,OPERAÇÕES!N86,'FAVELA 3D'!N86)</f>
        <v>2500</v>
      </c>
      <c r="O86" s="215">
        <f t="shared" si="21"/>
        <v>30000</v>
      </c>
    </row>
    <row r="87" spans="2:15" s="9" customFormat="1" ht="16.5" x14ac:dyDescent="0.25">
      <c r="B87" s="12" t="s">
        <v>109</v>
      </c>
      <c r="C87" s="37">
        <f>SUM(ADM!C87,MARKETING!C87,COMERCIAL!C87,OPERAÇÕES!C87,'FAVELA 3D'!C87)</f>
        <v>0</v>
      </c>
      <c r="D87" s="37">
        <f>SUM(ADM!D87,MARKETING!D87,COMERCIAL!D87,OPERAÇÕES!D87,'FAVELA 3D'!D87)</f>
        <v>0</v>
      </c>
      <c r="E87" s="37">
        <f>SUM(ADM!E87,MARKETING!E87,COMERCIAL!E87,OPERAÇÕES!E87,'FAVELA 3D'!E87)</f>
        <v>0</v>
      </c>
      <c r="F87" s="37">
        <f>SUM(ADM!F87,MARKETING!F87,COMERCIAL!F87,OPERAÇÕES!F87,'FAVELA 3D'!F87)</f>
        <v>0</v>
      </c>
      <c r="G87" s="37">
        <f>SUM(ADM!G87,MARKETING!G87,COMERCIAL!G87,OPERAÇÕES!G87,'FAVELA 3D'!G87)</f>
        <v>0</v>
      </c>
      <c r="H87" s="37">
        <f>SUM(ADM!H87,MARKETING!H87,COMERCIAL!H87,OPERAÇÕES!H87,'FAVELA 3D'!H87)</f>
        <v>0</v>
      </c>
      <c r="I87" s="37">
        <f>SUM(ADM!I87,MARKETING!I87,COMERCIAL!I87,OPERAÇÕES!I87,'FAVELA 3D'!I87)</f>
        <v>0</v>
      </c>
      <c r="J87" s="37">
        <f>SUM(ADM!J87,MARKETING!J87,COMERCIAL!J87,OPERAÇÕES!J87,'FAVELA 3D'!J87)</f>
        <v>0</v>
      </c>
      <c r="K87" s="37">
        <f>SUM(ADM!K87,MARKETING!K87,COMERCIAL!K87,OPERAÇÕES!K87,'FAVELA 3D'!K87)</f>
        <v>0</v>
      </c>
      <c r="L87" s="37">
        <f>SUM(ADM!L87,MARKETING!L87,COMERCIAL!L87,OPERAÇÕES!L87,'FAVELA 3D'!L87)</f>
        <v>0</v>
      </c>
      <c r="M87" s="37">
        <f>SUM(ADM!M87,MARKETING!M87,COMERCIAL!M87,OPERAÇÕES!M87,'FAVELA 3D'!M87)</f>
        <v>0</v>
      </c>
      <c r="N87" s="37">
        <f>SUM(ADM!N87,MARKETING!N87,COMERCIAL!N87,OPERAÇÕES!N87,'FAVELA 3D'!N87)</f>
        <v>0</v>
      </c>
      <c r="O87" s="215">
        <f t="shared" si="21"/>
        <v>0</v>
      </c>
    </row>
    <row r="88" spans="2:15" s="9" customFormat="1" ht="16.5" x14ac:dyDescent="0.25">
      <c r="B88" s="12" t="s">
        <v>110</v>
      </c>
      <c r="C88" s="37">
        <f>SUM(ADM!C88,MARKETING!C88,COMERCIAL!C88,OPERAÇÕES!C88,'FAVELA 3D'!C88)</f>
        <v>1200</v>
      </c>
      <c r="D88" s="37">
        <f>SUM(ADM!D88,MARKETING!D88,COMERCIAL!D88,OPERAÇÕES!D88,'FAVELA 3D'!D88)</f>
        <v>250</v>
      </c>
      <c r="E88" s="37">
        <f>SUM(ADM!E88,MARKETING!E88,COMERCIAL!E88,OPERAÇÕES!E88,'FAVELA 3D'!E88)</f>
        <v>550</v>
      </c>
      <c r="F88" s="37">
        <f>SUM(ADM!F88,MARKETING!F88,COMERCIAL!F88,OPERAÇÕES!F88,'FAVELA 3D'!F88)</f>
        <v>1550</v>
      </c>
      <c r="G88" s="37">
        <f>SUM(ADM!G88,MARKETING!G88,COMERCIAL!G88,OPERAÇÕES!G88,'FAVELA 3D'!G88)</f>
        <v>550</v>
      </c>
      <c r="H88" s="37">
        <f>SUM(ADM!H88,MARKETING!H88,COMERCIAL!H88,OPERAÇÕES!H88,'FAVELA 3D'!H88)</f>
        <v>550</v>
      </c>
      <c r="I88" s="37">
        <f>SUM(ADM!I88,MARKETING!I88,COMERCIAL!I88,OPERAÇÕES!I88,'FAVELA 3D'!I88)</f>
        <v>1550</v>
      </c>
      <c r="J88" s="37">
        <f>SUM(ADM!J88,MARKETING!J88,COMERCIAL!J88,OPERAÇÕES!J88,'FAVELA 3D'!J88)</f>
        <v>550</v>
      </c>
      <c r="K88" s="37">
        <f>SUM(ADM!K88,MARKETING!K88,COMERCIAL!K88,OPERAÇÕES!K88,'FAVELA 3D'!K88)</f>
        <v>550</v>
      </c>
      <c r="L88" s="37">
        <f>SUM(ADM!L88,MARKETING!L88,COMERCIAL!L88,OPERAÇÕES!L88,'FAVELA 3D'!L88)</f>
        <v>1550</v>
      </c>
      <c r="M88" s="37">
        <f>SUM(ADM!M88,MARKETING!M88,COMERCIAL!M88,OPERAÇÕES!M88,'FAVELA 3D'!M88)</f>
        <v>550</v>
      </c>
      <c r="N88" s="37">
        <f>SUM(ADM!N88,MARKETING!N88,COMERCIAL!N88,OPERAÇÕES!N88,'FAVELA 3D'!N88)</f>
        <v>550</v>
      </c>
      <c r="O88" s="215">
        <f t="shared" si="21"/>
        <v>9950</v>
      </c>
    </row>
    <row r="89" spans="2:15" s="9" customFormat="1" ht="16.5" x14ac:dyDescent="0.25">
      <c r="B89" s="12" t="s">
        <v>111</v>
      </c>
      <c r="C89" s="37">
        <f>SUM(ADM!C89,MARKETING!C89,COMERCIAL!C89,OPERAÇÕES!C89,'FAVELA 3D'!C89)</f>
        <v>4550</v>
      </c>
      <c r="D89" s="37">
        <f>SUM(ADM!D89,MARKETING!D89,COMERCIAL!D89,OPERAÇÕES!D89,'FAVELA 3D'!D89)</f>
        <v>4700</v>
      </c>
      <c r="E89" s="37">
        <f>SUM(ADM!E89,MARKETING!E89,COMERCIAL!E89,OPERAÇÕES!E89,'FAVELA 3D'!E89)</f>
        <v>900</v>
      </c>
      <c r="F89" s="37">
        <f>SUM(ADM!F89,MARKETING!F89,COMERCIAL!F89,OPERAÇÕES!F89,'FAVELA 3D'!F89)</f>
        <v>700</v>
      </c>
      <c r="G89" s="37">
        <f>SUM(ADM!G89,MARKETING!G89,COMERCIAL!G89,OPERAÇÕES!G89,'FAVELA 3D'!G89)</f>
        <v>700</v>
      </c>
      <c r="H89" s="37">
        <f>SUM(ADM!H89,MARKETING!H89,COMERCIAL!H89,OPERAÇÕES!H89,'FAVELA 3D'!H89)</f>
        <v>700</v>
      </c>
      <c r="I89" s="37">
        <f>SUM(ADM!I89,MARKETING!I89,COMERCIAL!I89,OPERAÇÕES!I89,'FAVELA 3D'!I89)</f>
        <v>700</v>
      </c>
      <c r="J89" s="37">
        <f>SUM(ADM!J89,MARKETING!J89,COMERCIAL!J89,OPERAÇÕES!J89,'FAVELA 3D'!J89)</f>
        <v>900</v>
      </c>
      <c r="K89" s="37">
        <f>SUM(ADM!K89,MARKETING!K89,COMERCIAL!K89,OPERAÇÕES!K89,'FAVELA 3D'!K89)</f>
        <v>700</v>
      </c>
      <c r="L89" s="37">
        <f>SUM(ADM!L89,MARKETING!L89,COMERCIAL!L89,OPERAÇÕES!L89,'FAVELA 3D'!L89)</f>
        <v>700</v>
      </c>
      <c r="M89" s="37">
        <f>SUM(ADM!M89,MARKETING!M89,COMERCIAL!M89,OPERAÇÕES!M89,'FAVELA 3D'!M89)</f>
        <v>700</v>
      </c>
      <c r="N89" s="37">
        <f>SUM(ADM!N89,MARKETING!N89,COMERCIAL!N89,OPERAÇÕES!N89,'FAVELA 3D'!N89)</f>
        <v>700</v>
      </c>
      <c r="O89" s="215">
        <f t="shared" si="21"/>
        <v>16650</v>
      </c>
    </row>
    <row r="90" spans="2:15" s="9" customFormat="1" ht="16.5" x14ac:dyDescent="0.25">
      <c r="B90" s="12" t="s">
        <v>112</v>
      </c>
      <c r="C90" s="37">
        <f>SUM(ADM!C90,MARKETING!C90,COMERCIAL!C90,OPERAÇÕES!C90,'FAVELA 3D'!C90)</f>
        <v>2510</v>
      </c>
      <c r="D90" s="37">
        <f>SUM(ADM!D90,MARKETING!D90,COMERCIAL!D90,OPERAÇÕES!D90,'FAVELA 3D'!D90)</f>
        <v>1988.36</v>
      </c>
      <c r="E90" s="37">
        <f>SUM(ADM!E90,MARKETING!E90,COMERCIAL!E90,OPERAÇÕES!E90,'FAVELA 3D'!E90)</f>
        <v>1496.3600000000001</v>
      </c>
      <c r="F90" s="37">
        <f>SUM(ADM!F90,MARKETING!F90,COMERCIAL!F90,OPERAÇÕES!F90,'FAVELA 3D'!F90)</f>
        <v>1496.3600000000001</v>
      </c>
      <c r="G90" s="37">
        <f>SUM(ADM!G90,MARKETING!G90,COMERCIAL!G90,OPERAÇÕES!G90,'FAVELA 3D'!G90)</f>
        <v>1496.3600000000001</v>
      </c>
      <c r="H90" s="37">
        <f>SUM(ADM!H90,MARKETING!H90,COMERCIAL!H90,OPERAÇÕES!H90,'FAVELA 3D'!H90)</f>
        <v>1496.3600000000001</v>
      </c>
      <c r="I90" s="37">
        <f>SUM(ADM!I90,MARKETING!I90,COMERCIAL!I90,OPERAÇÕES!I90,'FAVELA 3D'!I90)</f>
        <v>1496.3600000000001</v>
      </c>
      <c r="J90" s="37">
        <f>SUM(ADM!J90,MARKETING!J90,COMERCIAL!J90,OPERAÇÕES!J90,'FAVELA 3D'!J90)</f>
        <v>1496.3600000000001</v>
      </c>
      <c r="K90" s="37">
        <f>SUM(ADM!K90,MARKETING!K90,COMERCIAL!K90,OPERAÇÕES!K90,'FAVELA 3D'!K90)</f>
        <v>1536.3600000000001</v>
      </c>
      <c r="L90" s="37">
        <f>SUM(ADM!L90,MARKETING!L90,COMERCIAL!L90,OPERAÇÕES!L90,'FAVELA 3D'!L90)</f>
        <v>1536.3600000000001</v>
      </c>
      <c r="M90" s="37">
        <f>SUM(ADM!M90,MARKETING!M90,COMERCIAL!M90,OPERAÇÕES!M90,'FAVELA 3D'!M90)</f>
        <v>1536.3600000000001</v>
      </c>
      <c r="N90" s="37">
        <f>SUM(ADM!N90,MARKETING!N90,COMERCIAL!N90,OPERAÇÕES!N90,'FAVELA 3D'!N90)</f>
        <v>900</v>
      </c>
      <c r="O90" s="215">
        <f t="shared" si="21"/>
        <v>18985.600000000002</v>
      </c>
    </row>
    <row r="91" spans="2:15" s="9" customFormat="1" ht="16.5" x14ac:dyDescent="0.25">
      <c r="B91" s="12" t="s">
        <v>113</v>
      </c>
      <c r="C91" s="37">
        <f>SUM(ADM!C91,MARKETING!C91,COMERCIAL!C91,OPERAÇÕES!C91,'FAVELA 3D'!C91)</f>
        <v>0</v>
      </c>
      <c r="D91" s="37">
        <f>SUM(ADM!D91,MARKETING!D91,COMERCIAL!D91,OPERAÇÕES!D91,'FAVELA 3D'!D91)</f>
        <v>50</v>
      </c>
      <c r="E91" s="37">
        <f>SUM(ADM!E91,MARKETING!E91,COMERCIAL!E91,OPERAÇÕES!E91,'FAVELA 3D'!E91)</f>
        <v>50</v>
      </c>
      <c r="F91" s="37">
        <f>SUM(ADM!F91,MARKETING!F91,COMERCIAL!F91,OPERAÇÕES!F91,'FAVELA 3D'!F91)</f>
        <v>50</v>
      </c>
      <c r="G91" s="37">
        <f>SUM(ADM!G91,MARKETING!G91,COMERCIAL!G91,OPERAÇÕES!G91,'FAVELA 3D'!G91)</f>
        <v>50</v>
      </c>
      <c r="H91" s="37">
        <f>SUM(ADM!H91,MARKETING!H91,COMERCIAL!H91,OPERAÇÕES!H91,'FAVELA 3D'!H91)</f>
        <v>50</v>
      </c>
      <c r="I91" s="37">
        <f>SUM(ADM!I91,MARKETING!I91,COMERCIAL!I91,OPERAÇÕES!I91,'FAVELA 3D'!I91)</f>
        <v>50</v>
      </c>
      <c r="J91" s="37">
        <f>SUM(ADM!J91,MARKETING!J91,COMERCIAL!J91,OPERAÇÕES!J91,'FAVELA 3D'!J91)</f>
        <v>50</v>
      </c>
      <c r="K91" s="37">
        <f>SUM(ADM!K91,MARKETING!K91,COMERCIAL!K91,OPERAÇÕES!K91,'FAVELA 3D'!K91)</f>
        <v>50</v>
      </c>
      <c r="L91" s="37">
        <f>SUM(ADM!L91,MARKETING!L91,COMERCIAL!L91,OPERAÇÕES!L91,'FAVELA 3D'!L91)</f>
        <v>50</v>
      </c>
      <c r="M91" s="37">
        <f>SUM(ADM!M91,MARKETING!M91,COMERCIAL!M91,OPERAÇÕES!M91,'FAVELA 3D'!M91)</f>
        <v>50</v>
      </c>
      <c r="N91" s="37">
        <f>SUM(ADM!N91,MARKETING!N91,COMERCIAL!N91,OPERAÇÕES!N91,'FAVELA 3D'!N91)</f>
        <v>50</v>
      </c>
      <c r="O91" s="215">
        <f t="shared" si="21"/>
        <v>550</v>
      </c>
    </row>
    <row r="92" spans="2:15" s="9" customFormat="1" ht="16.5" x14ac:dyDescent="0.25">
      <c r="B92" s="12" t="s">
        <v>114</v>
      </c>
      <c r="C92" s="37">
        <f>SUM(ADM!C92,MARKETING!C92,COMERCIAL!C92,OPERAÇÕES!C92,'FAVELA 3D'!C92)</f>
        <v>0</v>
      </c>
      <c r="D92" s="37">
        <f>SUM(ADM!D92,MARKETING!D92,COMERCIAL!D92,OPERAÇÕES!D92,'FAVELA 3D'!D92)</f>
        <v>50</v>
      </c>
      <c r="E92" s="37">
        <f>SUM(ADM!E92,MARKETING!E92,COMERCIAL!E92,OPERAÇÕES!E92,'FAVELA 3D'!E92)</f>
        <v>50</v>
      </c>
      <c r="F92" s="37">
        <f>SUM(ADM!F92,MARKETING!F92,COMERCIAL!F92,OPERAÇÕES!F92,'FAVELA 3D'!F92)</f>
        <v>50</v>
      </c>
      <c r="G92" s="37">
        <f>SUM(ADM!G92,MARKETING!G92,COMERCIAL!G92,OPERAÇÕES!G92,'FAVELA 3D'!G92)</f>
        <v>50</v>
      </c>
      <c r="H92" s="37">
        <f>SUM(ADM!H92,MARKETING!H92,COMERCIAL!H92,OPERAÇÕES!H92,'FAVELA 3D'!H92)</f>
        <v>50</v>
      </c>
      <c r="I92" s="37">
        <f>SUM(ADM!I92,MARKETING!I92,COMERCIAL!I92,OPERAÇÕES!I92,'FAVELA 3D'!I92)</f>
        <v>50</v>
      </c>
      <c r="J92" s="37">
        <f>SUM(ADM!J92,MARKETING!J92,COMERCIAL!J92,OPERAÇÕES!J92,'FAVELA 3D'!J92)</f>
        <v>50</v>
      </c>
      <c r="K92" s="37">
        <f>SUM(ADM!K92,MARKETING!K92,COMERCIAL!K92,OPERAÇÕES!K92,'FAVELA 3D'!K92)</f>
        <v>50</v>
      </c>
      <c r="L92" s="37">
        <f>SUM(ADM!L92,MARKETING!L92,COMERCIAL!L92,OPERAÇÕES!L92,'FAVELA 3D'!L92)</f>
        <v>50</v>
      </c>
      <c r="M92" s="37">
        <f>SUM(ADM!M92,MARKETING!M92,COMERCIAL!M92,OPERAÇÕES!M92,'FAVELA 3D'!M92)</f>
        <v>50</v>
      </c>
      <c r="N92" s="37">
        <f>SUM(ADM!N92,MARKETING!N92,COMERCIAL!N92,OPERAÇÕES!N92,'FAVELA 3D'!N92)</f>
        <v>50</v>
      </c>
      <c r="O92" s="215">
        <f t="shared" si="21"/>
        <v>550</v>
      </c>
    </row>
    <row r="93" spans="2:15" s="9" customFormat="1" ht="16.5" x14ac:dyDescent="0.25">
      <c r="B93" s="12" t="s">
        <v>115</v>
      </c>
      <c r="C93" s="37">
        <f>SUM(ADM!C93,MARKETING!C93,COMERCIAL!C93,OPERAÇÕES!C93,'FAVELA 3D'!C93)</f>
        <v>1000</v>
      </c>
      <c r="D93" s="37">
        <f>SUM(ADM!D93,MARKETING!D93,COMERCIAL!D93,OPERAÇÕES!D93,'FAVELA 3D'!D93)</f>
        <v>4150</v>
      </c>
      <c r="E93" s="37">
        <f>SUM(ADM!E93,MARKETING!E93,COMERCIAL!E93,OPERAÇÕES!E93,'FAVELA 3D'!E93)</f>
        <v>4150</v>
      </c>
      <c r="F93" s="37">
        <f>SUM(ADM!F93,MARKETING!F93,COMERCIAL!F93,OPERAÇÕES!F93,'FAVELA 3D'!F93)</f>
        <v>4150</v>
      </c>
      <c r="G93" s="37">
        <f>SUM(ADM!G93,MARKETING!G93,COMERCIAL!G93,OPERAÇÕES!G93,'FAVELA 3D'!G93)</f>
        <v>4150</v>
      </c>
      <c r="H93" s="37">
        <f>SUM(ADM!H93,MARKETING!H93,COMERCIAL!H93,OPERAÇÕES!H93,'FAVELA 3D'!H93)</f>
        <v>4150</v>
      </c>
      <c r="I93" s="37">
        <f>SUM(ADM!I93,MARKETING!I93,COMERCIAL!I93,OPERAÇÕES!I93,'FAVELA 3D'!I93)</f>
        <v>4150</v>
      </c>
      <c r="J93" s="37">
        <f>SUM(ADM!J93,MARKETING!J93,COMERCIAL!J93,OPERAÇÕES!J93,'FAVELA 3D'!J93)</f>
        <v>4150</v>
      </c>
      <c r="K93" s="37">
        <f>SUM(ADM!K93,MARKETING!K93,COMERCIAL!K93,OPERAÇÕES!K93,'FAVELA 3D'!K93)</f>
        <v>4150</v>
      </c>
      <c r="L93" s="37">
        <f>SUM(ADM!L93,MARKETING!L93,COMERCIAL!L93,OPERAÇÕES!L93,'FAVELA 3D'!L93)</f>
        <v>4150</v>
      </c>
      <c r="M93" s="37">
        <f>SUM(ADM!M93,MARKETING!M93,COMERCIAL!M93,OPERAÇÕES!M93,'FAVELA 3D'!M93)</f>
        <v>4150</v>
      </c>
      <c r="N93" s="37">
        <f>SUM(ADM!N93,MARKETING!N93,COMERCIAL!N93,OPERAÇÕES!N93,'FAVELA 3D'!N93)</f>
        <v>4150</v>
      </c>
      <c r="O93" s="215">
        <f t="shared" si="21"/>
        <v>46650</v>
      </c>
    </row>
    <row r="94" spans="2:15" s="9" customFormat="1" ht="16.5" x14ac:dyDescent="0.25">
      <c r="B94" s="12" t="s">
        <v>116</v>
      </c>
      <c r="C94" s="37">
        <f>SUM(ADM!C94,MARKETING!C94,COMERCIAL!C94,OPERAÇÕES!C94,'FAVELA 3D'!C94)</f>
        <v>13250</v>
      </c>
      <c r="D94" s="37">
        <f>SUM(ADM!D94,MARKETING!D94,COMERCIAL!D94,OPERAÇÕES!D94,'FAVELA 3D'!D94)</f>
        <v>21050</v>
      </c>
      <c r="E94" s="37">
        <f>SUM(ADM!E94,MARKETING!E94,COMERCIAL!E94,OPERAÇÕES!E94,'FAVELA 3D'!E94)</f>
        <v>2350</v>
      </c>
      <c r="F94" s="37">
        <f>SUM(ADM!F94,MARKETING!F94,COMERCIAL!F94,OPERAÇÕES!F94,'FAVELA 3D'!F94)</f>
        <v>2350</v>
      </c>
      <c r="G94" s="37">
        <f>SUM(ADM!G94,MARKETING!G94,COMERCIAL!G94,OPERAÇÕES!G94,'FAVELA 3D'!G94)</f>
        <v>2350</v>
      </c>
      <c r="H94" s="37">
        <f>SUM(ADM!H94,MARKETING!H94,COMERCIAL!H94,OPERAÇÕES!H94,'FAVELA 3D'!H94)</f>
        <v>2350</v>
      </c>
      <c r="I94" s="37">
        <f>SUM(ADM!I94,MARKETING!I94,COMERCIAL!I94,OPERAÇÕES!I94,'FAVELA 3D'!I94)</f>
        <v>2350</v>
      </c>
      <c r="J94" s="37">
        <f>SUM(ADM!J94,MARKETING!J94,COMERCIAL!J94,OPERAÇÕES!J94,'FAVELA 3D'!J94)</f>
        <v>2350</v>
      </c>
      <c r="K94" s="37">
        <f>SUM(ADM!K94,MARKETING!K94,COMERCIAL!K94,OPERAÇÕES!K94,'FAVELA 3D'!K94)</f>
        <v>2350</v>
      </c>
      <c r="L94" s="37">
        <f>SUM(ADM!L94,MARKETING!L94,COMERCIAL!L94,OPERAÇÕES!L94,'FAVELA 3D'!L94)</f>
        <v>2350</v>
      </c>
      <c r="M94" s="37">
        <f>SUM(ADM!M94,MARKETING!M94,COMERCIAL!M94,OPERAÇÕES!M94,'FAVELA 3D'!M94)</f>
        <v>2350</v>
      </c>
      <c r="N94" s="37">
        <f>SUM(ADM!N94,MARKETING!N94,COMERCIAL!N94,OPERAÇÕES!N94,'FAVELA 3D'!N94)</f>
        <v>2350</v>
      </c>
      <c r="O94" s="215">
        <f t="shared" si="21"/>
        <v>57800</v>
      </c>
    </row>
    <row r="95" spans="2:15" s="9" customFormat="1" ht="16.5" x14ac:dyDescent="0.25">
      <c r="B95" s="12" t="s">
        <v>117</v>
      </c>
      <c r="C95" s="37">
        <f>SUM(ADM!C95,MARKETING!C95,COMERCIAL!C95,OPERAÇÕES!C95,'FAVELA 3D'!C95)</f>
        <v>0</v>
      </c>
      <c r="D95" s="37">
        <f>SUM(ADM!D95,MARKETING!D95,COMERCIAL!D95,OPERAÇÕES!D95,'FAVELA 3D'!D95)</f>
        <v>6040</v>
      </c>
      <c r="E95" s="37">
        <f>SUM(ADM!E95,MARKETING!E95,COMERCIAL!E95,OPERAÇÕES!E95,'FAVELA 3D'!E95)</f>
        <v>3090</v>
      </c>
      <c r="F95" s="37">
        <f>SUM(ADM!F95,MARKETING!F95,COMERCIAL!F95,OPERAÇÕES!F95,'FAVELA 3D'!F95)</f>
        <v>2840</v>
      </c>
      <c r="G95" s="37">
        <f>SUM(ADM!G95,MARKETING!G95,COMERCIAL!G95,OPERAÇÕES!G95,'FAVELA 3D'!G95)</f>
        <v>2840</v>
      </c>
      <c r="H95" s="37">
        <f>SUM(ADM!H95,MARKETING!H95,COMERCIAL!H95,OPERAÇÕES!H95,'FAVELA 3D'!H95)</f>
        <v>2840</v>
      </c>
      <c r="I95" s="37">
        <f>SUM(ADM!I95,MARKETING!I95,COMERCIAL!I95,OPERAÇÕES!I95,'FAVELA 3D'!I95)</f>
        <v>3340</v>
      </c>
      <c r="J95" s="37">
        <f>SUM(ADM!J95,MARKETING!J95,COMERCIAL!J95,OPERAÇÕES!J95,'FAVELA 3D'!J95)</f>
        <v>3090</v>
      </c>
      <c r="K95" s="37">
        <f>SUM(ADM!K95,MARKETING!K95,COMERCIAL!K95,OPERAÇÕES!K95,'FAVELA 3D'!K95)</f>
        <v>2840</v>
      </c>
      <c r="L95" s="37">
        <f>SUM(ADM!L95,MARKETING!L95,COMERCIAL!L95,OPERAÇÕES!L95,'FAVELA 3D'!L95)</f>
        <v>2840</v>
      </c>
      <c r="M95" s="37">
        <f>SUM(ADM!M95,MARKETING!M95,COMERCIAL!M95,OPERAÇÕES!M95,'FAVELA 3D'!M95)</f>
        <v>2840</v>
      </c>
      <c r="N95" s="37">
        <f>SUM(ADM!N95,MARKETING!N95,COMERCIAL!N95,OPERAÇÕES!N95,'FAVELA 3D'!N95)</f>
        <v>1000</v>
      </c>
      <c r="O95" s="215">
        <f t="shared" si="21"/>
        <v>33600</v>
      </c>
    </row>
    <row r="96" spans="2:15" s="9" customFormat="1" ht="16.5" x14ac:dyDescent="0.25">
      <c r="B96" s="12" t="s">
        <v>118</v>
      </c>
      <c r="C96" s="37">
        <f>SUM(ADM!C96,MARKETING!C96,COMERCIAL!C96,OPERAÇÕES!C96,'FAVELA 3D'!C96)</f>
        <v>0</v>
      </c>
      <c r="D96" s="37">
        <f>SUM(ADM!D96,MARKETING!D96,COMERCIAL!D96,OPERAÇÕES!D96,'FAVELA 3D'!D96)</f>
        <v>1666</v>
      </c>
      <c r="E96" s="37">
        <f>SUM(ADM!E96,MARKETING!E96,COMERCIAL!E96,OPERAÇÕES!E96,'FAVELA 3D'!E96)</f>
        <v>1866</v>
      </c>
      <c r="F96" s="37">
        <f>SUM(ADM!F96,MARKETING!F96,COMERCIAL!F96,OPERAÇÕES!F96,'FAVELA 3D'!F96)</f>
        <v>1866</v>
      </c>
      <c r="G96" s="37">
        <f>SUM(ADM!G96,MARKETING!G96,COMERCIAL!G96,OPERAÇÕES!G96,'FAVELA 3D'!G96)</f>
        <v>2866</v>
      </c>
      <c r="H96" s="37">
        <f>SUM(ADM!H96,MARKETING!H96,COMERCIAL!H96,OPERAÇÕES!H96,'FAVELA 3D'!H96)</f>
        <v>2866</v>
      </c>
      <c r="I96" s="37">
        <f>SUM(ADM!I96,MARKETING!I96,COMERCIAL!I96,OPERAÇÕES!I96,'FAVELA 3D'!I96)</f>
        <v>2866</v>
      </c>
      <c r="J96" s="37">
        <f>SUM(ADM!J96,MARKETING!J96,COMERCIAL!J96,OPERAÇÕES!J96,'FAVELA 3D'!J96)</f>
        <v>2866</v>
      </c>
      <c r="K96" s="37">
        <f>SUM(ADM!K96,MARKETING!K96,COMERCIAL!K96,OPERAÇÕES!K96,'FAVELA 3D'!K96)</f>
        <v>2866</v>
      </c>
      <c r="L96" s="37">
        <f>SUM(ADM!L96,MARKETING!L96,COMERCIAL!L96,OPERAÇÕES!L96,'FAVELA 3D'!L96)</f>
        <v>2286</v>
      </c>
      <c r="M96" s="37">
        <f>SUM(ADM!M96,MARKETING!M96,COMERCIAL!M96,OPERAÇÕES!M96,'FAVELA 3D'!M96)</f>
        <v>1866</v>
      </c>
      <c r="N96" s="37">
        <f>SUM(ADM!N96,MARKETING!N96,COMERCIAL!N96,OPERAÇÕES!N96,'FAVELA 3D'!N96)</f>
        <v>550</v>
      </c>
      <c r="O96" s="215">
        <f t="shared" si="21"/>
        <v>24430</v>
      </c>
    </row>
    <row r="97" spans="2:15" s="9" customFormat="1" ht="16.5" x14ac:dyDescent="0.25">
      <c r="B97" s="12" t="s">
        <v>119</v>
      </c>
      <c r="C97" s="37">
        <f>SUM(ADM!C97,MARKETING!C97,COMERCIAL!C97,OPERAÇÕES!C97,'FAVELA 3D'!C97)</f>
        <v>100</v>
      </c>
      <c r="D97" s="37">
        <f>SUM(ADM!D97,MARKETING!D97,COMERCIAL!D97,OPERAÇÕES!D97,'FAVELA 3D'!D97)</f>
        <v>220</v>
      </c>
      <c r="E97" s="37">
        <f>SUM(ADM!E97,MARKETING!E97,COMERCIAL!E97,OPERAÇÕES!E97,'FAVELA 3D'!E97)</f>
        <v>220</v>
      </c>
      <c r="F97" s="37">
        <f>SUM(ADM!F97,MARKETING!F97,COMERCIAL!F97,OPERAÇÕES!F97,'FAVELA 3D'!F97)</f>
        <v>220</v>
      </c>
      <c r="G97" s="37">
        <f>SUM(ADM!G97,MARKETING!G97,COMERCIAL!G97,OPERAÇÕES!G97,'FAVELA 3D'!G97)</f>
        <v>220</v>
      </c>
      <c r="H97" s="37">
        <f>SUM(ADM!H97,MARKETING!H97,COMERCIAL!H97,OPERAÇÕES!H97,'FAVELA 3D'!H97)</f>
        <v>220</v>
      </c>
      <c r="I97" s="37">
        <f>SUM(ADM!I97,MARKETING!I97,COMERCIAL!I97,OPERAÇÕES!I97,'FAVELA 3D'!I97)</f>
        <v>220</v>
      </c>
      <c r="J97" s="37">
        <f>SUM(ADM!J97,MARKETING!J97,COMERCIAL!J97,OPERAÇÕES!J97,'FAVELA 3D'!J97)</f>
        <v>220</v>
      </c>
      <c r="K97" s="37">
        <f>SUM(ADM!K97,MARKETING!K97,COMERCIAL!K97,OPERAÇÕES!K97,'FAVELA 3D'!K97)</f>
        <v>220</v>
      </c>
      <c r="L97" s="37">
        <f>SUM(ADM!L97,MARKETING!L97,COMERCIAL!L97,OPERAÇÕES!L97,'FAVELA 3D'!L97)</f>
        <v>220</v>
      </c>
      <c r="M97" s="37">
        <f>SUM(ADM!M97,MARKETING!M97,COMERCIAL!M97,OPERAÇÕES!M97,'FAVELA 3D'!M97)</f>
        <v>220</v>
      </c>
      <c r="N97" s="37">
        <f>SUM(ADM!N97,MARKETING!N97,COMERCIAL!N97,OPERAÇÕES!N97,'FAVELA 3D'!N97)</f>
        <v>160</v>
      </c>
      <c r="O97" s="215">
        <f t="shared" si="21"/>
        <v>2460</v>
      </c>
    </row>
    <row r="98" spans="2:15" s="9" customFormat="1" ht="16.5" x14ac:dyDescent="0.25">
      <c r="B98" s="12" t="s">
        <v>120</v>
      </c>
      <c r="C98" s="37">
        <f>SUM(ADM!C98,MARKETING!C98,COMERCIAL!C98,OPERAÇÕES!C98,'FAVELA 3D'!C98)</f>
        <v>1200</v>
      </c>
      <c r="D98" s="37">
        <f>SUM(ADM!D98,MARKETING!D98,COMERCIAL!D98,OPERAÇÕES!D98,'FAVELA 3D'!D98)</f>
        <v>1200</v>
      </c>
      <c r="E98" s="37">
        <f>SUM(ADM!E98,MARKETING!E98,COMERCIAL!E98,OPERAÇÕES!E98,'FAVELA 3D'!E98)</f>
        <v>1200</v>
      </c>
      <c r="F98" s="37">
        <f>SUM(ADM!F98,MARKETING!F98,COMERCIAL!F98,OPERAÇÕES!F98,'FAVELA 3D'!F98)</f>
        <v>1200</v>
      </c>
      <c r="G98" s="37">
        <f>SUM(ADM!G98,MARKETING!G98,COMERCIAL!G98,OPERAÇÕES!G98,'FAVELA 3D'!G98)</f>
        <v>1200</v>
      </c>
      <c r="H98" s="37">
        <f>SUM(ADM!H98,MARKETING!H98,COMERCIAL!H98,OPERAÇÕES!H98,'FAVELA 3D'!H98)</f>
        <v>1800</v>
      </c>
      <c r="I98" s="37">
        <f>SUM(ADM!I98,MARKETING!I98,COMERCIAL!I98,OPERAÇÕES!I98,'FAVELA 3D'!I98)</f>
        <v>1200</v>
      </c>
      <c r="J98" s="37">
        <f>SUM(ADM!J98,MARKETING!J98,COMERCIAL!J98,OPERAÇÕES!J98,'FAVELA 3D'!J98)</f>
        <v>1550</v>
      </c>
      <c r="K98" s="37">
        <f>SUM(ADM!K98,MARKETING!K98,COMERCIAL!K98,OPERAÇÕES!K98,'FAVELA 3D'!K98)</f>
        <v>1550</v>
      </c>
      <c r="L98" s="37">
        <f>SUM(ADM!L98,MARKETING!L98,COMERCIAL!L98,OPERAÇÕES!L98,'FAVELA 3D'!L98)</f>
        <v>1550</v>
      </c>
      <c r="M98" s="37">
        <f>SUM(ADM!M98,MARKETING!M98,COMERCIAL!M98,OPERAÇÕES!M98,'FAVELA 3D'!M98)</f>
        <v>2550</v>
      </c>
      <c r="N98" s="37">
        <f>SUM(ADM!N98,MARKETING!N98,COMERCIAL!N98,OPERAÇÕES!N98,'FAVELA 3D'!N98)</f>
        <v>1550</v>
      </c>
      <c r="O98" s="215">
        <f t="shared" si="21"/>
        <v>17750</v>
      </c>
    </row>
    <row r="99" spans="2:15" s="9" customFormat="1" ht="19.5" x14ac:dyDescent="0.25">
      <c r="B99" s="15" t="s">
        <v>121</v>
      </c>
      <c r="C99" s="38">
        <f>SUM(C100:C104)</f>
        <v>250</v>
      </c>
      <c r="D99" s="38">
        <f t="shared" ref="D99:N99" si="22">SUM(D100:D104)</f>
        <v>250</v>
      </c>
      <c r="E99" s="38">
        <f t="shared" si="22"/>
        <v>250</v>
      </c>
      <c r="F99" s="38">
        <f t="shared" si="22"/>
        <v>250</v>
      </c>
      <c r="G99" s="38">
        <f t="shared" si="22"/>
        <v>250</v>
      </c>
      <c r="H99" s="38">
        <f t="shared" si="22"/>
        <v>250</v>
      </c>
      <c r="I99" s="38">
        <f t="shared" si="22"/>
        <v>250</v>
      </c>
      <c r="J99" s="38">
        <f t="shared" si="22"/>
        <v>250</v>
      </c>
      <c r="K99" s="38">
        <f t="shared" si="22"/>
        <v>250</v>
      </c>
      <c r="L99" s="38">
        <f t="shared" si="22"/>
        <v>250</v>
      </c>
      <c r="M99" s="38">
        <f t="shared" si="22"/>
        <v>250</v>
      </c>
      <c r="N99" s="38">
        <f t="shared" si="22"/>
        <v>250</v>
      </c>
      <c r="O99" s="218">
        <f>SUM(C99:N99)</f>
        <v>3000</v>
      </c>
    </row>
    <row r="100" spans="2:15" s="9" customFormat="1" ht="16.5" x14ac:dyDescent="0.25">
      <c r="B100" s="36" t="s">
        <v>122</v>
      </c>
      <c r="C100" s="37">
        <f>SUM(ADM!C100,MARKETING!C100,COMERCIAL!C100,OPERAÇÕES!C100,'FAVELA 3D'!C100)</f>
        <v>0</v>
      </c>
      <c r="D100" s="37">
        <f>SUM(ADM!D100,MARKETING!D100,COMERCIAL!D100,OPERAÇÕES!D100,'FAVELA 3D'!D100)</f>
        <v>0</v>
      </c>
      <c r="E100" s="37">
        <f>SUM(ADM!E100,MARKETING!E100,COMERCIAL!E100,OPERAÇÕES!E100,'FAVELA 3D'!E100)</f>
        <v>0</v>
      </c>
      <c r="F100" s="37">
        <f>SUM(ADM!F100,MARKETING!F100,COMERCIAL!F100,OPERAÇÕES!F100,'FAVELA 3D'!F100)</f>
        <v>0</v>
      </c>
      <c r="G100" s="37">
        <f>SUM(ADM!G100,MARKETING!G100,COMERCIAL!G100,OPERAÇÕES!G100,'FAVELA 3D'!G100)</f>
        <v>0</v>
      </c>
      <c r="H100" s="37">
        <f>SUM(ADM!H100,MARKETING!H100,COMERCIAL!H100,OPERAÇÕES!H100,'FAVELA 3D'!H100)</f>
        <v>0</v>
      </c>
      <c r="I100" s="37">
        <f>SUM(ADM!I100,MARKETING!I100,COMERCIAL!I100,OPERAÇÕES!I100,'FAVELA 3D'!I100)</f>
        <v>0</v>
      </c>
      <c r="J100" s="37">
        <f>SUM(ADM!J100,MARKETING!J100,COMERCIAL!J100,OPERAÇÕES!J100,'FAVELA 3D'!J100)</f>
        <v>0</v>
      </c>
      <c r="K100" s="37">
        <f>SUM(ADM!K100,MARKETING!K100,COMERCIAL!K100,OPERAÇÕES!K100,'FAVELA 3D'!K100)</f>
        <v>0</v>
      </c>
      <c r="L100" s="37">
        <f>SUM(ADM!L100,MARKETING!L100,COMERCIAL!L100,OPERAÇÕES!L100,'FAVELA 3D'!L100)</f>
        <v>0</v>
      </c>
      <c r="M100" s="37">
        <f>SUM(ADM!M100,MARKETING!M100,COMERCIAL!M100,OPERAÇÕES!M100,'FAVELA 3D'!M100)</f>
        <v>0</v>
      </c>
      <c r="N100" s="37">
        <f>SUM(ADM!N100,MARKETING!N100,COMERCIAL!N100,OPERAÇÕES!N100,'FAVELA 3D'!N100)</f>
        <v>0</v>
      </c>
      <c r="O100" s="215">
        <f t="shared" si="21"/>
        <v>0</v>
      </c>
    </row>
    <row r="101" spans="2:15" s="9" customFormat="1" ht="16.5" x14ac:dyDescent="0.25">
      <c r="B101" s="36" t="s">
        <v>123</v>
      </c>
      <c r="C101" s="37">
        <f>SUM(ADM!C101,MARKETING!C101,COMERCIAL!C101,OPERAÇÕES!C101,'FAVELA 3D'!C101)</f>
        <v>0</v>
      </c>
      <c r="D101" s="37">
        <f>SUM(ADM!D101,MARKETING!D101,COMERCIAL!D101,OPERAÇÕES!D101,'FAVELA 3D'!D101)</f>
        <v>0</v>
      </c>
      <c r="E101" s="37">
        <f>SUM(ADM!E101,MARKETING!E101,COMERCIAL!E101,OPERAÇÕES!E101,'FAVELA 3D'!E101)</f>
        <v>0</v>
      </c>
      <c r="F101" s="37">
        <f>SUM(ADM!F101,MARKETING!F101,COMERCIAL!F101,OPERAÇÕES!F101,'FAVELA 3D'!F101)</f>
        <v>0</v>
      </c>
      <c r="G101" s="37">
        <f>SUM(ADM!G101,MARKETING!G101,COMERCIAL!G101,OPERAÇÕES!G101,'FAVELA 3D'!G101)</f>
        <v>0</v>
      </c>
      <c r="H101" s="37">
        <f>SUM(ADM!H101,MARKETING!H101,COMERCIAL!H101,OPERAÇÕES!H101,'FAVELA 3D'!H101)</f>
        <v>0</v>
      </c>
      <c r="I101" s="37">
        <f>SUM(ADM!I101,MARKETING!I101,COMERCIAL!I101,OPERAÇÕES!I101,'FAVELA 3D'!I101)</f>
        <v>0</v>
      </c>
      <c r="J101" s="37">
        <f>SUM(ADM!J101,MARKETING!J101,COMERCIAL!J101,OPERAÇÕES!J101,'FAVELA 3D'!J101)</f>
        <v>0</v>
      </c>
      <c r="K101" s="37">
        <f>SUM(ADM!K101,MARKETING!K101,COMERCIAL!K101,OPERAÇÕES!K101,'FAVELA 3D'!K101)</f>
        <v>0</v>
      </c>
      <c r="L101" s="37">
        <f>SUM(ADM!L101,MARKETING!L101,COMERCIAL!L101,OPERAÇÕES!L101,'FAVELA 3D'!L101)</f>
        <v>0</v>
      </c>
      <c r="M101" s="37">
        <f>SUM(ADM!M101,MARKETING!M101,COMERCIAL!M101,OPERAÇÕES!M101,'FAVELA 3D'!M101)</f>
        <v>0</v>
      </c>
      <c r="N101" s="37">
        <f>SUM(ADM!N101,MARKETING!N101,COMERCIAL!N101,OPERAÇÕES!N101,'FAVELA 3D'!N101)</f>
        <v>0</v>
      </c>
      <c r="O101" s="215">
        <f t="shared" si="21"/>
        <v>0</v>
      </c>
    </row>
    <row r="102" spans="2:15" s="9" customFormat="1" ht="16.5" x14ac:dyDescent="0.25">
      <c r="B102" s="36" t="s">
        <v>124</v>
      </c>
      <c r="C102" s="37">
        <f>SUM(ADM!C102,MARKETING!C102,COMERCIAL!C102,OPERAÇÕES!C102,'FAVELA 3D'!C102)</f>
        <v>0</v>
      </c>
      <c r="D102" s="37">
        <f>SUM(ADM!D102,MARKETING!D102,COMERCIAL!D102,OPERAÇÕES!D102,'FAVELA 3D'!D102)</f>
        <v>0</v>
      </c>
      <c r="E102" s="37">
        <f>SUM(ADM!E102,MARKETING!E102,COMERCIAL!E102,OPERAÇÕES!E102,'FAVELA 3D'!E102)</f>
        <v>0</v>
      </c>
      <c r="F102" s="37">
        <f>SUM(ADM!F102,MARKETING!F102,COMERCIAL!F102,OPERAÇÕES!F102,'FAVELA 3D'!F102)</f>
        <v>0</v>
      </c>
      <c r="G102" s="37">
        <f>SUM(ADM!G102,MARKETING!G102,COMERCIAL!G102,OPERAÇÕES!G102,'FAVELA 3D'!G102)</f>
        <v>0</v>
      </c>
      <c r="H102" s="37">
        <f>SUM(ADM!H102,MARKETING!H102,COMERCIAL!H102,OPERAÇÕES!H102,'FAVELA 3D'!H102)</f>
        <v>0</v>
      </c>
      <c r="I102" s="37">
        <f>SUM(ADM!I102,MARKETING!I102,COMERCIAL!I102,OPERAÇÕES!I102,'FAVELA 3D'!I102)</f>
        <v>0</v>
      </c>
      <c r="J102" s="37">
        <f>SUM(ADM!J102,MARKETING!J102,COMERCIAL!J102,OPERAÇÕES!J102,'FAVELA 3D'!J102)</f>
        <v>0</v>
      </c>
      <c r="K102" s="37">
        <f>SUM(ADM!K102,MARKETING!K102,COMERCIAL!K102,OPERAÇÕES!K102,'FAVELA 3D'!K102)</f>
        <v>0</v>
      </c>
      <c r="L102" s="37">
        <f>SUM(ADM!L102,MARKETING!L102,COMERCIAL!L102,OPERAÇÕES!L102,'FAVELA 3D'!L102)</f>
        <v>0</v>
      </c>
      <c r="M102" s="37">
        <f>SUM(ADM!M102,MARKETING!M102,COMERCIAL!M102,OPERAÇÕES!M102,'FAVELA 3D'!M102)</f>
        <v>0</v>
      </c>
      <c r="N102" s="37">
        <f>SUM(ADM!N102,MARKETING!N102,COMERCIAL!N102,OPERAÇÕES!N102,'FAVELA 3D'!N102)</f>
        <v>0</v>
      </c>
      <c r="O102" s="215">
        <f t="shared" si="21"/>
        <v>0</v>
      </c>
    </row>
    <row r="103" spans="2:15" s="9" customFormat="1" ht="16.5" x14ac:dyDescent="0.25">
      <c r="B103" s="12" t="s">
        <v>125</v>
      </c>
      <c r="C103" s="37">
        <f>SUM(ADM!C103,MARKETING!C103,COMERCIAL!C103,OPERAÇÕES!C103,'FAVELA 3D'!C103)</f>
        <v>250</v>
      </c>
      <c r="D103" s="37">
        <f>SUM(ADM!D103,MARKETING!D103,COMERCIAL!D103,OPERAÇÕES!D103,'FAVELA 3D'!D103)</f>
        <v>250</v>
      </c>
      <c r="E103" s="37">
        <f>SUM(ADM!E103,MARKETING!E103,COMERCIAL!E103,OPERAÇÕES!E103,'FAVELA 3D'!E103)</f>
        <v>250</v>
      </c>
      <c r="F103" s="37">
        <f>SUM(ADM!F103,MARKETING!F103,COMERCIAL!F103,OPERAÇÕES!F103,'FAVELA 3D'!F103)</f>
        <v>250</v>
      </c>
      <c r="G103" s="37">
        <f>SUM(ADM!G103,MARKETING!G103,COMERCIAL!G103,OPERAÇÕES!G103,'FAVELA 3D'!G103)</f>
        <v>250</v>
      </c>
      <c r="H103" s="37">
        <f>SUM(ADM!H103,MARKETING!H103,COMERCIAL!H103,OPERAÇÕES!H103,'FAVELA 3D'!H103)</f>
        <v>250</v>
      </c>
      <c r="I103" s="37">
        <f>SUM(ADM!I103,MARKETING!I103,COMERCIAL!I103,OPERAÇÕES!I103,'FAVELA 3D'!I103)</f>
        <v>250</v>
      </c>
      <c r="J103" s="37">
        <f>SUM(ADM!J103,MARKETING!J103,COMERCIAL!J103,OPERAÇÕES!J103,'FAVELA 3D'!J103)</f>
        <v>250</v>
      </c>
      <c r="K103" s="37">
        <f>SUM(ADM!K103,MARKETING!K103,COMERCIAL!K103,OPERAÇÕES!K103,'FAVELA 3D'!K103)</f>
        <v>250</v>
      </c>
      <c r="L103" s="37">
        <f>SUM(ADM!L103,MARKETING!L103,COMERCIAL!L103,OPERAÇÕES!L103,'FAVELA 3D'!L103)</f>
        <v>250</v>
      </c>
      <c r="M103" s="37">
        <f>SUM(ADM!M103,MARKETING!M103,COMERCIAL!M103,OPERAÇÕES!M103,'FAVELA 3D'!M103)</f>
        <v>250</v>
      </c>
      <c r="N103" s="37">
        <f>SUM(ADM!N103,MARKETING!N103,COMERCIAL!N103,OPERAÇÕES!N103,'FAVELA 3D'!N103)</f>
        <v>250</v>
      </c>
      <c r="O103" s="215">
        <f t="shared" si="21"/>
        <v>3000</v>
      </c>
    </row>
    <row r="104" spans="2:15" s="9" customFormat="1" ht="16.5" x14ac:dyDescent="0.25">
      <c r="B104" s="12" t="s">
        <v>126</v>
      </c>
      <c r="C104" s="37">
        <f>SUM(ADM!C104,MARKETING!C104,COMERCIAL!C104,OPERAÇÕES!C104,'FAVELA 3D'!C104)</f>
        <v>0</v>
      </c>
      <c r="D104" s="37">
        <f>SUM(ADM!D104,MARKETING!D104,COMERCIAL!D104,OPERAÇÕES!D104,'FAVELA 3D'!D104)</f>
        <v>0</v>
      </c>
      <c r="E104" s="37">
        <f>SUM(ADM!E104,MARKETING!E104,COMERCIAL!E104,OPERAÇÕES!E104,'FAVELA 3D'!E104)</f>
        <v>0</v>
      </c>
      <c r="F104" s="37">
        <f>SUM(ADM!F104,MARKETING!F104,COMERCIAL!F104,OPERAÇÕES!F104,'FAVELA 3D'!F104)</f>
        <v>0</v>
      </c>
      <c r="G104" s="37">
        <f>SUM(ADM!G104,MARKETING!G104,COMERCIAL!G104,OPERAÇÕES!G104,'FAVELA 3D'!G104)</f>
        <v>0</v>
      </c>
      <c r="H104" s="37">
        <f>SUM(ADM!H104,MARKETING!H104,COMERCIAL!H104,OPERAÇÕES!H104,'FAVELA 3D'!H104)</f>
        <v>0</v>
      </c>
      <c r="I104" s="37">
        <f>SUM(ADM!I104,MARKETING!I104,COMERCIAL!I104,OPERAÇÕES!I104,'FAVELA 3D'!I104)</f>
        <v>0</v>
      </c>
      <c r="J104" s="37">
        <f>SUM(ADM!J104,MARKETING!J104,COMERCIAL!J104,OPERAÇÕES!J104,'FAVELA 3D'!J104)</f>
        <v>0</v>
      </c>
      <c r="K104" s="37">
        <f>SUM(ADM!K104,MARKETING!K104,COMERCIAL!K104,OPERAÇÕES!K104,'FAVELA 3D'!K104)</f>
        <v>0</v>
      </c>
      <c r="L104" s="37">
        <f>SUM(ADM!L104,MARKETING!L104,COMERCIAL!L104,OPERAÇÕES!L104,'FAVELA 3D'!L104)</f>
        <v>0</v>
      </c>
      <c r="M104" s="37">
        <f>SUM(ADM!M104,MARKETING!M104,COMERCIAL!M104,OPERAÇÕES!M104,'FAVELA 3D'!M104)</f>
        <v>0</v>
      </c>
      <c r="N104" s="37">
        <f>SUM(ADM!N104,MARKETING!N104,COMERCIAL!N104,OPERAÇÕES!N104,'FAVELA 3D'!N104)</f>
        <v>0</v>
      </c>
      <c r="O104" s="215">
        <f t="shared" si="21"/>
        <v>0</v>
      </c>
    </row>
    <row r="105" spans="2:15" s="9" customFormat="1" ht="19.5" x14ac:dyDescent="0.25">
      <c r="B105" s="15" t="s">
        <v>127</v>
      </c>
      <c r="C105" s="38">
        <f>SUM(C106:C115)</f>
        <v>100</v>
      </c>
      <c r="D105" s="38">
        <f t="shared" ref="D105:N105" si="23">SUM(D106:D115)</f>
        <v>100</v>
      </c>
      <c r="E105" s="38">
        <f t="shared" si="23"/>
        <v>2000</v>
      </c>
      <c r="F105" s="38">
        <f t="shared" si="23"/>
        <v>100</v>
      </c>
      <c r="G105" s="38">
        <f t="shared" si="23"/>
        <v>100</v>
      </c>
      <c r="H105" s="38">
        <f t="shared" si="23"/>
        <v>100</v>
      </c>
      <c r="I105" s="38">
        <f t="shared" si="23"/>
        <v>100</v>
      </c>
      <c r="J105" s="38">
        <f t="shared" si="23"/>
        <v>100</v>
      </c>
      <c r="K105" s="38">
        <f t="shared" si="23"/>
        <v>100</v>
      </c>
      <c r="L105" s="38">
        <f t="shared" si="23"/>
        <v>300</v>
      </c>
      <c r="M105" s="38">
        <f t="shared" si="23"/>
        <v>100</v>
      </c>
      <c r="N105" s="38">
        <f t="shared" si="23"/>
        <v>100</v>
      </c>
      <c r="O105" s="218">
        <f t="shared" si="21"/>
        <v>3300</v>
      </c>
    </row>
    <row r="106" spans="2:15" s="9" customFormat="1" ht="16.5" x14ac:dyDescent="0.25">
      <c r="B106" s="12" t="s">
        <v>128</v>
      </c>
      <c r="C106" s="37">
        <f>SUM(ADM!C106,MARKETING!C106,COMERCIAL!C106,OPERAÇÕES!C106,'FAVELA 3D'!C106)</f>
        <v>0</v>
      </c>
      <c r="D106" s="37">
        <f>SUM(ADM!D106,MARKETING!D106,COMERCIAL!D106,OPERAÇÕES!D106,'FAVELA 3D'!D106)</f>
        <v>0</v>
      </c>
      <c r="E106" s="37">
        <f>SUM(ADM!E106,MARKETING!E106,COMERCIAL!E106,OPERAÇÕES!E106,'FAVELA 3D'!E106)</f>
        <v>0</v>
      </c>
      <c r="F106" s="37">
        <f>SUM(ADM!F106,MARKETING!F106,COMERCIAL!F106,OPERAÇÕES!F106,'FAVELA 3D'!F106)</f>
        <v>0</v>
      </c>
      <c r="G106" s="37">
        <f>SUM(ADM!G106,MARKETING!G106,COMERCIAL!G106,OPERAÇÕES!G106,'FAVELA 3D'!G106)</f>
        <v>0</v>
      </c>
      <c r="H106" s="37">
        <f>SUM(ADM!H106,MARKETING!H106,COMERCIAL!H106,OPERAÇÕES!H106,'FAVELA 3D'!H106)</f>
        <v>0</v>
      </c>
      <c r="I106" s="37">
        <f>SUM(ADM!I106,MARKETING!I106,COMERCIAL!I106,OPERAÇÕES!I106,'FAVELA 3D'!I106)</f>
        <v>0</v>
      </c>
      <c r="J106" s="37">
        <f>SUM(ADM!J106,MARKETING!J106,COMERCIAL!J106,OPERAÇÕES!J106,'FAVELA 3D'!J106)</f>
        <v>0</v>
      </c>
      <c r="K106" s="37">
        <f>SUM(ADM!K106,MARKETING!K106,COMERCIAL!K106,OPERAÇÕES!K106,'FAVELA 3D'!K106)</f>
        <v>0</v>
      </c>
      <c r="L106" s="37">
        <f>SUM(ADM!L106,MARKETING!L106,COMERCIAL!L106,OPERAÇÕES!L106,'FAVELA 3D'!L106)</f>
        <v>0</v>
      </c>
      <c r="M106" s="37">
        <f>SUM(ADM!M106,MARKETING!M106,COMERCIAL!M106,OPERAÇÕES!M106,'FAVELA 3D'!M106)</f>
        <v>0</v>
      </c>
      <c r="N106" s="37">
        <f>SUM(ADM!N106,MARKETING!N106,COMERCIAL!N106,OPERAÇÕES!N106,'FAVELA 3D'!N106)</f>
        <v>0</v>
      </c>
      <c r="O106" s="215">
        <f t="shared" si="21"/>
        <v>0</v>
      </c>
    </row>
    <row r="107" spans="2:15" s="9" customFormat="1" ht="16.5" x14ac:dyDescent="0.25">
      <c r="B107" s="12" t="s">
        <v>129</v>
      </c>
      <c r="C107" s="37">
        <f>SUM(ADM!C107,MARKETING!C107,COMERCIAL!C107,OPERAÇÕES!C107,'FAVELA 3D'!C107)</f>
        <v>0</v>
      </c>
      <c r="D107" s="37">
        <f>SUM(ADM!D107,MARKETING!D107,COMERCIAL!D107,OPERAÇÕES!D107,'FAVELA 3D'!D107)</f>
        <v>0</v>
      </c>
      <c r="E107" s="37">
        <f>SUM(ADM!E107,MARKETING!E107,COMERCIAL!E107,OPERAÇÕES!E107,'FAVELA 3D'!E107)</f>
        <v>0</v>
      </c>
      <c r="F107" s="37">
        <f>SUM(ADM!F107,MARKETING!F107,COMERCIAL!F107,OPERAÇÕES!F107,'FAVELA 3D'!F107)</f>
        <v>0</v>
      </c>
      <c r="G107" s="37">
        <f>SUM(ADM!G107,MARKETING!G107,COMERCIAL!G107,OPERAÇÕES!G107,'FAVELA 3D'!G107)</f>
        <v>0</v>
      </c>
      <c r="H107" s="37">
        <f>SUM(ADM!H107,MARKETING!H107,COMERCIAL!H107,OPERAÇÕES!H107,'FAVELA 3D'!H107)</f>
        <v>0</v>
      </c>
      <c r="I107" s="37">
        <f>SUM(ADM!I107,MARKETING!I107,COMERCIAL!I107,OPERAÇÕES!I107,'FAVELA 3D'!I107)</f>
        <v>0</v>
      </c>
      <c r="J107" s="37">
        <f>SUM(ADM!J107,MARKETING!J107,COMERCIAL!J107,OPERAÇÕES!J107,'FAVELA 3D'!J107)</f>
        <v>0</v>
      </c>
      <c r="K107" s="37">
        <f>SUM(ADM!K107,MARKETING!K107,COMERCIAL!K107,OPERAÇÕES!K107,'FAVELA 3D'!K107)</f>
        <v>0</v>
      </c>
      <c r="L107" s="37">
        <f>SUM(ADM!L107,MARKETING!L107,COMERCIAL!L107,OPERAÇÕES!L107,'FAVELA 3D'!L107)</f>
        <v>0</v>
      </c>
      <c r="M107" s="37">
        <f>SUM(ADM!M107,MARKETING!M107,COMERCIAL!M107,OPERAÇÕES!M107,'FAVELA 3D'!M107)</f>
        <v>0</v>
      </c>
      <c r="N107" s="37">
        <f>SUM(ADM!N107,MARKETING!N107,COMERCIAL!N107,OPERAÇÕES!N107,'FAVELA 3D'!N107)</f>
        <v>0</v>
      </c>
      <c r="O107" s="215">
        <f t="shared" si="21"/>
        <v>0</v>
      </c>
    </row>
    <row r="108" spans="2:15" s="9" customFormat="1" ht="16.5" x14ac:dyDescent="0.25">
      <c r="B108" s="12" t="s">
        <v>130</v>
      </c>
      <c r="C108" s="37">
        <f>SUM(ADM!C108,MARKETING!C108,COMERCIAL!C108,OPERAÇÕES!C108,'FAVELA 3D'!C108)</f>
        <v>0</v>
      </c>
      <c r="D108" s="37">
        <f>SUM(ADM!D108,MARKETING!D108,COMERCIAL!D108,OPERAÇÕES!D108,'FAVELA 3D'!D108)</f>
        <v>0</v>
      </c>
      <c r="E108" s="37">
        <f>SUM(ADM!E108,MARKETING!E108,COMERCIAL!E108,OPERAÇÕES!E108,'FAVELA 3D'!E108)</f>
        <v>0</v>
      </c>
      <c r="F108" s="37">
        <f>SUM(ADM!F108,MARKETING!F108,COMERCIAL!F108,OPERAÇÕES!F108,'FAVELA 3D'!F108)</f>
        <v>0</v>
      </c>
      <c r="G108" s="37">
        <f>SUM(ADM!G108,MARKETING!G108,COMERCIAL!G108,OPERAÇÕES!G108,'FAVELA 3D'!G108)</f>
        <v>0</v>
      </c>
      <c r="H108" s="37">
        <f>SUM(ADM!H108,MARKETING!H108,COMERCIAL!H108,OPERAÇÕES!H108,'FAVELA 3D'!H108)</f>
        <v>0</v>
      </c>
      <c r="I108" s="37">
        <f>SUM(ADM!I108,MARKETING!I108,COMERCIAL!I108,OPERAÇÕES!I108,'FAVELA 3D'!I108)</f>
        <v>0</v>
      </c>
      <c r="J108" s="37">
        <f>SUM(ADM!J108,MARKETING!J108,COMERCIAL!J108,OPERAÇÕES!J108,'FAVELA 3D'!J108)</f>
        <v>0</v>
      </c>
      <c r="K108" s="37">
        <f>SUM(ADM!K108,MARKETING!K108,COMERCIAL!K108,OPERAÇÕES!K108,'FAVELA 3D'!K108)</f>
        <v>0</v>
      </c>
      <c r="L108" s="37">
        <f>SUM(ADM!L108,MARKETING!L108,COMERCIAL!L108,OPERAÇÕES!L108,'FAVELA 3D'!L108)</f>
        <v>0</v>
      </c>
      <c r="M108" s="37">
        <f>SUM(ADM!M108,MARKETING!M108,COMERCIAL!M108,OPERAÇÕES!M108,'FAVELA 3D'!M108)</f>
        <v>0</v>
      </c>
      <c r="N108" s="37">
        <f>SUM(ADM!N108,MARKETING!N108,COMERCIAL!N108,OPERAÇÕES!N108,'FAVELA 3D'!N108)</f>
        <v>0</v>
      </c>
      <c r="O108" s="215">
        <f t="shared" si="21"/>
        <v>0</v>
      </c>
    </row>
    <row r="109" spans="2:15" s="9" customFormat="1" ht="16.5" x14ac:dyDescent="0.25">
      <c r="B109" s="12" t="s">
        <v>131</v>
      </c>
      <c r="C109" s="37">
        <f>SUM(ADM!C109,MARKETING!C109,COMERCIAL!C109,OPERAÇÕES!C109,'FAVELA 3D'!C109)</f>
        <v>0</v>
      </c>
      <c r="D109" s="37">
        <f>SUM(ADM!D109,MARKETING!D109,COMERCIAL!D109,OPERAÇÕES!D109,'FAVELA 3D'!D109)</f>
        <v>0</v>
      </c>
      <c r="E109" s="37">
        <f>SUM(ADM!E109,MARKETING!E109,COMERCIAL!E109,OPERAÇÕES!E109,'FAVELA 3D'!E109)</f>
        <v>0</v>
      </c>
      <c r="F109" s="37">
        <f>SUM(ADM!F109,MARKETING!F109,COMERCIAL!F109,OPERAÇÕES!F109,'FAVELA 3D'!F109)</f>
        <v>0</v>
      </c>
      <c r="G109" s="37">
        <f>SUM(ADM!G109,MARKETING!G109,COMERCIAL!G109,OPERAÇÕES!G109,'FAVELA 3D'!G109)</f>
        <v>0</v>
      </c>
      <c r="H109" s="37">
        <f>SUM(ADM!H109,MARKETING!H109,COMERCIAL!H109,OPERAÇÕES!H109,'FAVELA 3D'!H109)</f>
        <v>0</v>
      </c>
      <c r="I109" s="37">
        <f>SUM(ADM!I109,MARKETING!I109,COMERCIAL!I109,OPERAÇÕES!I109,'FAVELA 3D'!I109)</f>
        <v>0</v>
      </c>
      <c r="J109" s="37">
        <f>SUM(ADM!J109,MARKETING!J109,COMERCIAL!J109,OPERAÇÕES!J109,'FAVELA 3D'!J109)</f>
        <v>0</v>
      </c>
      <c r="K109" s="37">
        <f>SUM(ADM!K109,MARKETING!K109,COMERCIAL!K109,OPERAÇÕES!K109,'FAVELA 3D'!K109)</f>
        <v>0</v>
      </c>
      <c r="L109" s="37">
        <f>SUM(ADM!L109,MARKETING!L109,COMERCIAL!L109,OPERAÇÕES!L109,'FAVELA 3D'!L109)</f>
        <v>0</v>
      </c>
      <c r="M109" s="37">
        <f>SUM(ADM!M109,MARKETING!M109,COMERCIAL!M109,OPERAÇÕES!M109,'FAVELA 3D'!M109)</f>
        <v>0</v>
      </c>
      <c r="N109" s="37">
        <f>SUM(ADM!N109,MARKETING!N109,COMERCIAL!N109,OPERAÇÕES!N109,'FAVELA 3D'!N109)</f>
        <v>0</v>
      </c>
      <c r="O109" s="215">
        <f t="shared" si="21"/>
        <v>0</v>
      </c>
    </row>
    <row r="110" spans="2:15" s="9" customFormat="1" ht="16.5" x14ac:dyDescent="0.25">
      <c r="B110" s="12" t="s">
        <v>132</v>
      </c>
      <c r="C110" s="37">
        <f>SUM(ADM!C110,MARKETING!C110,COMERCIAL!C110,OPERAÇÕES!C110,'FAVELA 3D'!C110)</f>
        <v>0</v>
      </c>
      <c r="D110" s="37">
        <f>SUM(ADM!D110,MARKETING!D110,COMERCIAL!D110,OPERAÇÕES!D110,'FAVELA 3D'!D110)</f>
        <v>0</v>
      </c>
      <c r="E110" s="37">
        <f>SUM(ADM!E110,MARKETING!E110,COMERCIAL!E110,OPERAÇÕES!E110,'FAVELA 3D'!E110)</f>
        <v>0</v>
      </c>
      <c r="F110" s="37">
        <f>SUM(ADM!F110,MARKETING!F110,COMERCIAL!F110,OPERAÇÕES!F110,'FAVELA 3D'!F110)</f>
        <v>0</v>
      </c>
      <c r="G110" s="37">
        <f>SUM(ADM!G110,MARKETING!G110,COMERCIAL!G110,OPERAÇÕES!G110,'FAVELA 3D'!G110)</f>
        <v>0</v>
      </c>
      <c r="H110" s="37">
        <f>SUM(ADM!H110,MARKETING!H110,COMERCIAL!H110,OPERAÇÕES!H110,'FAVELA 3D'!H110)</f>
        <v>0</v>
      </c>
      <c r="I110" s="37">
        <f>SUM(ADM!I110,MARKETING!I110,COMERCIAL!I110,OPERAÇÕES!I110,'FAVELA 3D'!I110)</f>
        <v>0</v>
      </c>
      <c r="J110" s="37">
        <f>SUM(ADM!J110,MARKETING!J110,COMERCIAL!J110,OPERAÇÕES!J110,'FAVELA 3D'!J110)</f>
        <v>0</v>
      </c>
      <c r="K110" s="37">
        <f>SUM(ADM!K110,MARKETING!K110,COMERCIAL!K110,OPERAÇÕES!K110,'FAVELA 3D'!K110)</f>
        <v>0</v>
      </c>
      <c r="L110" s="37">
        <f>SUM(ADM!L110,MARKETING!L110,COMERCIAL!L110,OPERAÇÕES!L110,'FAVELA 3D'!L110)</f>
        <v>0</v>
      </c>
      <c r="M110" s="37">
        <f>SUM(ADM!M110,MARKETING!M110,COMERCIAL!M110,OPERAÇÕES!M110,'FAVELA 3D'!M110)</f>
        <v>0</v>
      </c>
      <c r="N110" s="37">
        <f>SUM(ADM!N110,MARKETING!N110,COMERCIAL!N110,OPERAÇÕES!N110,'FAVELA 3D'!N110)</f>
        <v>0</v>
      </c>
      <c r="O110" s="215">
        <f t="shared" si="21"/>
        <v>0</v>
      </c>
    </row>
    <row r="111" spans="2:15" s="9" customFormat="1" ht="16.5" x14ac:dyDescent="0.25">
      <c r="B111" s="12" t="s">
        <v>133</v>
      </c>
      <c r="C111" s="37">
        <f>SUM(ADM!C111,MARKETING!C111,COMERCIAL!C111,OPERAÇÕES!C111,'FAVELA 3D'!C111)</f>
        <v>0</v>
      </c>
      <c r="D111" s="37">
        <f>SUM(ADM!D111,MARKETING!D111,COMERCIAL!D111,OPERAÇÕES!D111,'FAVELA 3D'!D111)</f>
        <v>0</v>
      </c>
      <c r="E111" s="37">
        <f>SUM(ADM!E111,MARKETING!E111,COMERCIAL!E111,OPERAÇÕES!E111,'FAVELA 3D'!E111)</f>
        <v>0</v>
      </c>
      <c r="F111" s="37">
        <f>SUM(ADM!F111,MARKETING!F111,COMERCIAL!F111,OPERAÇÕES!F111,'FAVELA 3D'!F111)</f>
        <v>0</v>
      </c>
      <c r="G111" s="37">
        <f>SUM(ADM!G111,MARKETING!G111,COMERCIAL!G111,OPERAÇÕES!G111,'FAVELA 3D'!G111)</f>
        <v>0</v>
      </c>
      <c r="H111" s="37">
        <f>SUM(ADM!H111,MARKETING!H111,COMERCIAL!H111,OPERAÇÕES!H111,'FAVELA 3D'!H111)</f>
        <v>0</v>
      </c>
      <c r="I111" s="37">
        <f>SUM(ADM!I111,MARKETING!I111,COMERCIAL!I111,OPERAÇÕES!I111,'FAVELA 3D'!I111)</f>
        <v>0</v>
      </c>
      <c r="J111" s="37">
        <f>SUM(ADM!J111,MARKETING!J111,COMERCIAL!J111,OPERAÇÕES!J111,'FAVELA 3D'!J111)</f>
        <v>0</v>
      </c>
      <c r="K111" s="37">
        <f>SUM(ADM!K111,MARKETING!K111,COMERCIAL!K111,OPERAÇÕES!K111,'FAVELA 3D'!K111)</f>
        <v>0</v>
      </c>
      <c r="L111" s="37">
        <f>SUM(ADM!L111,MARKETING!L111,COMERCIAL!L111,OPERAÇÕES!L111,'FAVELA 3D'!L111)</f>
        <v>0</v>
      </c>
      <c r="M111" s="37">
        <f>SUM(ADM!M111,MARKETING!M111,COMERCIAL!M111,OPERAÇÕES!M111,'FAVELA 3D'!M111)</f>
        <v>0</v>
      </c>
      <c r="N111" s="37">
        <f>SUM(ADM!N111,MARKETING!N111,COMERCIAL!N111,OPERAÇÕES!N111,'FAVELA 3D'!N111)</f>
        <v>0</v>
      </c>
      <c r="O111" s="215">
        <f t="shared" si="21"/>
        <v>0</v>
      </c>
    </row>
    <row r="112" spans="2:15" s="9" customFormat="1" ht="16.5" x14ac:dyDescent="0.25">
      <c r="B112" s="12" t="s">
        <v>134</v>
      </c>
      <c r="C112" s="37">
        <f>SUM(ADM!C112,MARKETING!C112,COMERCIAL!C112,OPERAÇÕES!C112,'FAVELA 3D'!C112)</f>
        <v>0</v>
      </c>
      <c r="D112" s="37">
        <f>SUM(ADM!D112,MARKETING!D112,COMERCIAL!D112,OPERAÇÕES!D112,'FAVELA 3D'!D112)</f>
        <v>0</v>
      </c>
      <c r="E112" s="37">
        <f>SUM(ADM!E112,MARKETING!E112,COMERCIAL!E112,OPERAÇÕES!E112,'FAVELA 3D'!E112)</f>
        <v>0</v>
      </c>
      <c r="F112" s="37">
        <f>SUM(ADM!F112,MARKETING!F112,COMERCIAL!F112,OPERAÇÕES!F112,'FAVELA 3D'!F112)</f>
        <v>0</v>
      </c>
      <c r="G112" s="37">
        <f>SUM(ADM!G112,MARKETING!G112,COMERCIAL!G112,OPERAÇÕES!G112,'FAVELA 3D'!G112)</f>
        <v>0</v>
      </c>
      <c r="H112" s="37">
        <f>SUM(ADM!H112,MARKETING!H112,COMERCIAL!H112,OPERAÇÕES!H112,'FAVELA 3D'!H112)</f>
        <v>0</v>
      </c>
      <c r="I112" s="37">
        <f>SUM(ADM!I112,MARKETING!I112,COMERCIAL!I112,OPERAÇÕES!I112,'FAVELA 3D'!I112)</f>
        <v>0</v>
      </c>
      <c r="J112" s="37">
        <f>SUM(ADM!J112,MARKETING!J112,COMERCIAL!J112,OPERAÇÕES!J112,'FAVELA 3D'!J112)</f>
        <v>0</v>
      </c>
      <c r="K112" s="37">
        <f>SUM(ADM!K112,MARKETING!K112,COMERCIAL!K112,OPERAÇÕES!K112,'FAVELA 3D'!K112)</f>
        <v>0</v>
      </c>
      <c r="L112" s="37">
        <f>SUM(ADM!L112,MARKETING!L112,COMERCIAL!L112,OPERAÇÕES!L112,'FAVELA 3D'!L112)</f>
        <v>0</v>
      </c>
      <c r="M112" s="37">
        <f>SUM(ADM!M112,MARKETING!M112,COMERCIAL!M112,OPERAÇÕES!M112,'FAVELA 3D'!M112)</f>
        <v>0</v>
      </c>
      <c r="N112" s="37">
        <f>SUM(ADM!N112,MARKETING!N112,COMERCIAL!N112,OPERAÇÕES!N112,'FAVELA 3D'!N112)</f>
        <v>0</v>
      </c>
      <c r="O112" s="215">
        <f t="shared" si="21"/>
        <v>0</v>
      </c>
    </row>
    <row r="113" spans="2:15" s="9" customFormat="1" ht="16.5" x14ac:dyDescent="0.25">
      <c r="B113" s="12" t="s">
        <v>135</v>
      </c>
      <c r="C113" s="37">
        <f>SUM(ADM!C113,MARKETING!C113,COMERCIAL!C113,OPERAÇÕES!C113,'FAVELA 3D'!C113)</f>
        <v>0</v>
      </c>
      <c r="D113" s="37">
        <f>SUM(ADM!D113,MARKETING!D113,COMERCIAL!D113,OPERAÇÕES!D113,'FAVELA 3D'!D113)</f>
        <v>0</v>
      </c>
      <c r="E113" s="37">
        <f>SUM(ADM!E113,MARKETING!E113,COMERCIAL!E113,OPERAÇÕES!E113,'FAVELA 3D'!E113)</f>
        <v>0</v>
      </c>
      <c r="F113" s="37">
        <f>SUM(ADM!F113,MARKETING!F113,COMERCIAL!F113,OPERAÇÕES!F113,'FAVELA 3D'!F113)</f>
        <v>0</v>
      </c>
      <c r="G113" s="37">
        <f>SUM(ADM!G113,MARKETING!G113,COMERCIAL!G113,OPERAÇÕES!G113,'FAVELA 3D'!G113)</f>
        <v>0</v>
      </c>
      <c r="H113" s="37">
        <f>SUM(ADM!H113,MARKETING!H113,COMERCIAL!H113,OPERAÇÕES!H113,'FAVELA 3D'!H113)</f>
        <v>0</v>
      </c>
      <c r="I113" s="37">
        <f>SUM(ADM!I113,MARKETING!I113,COMERCIAL!I113,OPERAÇÕES!I113,'FAVELA 3D'!I113)</f>
        <v>0</v>
      </c>
      <c r="J113" s="37">
        <f>SUM(ADM!J113,MARKETING!J113,COMERCIAL!J113,OPERAÇÕES!J113,'FAVELA 3D'!J113)</f>
        <v>0</v>
      </c>
      <c r="K113" s="37">
        <f>SUM(ADM!K113,MARKETING!K113,COMERCIAL!K113,OPERAÇÕES!K113,'FAVELA 3D'!K113)</f>
        <v>0</v>
      </c>
      <c r="L113" s="37">
        <f>SUM(ADM!L113,MARKETING!L113,COMERCIAL!L113,OPERAÇÕES!L113,'FAVELA 3D'!L113)</f>
        <v>0</v>
      </c>
      <c r="M113" s="37">
        <f>SUM(ADM!M113,MARKETING!M113,COMERCIAL!M113,OPERAÇÕES!M113,'FAVELA 3D'!M113)</f>
        <v>0</v>
      </c>
      <c r="N113" s="37">
        <f>SUM(ADM!N113,MARKETING!N113,COMERCIAL!N113,OPERAÇÕES!N113,'FAVELA 3D'!N113)</f>
        <v>0</v>
      </c>
      <c r="O113" s="215">
        <f t="shared" si="21"/>
        <v>0</v>
      </c>
    </row>
    <row r="114" spans="2:15" s="9" customFormat="1" ht="16.5" x14ac:dyDescent="0.25">
      <c r="B114" s="12" t="s">
        <v>136</v>
      </c>
      <c r="C114" s="37">
        <f>SUM(ADM!C114,MARKETING!C114,COMERCIAL!C114,OPERAÇÕES!C114,'FAVELA 3D'!C114)</f>
        <v>100</v>
      </c>
      <c r="D114" s="37">
        <f>SUM(ADM!D114,MARKETING!D114,COMERCIAL!D114,OPERAÇÕES!D114,'FAVELA 3D'!D114)</f>
        <v>100</v>
      </c>
      <c r="E114" s="37">
        <f>SUM(ADM!E114,MARKETING!E114,COMERCIAL!E114,OPERAÇÕES!E114,'FAVELA 3D'!E114)</f>
        <v>2000</v>
      </c>
      <c r="F114" s="37">
        <f>SUM(ADM!F114,MARKETING!F114,COMERCIAL!F114,OPERAÇÕES!F114,'FAVELA 3D'!F114)</f>
        <v>100</v>
      </c>
      <c r="G114" s="37">
        <f>SUM(ADM!G114,MARKETING!G114,COMERCIAL!G114,OPERAÇÕES!G114,'FAVELA 3D'!G114)</f>
        <v>100</v>
      </c>
      <c r="H114" s="37">
        <f>SUM(ADM!H114,MARKETING!H114,COMERCIAL!H114,OPERAÇÕES!H114,'FAVELA 3D'!H114)</f>
        <v>100</v>
      </c>
      <c r="I114" s="37">
        <f>SUM(ADM!I114,MARKETING!I114,COMERCIAL!I114,OPERAÇÕES!I114,'FAVELA 3D'!I114)</f>
        <v>100</v>
      </c>
      <c r="J114" s="37">
        <f>SUM(ADM!J114,MARKETING!J114,COMERCIAL!J114,OPERAÇÕES!J114,'FAVELA 3D'!J114)</f>
        <v>100</v>
      </c>
      <c r="K114" s="37">
        <f>SUM(ADM!K114,MARKETING!K114,COMERCIAL!K114,OPERAÇÕES!K114,'FAVELA 3D'!K114)</f>
        <v>100</v>
      </c>
      <c r="L114" s="37">
        <f>SUM(ADM!L114,MARKETING!L114,COMERCIAL!L114,OPERAÇÕES!L114,'FAVELA 3D'!L114)</f>
        <v>300</v>
      </c>
      <c r="M114" s="37">
        <f>SUM(ADM!M114,MARKETING!M114,COMERCIAL!M114,OPERAÇÕES!M114,'FAVELA 3D'!M114)</f>
        <v>100</v>
      </c>
      <c r="N114" s="37">
        <f>SUM(ADM!N114,MARKETING!N114,COMERCIAL!N114,OPERAÇÕES!N114,'FAVELA 3D'!N114)</f>
        <v>100</v>
      </c>
      <c r="O114" s="215">
        <f t="shared" si="21"/>
        <v>3300</v>
      </c>
    </row>
    <row r="115" spans="2:15" s="9" customFormat="1" ht="16.5" x14ac:dyDescent="0.25">
      <c r="B115" s="12" t="s">
        <v>137</v>
      </c>
      <c r="C115" s="37">
        <f>SUM(ADM!C115,MARKETING!C115,COMERCIAL!C115,OPERAÇÕES!C115,'FAVELA 3D'!C115)</f>
        <v>0</v>
      </c>
      <c r="D115" s="37">
        <f>SUM(ADM!D115,MARKETING!D115,COMERCIAL!D115,OPERAÇÕES!D115,'FAVELA 3D'!D115)</f>
        <v>0</v>
      </c>
      <c r="E115" s="37">
        <f>SUM(ADM!E115,MARKETING!E115,COMERCIAL!E115,OPERAÇÕES!E115,'FAVELA 3D'!E115)</f>
        <v>0</v>
      </c>
      <c r="F115" s="37">
        <f>SUM(ADM!F115,MARKETING!F115,COMERCIAL!F115,OPERAÇÕES!F115,'FAVELA 3D'!F115)</f>
        <v>0</v>
      </c>
      <c r="G115" s="37">
        <f>SUM(ADM!G115,MARKETING!G115,COMERCIAL!G115,OPERAÇÕES!G115,'FAVELA 3D'!G115)</f>
        <v>0</v>
      </c>
      <c r="H115" s="37">
        <f>SUM(ADM!H115,MARKETING!H115,COMERCIAL!H115,OPERAÇÕES!H115,'FAVELA 3D'!H115)</f>
        <v>0</v>
      </c>
      <c r="I115" s="37">
        <f>SUM(ADM!I115,MARKETING!I115,COMERCIAL!I115,OPERAÇÕES!I115,'FAVELA 3D'!I115)</f>
        <v>0</v>
      </c>
      <c r="J115" s="37">
        <f>SUM(ADM!J115,MARKETING!J115,COMERCIAL!J115,OPERAÇÕES!J115,'FAVELA 3D'!J115)</f>
        <v>0</v>
      </c>
      <c r="K115" s="37">
        <f>SUM(ADM!K115,MARKETING!K115,COMERCIAL!K115,OPERAÇÕES!K115,'FAVELA 3D'!K115)</f>
        <v>0</v>
      </c>
      <c r="L115" s="37">
        <f>SUM(ADM!L115,MARKETING!L115,COMERCIAL!L115,OPERAÇÕES!L115,'FAVELA 3D'!L115)</f>
        <v>0</v>
      </c>
      <c r="M115" s="37">
        <f>SUM(ADM!M115,MARKETING!M115,COMERCIAL!M115,OPERAÇÕES!M115,'FAVELA 3D'!M115)</f>
        <v>0</v>
      </c>
      <c r="N115" s="37">
        <f>SUM(ADM!N115,MARKETING!N115,COMERCIAL!N115,OPERAÇÕES!N115,'FAVELA 3D'!N115)</f>
        <v>0</v>
      </c>
      <c r="O115" s="215">
        <f t="shared" si="21"/>
        <v>0</v>
      </c>
    </row>
    <row r="116" spans="2:15" s="42" customFormat="1" ht="19.5" x14ac:dyDescent="0.4">
      <c r="B116" s="15" t="s">
        <v>138</v>
      </c>
      <c r="C116" s="45">
        <f>SUM(C117:C119)</f>
        <v>750</v>
      </c>
      <c r="D116" s="45">
        <f t="shared" ref="D116:N116" si="24">SUM(D117:D119)</f>
        <v>50250</v>
      </c>
      <c r="E116" s="45">
        <f t="shared" si="24"/>
        <v>750</v>
      </c>
      <c r="F116" s="45">
        <f t="shared" si="24"/>
        <v>750</v>
      </c>
      <c r="G116" s="45">
        <f t="shared" si="24"/>
        <v>750</v>
      </c>
      <c r="H116" s="45">
        <f t="shared" si="24"/>
        <v>750</v>
      </c>
      <c r="I116" s="45">
        <f t="shared" si="24"/>
        <v>750</v>
      </c>
      <c r="J116" s="45">
        <f t="shared" si="24"/>
        <v>750</v>
      </c>
      <c r="K116" s="45">
        <f t="shared" si="24"/>
        <v>750</v>
      </c>
      <c r="L116" s="45">
        <f t="shared" si="24"/>
        <v>750</v>
      </c>
      <c r="M116" s="45">
        <f t="shared" si="24"/>
        <v>750</v>
      </c>
      <c r="N116" s="45">
        <f t="shared" si="24"/>
        <v>750</v>
      </c>
      <c r="O116" s="218">
        <f t="shared" si="21"/>
        <v>58500</v>
      </c>
    </row>
    <row r="117" spans="2:15" s="9" customFormat="1" ht="16.5" x14ac:dyDescent="0.25">
      <c r="B117" s="12" t="s">
        <v>139</v>
      </c>
      <c r="C117" s="37">
        <f>SUM(ADM!C117,MARKETING!C117,COMERCIAL!C117,OPERAÇÕES!C117,'FAVELA 3D'!C117)</f>
        <v>150</v>
      </c>
      <c r="D117" s="37">
        <f>SUM(ADM!D117,MARKETING!D117,COMERCIAL!D117,OPERAÇÕES!D117,'FAVELA 3D'!D117)</f>
        <v>750</v>
      </c>
      <c r="E117" s="37">
        <f>SUM(ADM!E117,MARKETING!E117,COMERCIAL!E117,OPERAÇÕES!E117,'FAVELA 3D'!E117)</f>
        <v>150</v>
      </c>
      <c r="F117" s="37">
        <f>SUM(ADM!F117,MARKETING!F117,COMERCIAL!F117,OPERAÇÕES!F117,'FAVELA 3D'!F117)</f>
        <v>150</v>
      </c>
      <c r="G117" s="37">
        <f>SUM(ADM!G117,MARKETING!G117,COMERCIAL!G117,OPERAÇÕES!G117,'FAVELA 3D'!G117)</f>
        <v>150</v>
      </c>
      <c r="H117" s="37">
        <f>SUM(ADM!H117,MARKETING!H117,COMERCIAL!H117,OPERAÇÕES!H117,'FAVELA 3D'!H117)</f>
        <v>150</v>
      </c>
      <c r="I117" s="37">
        <f>SUM(ADM!I117,MARKETING!I117,COMERCIAL!I117,OPERAÇÕES!I117,'FAVELA 3D'!I117)</f>
        <v>150</v>
      </c>
      <c r="J117" s="37">
        <f>SUM(ADM!J117,MARKETING!J117,COMERCIAL!J117,OPERAÇÕES!J117,'FAVELA 3D'!J117)</f>
        <v>150</v>
      </c>
      <c r="K117" s="37">
        <f>SUM(ADM!K117,MARKETING!K117,COMERCIAL!K117,OPERAÇÕES!K117,'FAVELA 3D'!K117)</f>
        <v>150</v>
      </c>
      <c r="L117" s="37">
        <f>SUM(ADM!L117,MARKETING!L117,COMERCIAL!L117,OPERAÇÕES!L117,'FAVELA 3D'!L117)</f>
        <v>150</v>
      </c>
      <c r="M117" s="37">
        <f>SUM(ADM!M117,MARKETING!M117,COMERCIAL!M117,OPERAÇÕES!M117,'FAVELA 3D'!M117)</f>
        <v>150</v>
      </c>
      <c r="N117" s="37">
        <f>SUM(ADM!N117,MARKETING!N117,COMERCIAL!N117,OPERAÇÕES!N117,'FAVELA 3D'!N117)</f>
        <v>150</v>
      </c>
      <c r="O117" s="215">
        <f t="shared" si="21"/>
        <v>2400</v>
      </c>
    </row>
    <row r="118" spans="2:15" s="9" customFormat="1" ht="16.5" x14ac:dyDescent="0.25">
      <c r="B118" s="12" t="s">
        <v>140</v>
      </c>
      <c r="C118" s="37">
        <f>SUM(ADM!C118,MARKETING!C118,COMERCIAL!C118,OPERAÇÕES!C118,'FAVELA 3D'!C118)</f>
        <v>200</v>
      </c>
      <c r="D118" s="37">
        <f>SUM(ADM!D118,MARKETING!D118,COMERCIAL!D118,OPERAÇÕES!D118,'FAVELA 3D'!D118)</f>
        <v>11600</v>
      </c>
      <c r="E118" s="37">
        <f>SUM(ADM!E118,MARKETING!E118,COMERCIAL!E118,OPERAÇÕES!E118,'FAVELA 3D'!E118)</f>
        <v>200</v>
      </c>
      <c r="F118" s="37">
        <f>SUM(ADM!F118,MARKETING!F118,COMERCIAL!F118,OPERAÇÕES!F118,'FAVELA 3D'!F118)</f>
        <v>200</v>
      </c>
      <c r="G118" s="37">
        <f>SUM(ADM!G118,MARKETING!G118,COMERCIAL!G118,OPERAÇÕES!G118,'FAVELA 3D'!G118)</f>
        <v>200</v>
      </c>
      <c r="H118" s="37">
        <f>SUM(ADM!H118,MARKETING!H118,COMERCIAL!H118,OPERAÇÕES!H118,'FAVELA 3D'!H118)</f>
        <v>200</v>
      </c>
      <c r="I118" s="37">
        <f>SUM(ADM!I118,MARKETING!I118,COMERCIAL!I118,OPERAÇÕES!I118,'FAVELA 3D'!I118)</f>
        <v>200</v>
      </c>
      <c r="J118" s="37">
        <f>SUM(ADM!J118,MARKETING!J118,COMERCIAL!J118,OPERAÇÕES!J118,'FAVELA 3D'!J118)</f>
        <v>200</v>
      </c>
      <c r="K118" s="37">
        <f>SUM(ADM!K118,MARKETING!K118,COMERCIAL!K118,OPERAÇÕES!K118,'FAVELA 3D'!K118)</f>
        <v>200</v>
      </c>
      <c r="L118" s="37">
        <f>SUM(ADM!L118,MARKETING!L118,COMERCIAL!L118,OPERAÇÕES!L118,'FAVELA 3D'!L118)</f>
        <v>200</v>
      </c>
      <c r="M118" s="37">
        <f>SUM(ADM!M118,MARKETING!M118,COMERCIAL!M118,OPERAÇÕES!M118,'FAVELA 3D'!M118)</f>
        <v>200</v>
      </c>
      <c r="N118" s="37">
        <f>SUM(ADM!N118,MARKETING!N118,COMERCIAL!N118,OPERAÇÕES!N118,'FAVELA 3D'!N118)</f>
        <v>200</v>
      </c>
      <c r="O118" s="215">
        <f t="shared" si="21"/>
        <v>13800</v>
      </c>
    </row>
    <row r="119" spans="2:15" s="9" customFormat="1" ht="16.5" x14ac:dyDescent="0.25">
      <c r="B119" s="12" t="s">
        <v>141</v>
      </c>
      <c r="C119" s="37">
        <f>SUM(ADM!C119,MARKETING!C119,COMERCIAL!C119,OPERAÇÕES!C119,'FAVELA 3D'!C119)</f>
        <v>400</v>
      </c>
      <c r="D119" s="37">
        <f>SUM(ADM!D119,MARKETING!D119,COMERCIAL!D119,OPERAÇÕES!D119,'FAVELA 3D'!D119)</f>
        <v>37900</v>
      </c>
      <c r="E119" s="37">
        <f>SUM(ADM!E119,MARKETING!E119,COMERCIAL!E119,OPERAÇÕES!E119,'FAVELA 3D'!E119)</f>
        <v>400</v>
      </c>
      <c r="F119" s="37">
        <f>SUM(ADM!F119,MARKETING!F119,COMERCIAL!F119,OPERAÇÕES!F119,'FAVELA 3D'!F119)</f>
        <v>400</v>
      </c>
      <c r="G119" s="37">
        <f>SUM(ADM!G119,MARKETING!G119,COMERCIAL!G119,OPERAÇÕES!G119,'FAVELA 3D'!G119)</f>
        <v>400</v>
      </c>
      <c r="H119" s="37">
        <f>SUM(ADM!H119,MARKETING!H119,COMERCIAL!H119,OPERAÇÕES!H119,'FAVELA 3D'!H119)</f>
        <v>400</v>
      </c>
      <c r="I119" s="37">
        <f>SUM(ADM!I119,MARKETING!I119,COMERCIAL!I119,OPERAÇÕES!I119,'FAVELA 3D'!I119)</f>
        <v>400</v>
      </c>
      <c r="J119" s="37">
        <f>SUM(ADM!J119,MARKETING!J119,COMERCIAL!J119,OPERAÇÕES!J119,'FAVELA 3D'!J119)</f>
        <v>400</v>
      </c>
      <c r="K119" s="37">
        <f>SUM(ADM!K119,MARKETING!K119,COMERCIAL!K119,OPERAÇÕES!K119,'FAVELA 3D'!K119)</f>
        <v>400</v>
      </c>
      <c r="L119" s="37">
        <f>SUM(ADM!L119,MARKETING!L119,COMERCIAL!L119,OPERAÇÕES!L119,'FAVELA 3D'!L119)</f>
        <v>400</v>
      </c>
      <c r="M119" s="37">
        <f>SUM(ADM!M119,MARKETING!M119,COMERCIAL!M119,OPERAÇÕES!M119,'FAVELA 3D'!M119)</f>
        <v>400</v>
      </c>
      <c r="N119" s="37">
        <f>SUM(ADM!N119,MARKETING!N119,COMERCIAL!N119,OPERAÇÕES!N119,'FAVELA 3D'!N119)</f>
        <v>400</v>
      </c>
      <c r="O119" s="215">
        <f t="shared" si="21"/>
        <v>42300</v>
      </c>
    </row>
    <row r="120" spans="2:15" s="42" customFormat="1" ht="19.5" hidden="1" x14ac:dyDescent="0.4">
      <c r="B120" s="15" t="s">
        <v>142</v>
      </c>
      <c r="C120" s="37">
        <f>SUM(ADM!C120,MARKETING!C120,COMERCIAL!C120,OPERAÇÕES!C120,'FAVELA 3D'!C120)</f>
        <v>0</v>
      </c>
      <c r="D120" s="45">
        <f t="shared" ref="D120:N120" si="25">SUM(D121:D122)</f>
        <v>0</v>
      </c>
      <c r="E120" s="45">
        <f t="shared" si="25"/>
        <v>0</v>
      </c>
      <c r="F120" s="45">
        <f t="shared" si="25"/>
        <v>0</v>
      </c>
      <c r="G120" s="45">
        <f t="shared" si="25"/>
        <v>0</v>
      </c>
      <c r="H120" s="45">
        <f t="shared" si="25"/>
        <v>0</v>
      </c>
      <c r="I120" s="45">
        <f t="shared" si="25"/>
        <v>0</v>
      </c>
      <c r="J120" s="45">
        <f t="shared" si="25"/>
        <v>0</v>
      </c>
      <c r="K120" s="45">
        <f t="shared" si="25"/>
        <v>0</v>
      </c>
      <c r="L120" s="45">
        <f t="shared" si="25"/>
        <v>0</v>
      </c>
      <c r="M120" s="45">
        <f t="shared" si="25"/>
        <v>0</v>
      </c>
      <c r="N120" s="45">
        <f t="shared" si="25"/>
        <v>0</v>
      </c>
      <c r="O120" s="218">
        <f t="shared" si="21"/>
        <v>0</v>
      </c>
    </row>
    <row r="121" spans="2:15" s="9" customFormat="1" ht="16.5" hidden="1" x14ac:dyDescent="0.25">
      <c r="B121" s="12" t="s">
        <v>143</v>
      </c>
      <c r="C121" s="37">
        <f>SUM(ADM!C121,MARKETING!C121,COMERCIAL!C121,OPERAÇÕES!C121,'FAVELA 3D'!C121)</f>
        <v>0</v>
      </c>
      <c r="D121" s="37">
        <f>SUM(ADM!D121,MARKETING!D121,COMERCIAL!D121,OPERAÇÕES!D121)</f>
        <v>0</v>
      </c>
      <c r="E121" s="37">
        <f>SUM(ADM!E121,MARKETING!E121,COMERCIAL!E121,OPERAÇÕES!E121)</f>
        <v>0</v>
      </c>
      <c r="F121" s="37">
        <f>SUM(ADM!F121,MARKETING!F121,COMERCIAL!F121,OPERAÇÕES!F121)</f>
        <v>0</v>
      </c>
      <c r="G121" s="37">
        <f>SUM(ADM!G121,MARKETING!G121,COMERCIAL!G121,OPERAÇÕES!G121)</f>
        <v>0</v>
      </c>
      <c r="H121" s="37">
        <f>SUM(ADM!H121,MARKETING!H121,COMERCIAL!H121,OPERAÇÕES!H121)</f>
        <v>0</v>
      </c>
      <c r="I121" s="37">
        <f>SUM(ADM!I121,MARKETING!I121,COMERCIAL!I121,OPERAÇÕES!I121)</f>
        <v>0</v>
      </c>
      <c r="J121" s="37">
        <f>SUM(ADM!J121,MARKETING!J121,COMERCIAL!J121,OPERAÇÕES!J121)</f>
        <v>0</v>
      </c>
      <c r="K121" s="37">
        <f>SUM(ADM!K121,MARKETING!K121,COMERCIAL!K121,OPERAÇÕES!K121)</f>
        <v>0</v>
      </c>
      <c r="L121" s="37">
        <f>SUM(ADM!L121,MARKETING!L121,COMERCIAL!L121,OPERAÇÕES!L121)</f>
        <v>0</v>
      </c>
      <c r="M121" s="37">
        <f>SUM(ADM!M121,MARKETING!M121,COMERCIAL!M121,OPERAÇÕES!M121)</f>
        <v>0</v>
      </c>
      <c r="N121" s="37">
        <f>SUM(ADM!N121,MARKETING!N121,COMERCIAL!N121,OPERAÇÕES!N121)</f>
        <v>0</v>
      </c>
      <c r="O121" s="215">
        <f t="shared" si="21"/>
        <v>0</v>
      </c>
    </row>
    <row r="122" spans="2:15" s="9" customFormat="1" ht="16.5" hidden="1" x14ac:dyDescent="0.25">
      <c r="B122" s="12" t="s">
        <v>43</v>
      </c>
      <c r="C122" s="37">
        <f>SUM(ADM!C122,MARKETING!C122,COMERCIAL!C122,OPERAÇÕES!C122,'FAVELA 3D'!C122)</f>
        <v>0</v>
      </c>
      <c r="D122" s="37">
        <f>SUM(ADM!D122,MARKETING!D122,COMERCIAL!D122,OPERAÇÕES!D122)</f>
        <v>0</v>
      </c>
      <c r="E122" s="37">
        <f>SUM(ADM!E122,MARKETING!E122,COMERCIAL!E122,OPERAÇÕES!E122)</f>
        <v>0</v>
      </c>
      <c r="F122" s="37">
        <f>SUM(ADM!F122,MARKETING!F122,COMERCIAL!F122,OPERAÇÕES!F122)</f>
        <v>0</v>
      </c>
      <c r="G122" s="37">
        <f>SUM(ADM!G122,MARKETING!G122,COMERCIAL!G122,OPERAÇÕES!G122)</f>
        <v>0</v>
      </c>
      <c r="H122" s="37">
        <f>SUM(ADM!H122,MARKETING!H122,COMERCIAL!H122,OPERAÇÕES!H122)</f>
        <v>0</v>
      </c>
      <c r="I122" s="37">
        <f>SUM(ADM!I122,MARKETING!I122,COMERCIAL!I122,OPERAÇÕES!I122)</f>
        <v>0</v>
      </c>
      <c r="J122" s="37">
        <f>SUM(ADM!J122,MARKETING!J122,COMERCIAL!J122,OPERAÇÕES!J122)</f>
        <v>0</v>
      </c>
      <c r="K122" s="37">
        <f>SUM(ADM!K122,MARKETING!K122,COMERCIAL!K122,OPERAÇÕES!K122)</f>
        <v>0</v>
      </c>
      <c r="L122" s="37">
        <f>SUM(ADM!L122,MARKETING!L122,COMERCIAL!L122,OPERAÇÕES!L122)</f>
        <v>0</v>
      </c>
      <c r="M122" s="37">
        <f>SUM(ADM!M122,MARKETING!M122,COMERCIAL!M122,OPERAÇÕES!M122)</f>
        <v>0</v>
      </c>
      <c r="N122" s="37">
        <f>SUM(ADM!N122,MARKETING!N122,COMERCIAL!N122,OPERAÇÕES!N122)</f>
        <v>0</v>
      </c>
      <c r="O122" s="215">
        <f t="shared" si="21"/>
        <v>0</v>
      </c>
    </row>
    <row r="123" spans="2:15" s="42" customFormat="1" ht="19.5" hidden="1" x14ac:dyDescent="0.4">
      <c r="B123" s="15" t="s">
        <v>32</v>
      </c>
      <c r="C123" s="37">
        <f>SUM(ADM!C123,MARKETING!C123,COMERCIAL!C123,OPERAÇÕES!C123,'FAVELA 3D'!C123)</f>
        <v>0</v>
      </c>
      <c r="D123" s="45">
        <f t="shared" ref="D123:N123" si="26">SUM(D124:D125)</f>
        <v>0</v>
      </c>
      <c r="E123" s="45">
        <f t="shared" si="26"/>
        <v>0</v>
      </c>
      <c r="F123" s="45">
        <f t="shared" si="26"/>
        <v>0</v>
      </c>
      <c r="G123" s="45">
        <f t="shared" si="26"/>
        <v>0</v>
      </c>
      <c r="H123" s="45">
        <f t="shared" si="26"/>
        <v>0</v>
      </c>
      <c r="I123" s="45">
        <f t="shared" si="26"/>
        <v>0</v>
      </c>
      <c r="J123" s="45">
        <f t="shared" si="26"/>
        <v>0</v>
      </c>
      <c r="K123" s="45">
        <f t="shared" si="26"/>
        <v>0</v>
      </c>
      <c r="L123" s="45">
        <f t="shared" si="26"/>
        <v>0</v>
      </c>
      <c r="M123" s="45">
        <f t="shared" si="26"/>
        <v>0</v>
      </c>
      <c r="N123" s="45">
        <f t="shared" si="26"/>
        <v>0</v>
      </c>
      <c r="O123" s="218">
        <f t="shared" si="21"/>
        <v>0</v>
      </c>
    </row>
    <row r="124" spans="2:15" s="9" customFormat="1" ht="16.5" hidden="1" x14ac:dyDescent="0.25">
      <c r="B124" s="12" t="s">
        <v>144</v>
      </c>
      <c r="C124" s="37">
        <f>SUM(ADM!C124,MARKETING!C124,COMERCIAL!C124,OPERAÇÕES!C124,'FAVELA 3D'!C124)</f>
        <v>0</v>
      </c>
      <c r="D124" s="37">
        <f>SUM(ADM!D124,MARKETING!D124,COMERCIAL!D124,OPERAÇÕES!D124)</f>
        <v>0</v>
      </c>
      <c r="E124" s="37">
        <f>SUM(ADM!E124,MARKETING!E124,COMERCIAL!E124,OPERAÇÕES!E124)</f>
        <v>0</v>
      </c>
      <c r="F124" s="37">
        <f>SUM(ADM!F124,MARKETING!F124,COMERCIAL!F124,OPERAÇÕES!F124)</f>
        <v>0</v>
      </c>
      <c r="G124" s="37">
        <f>SUM(ADM!G124,MARKETING!G124,COMERCIAL!G124,OPERAÇÕES!G124)</f>
        <v>0</v>
      </c>
      <c r="H124" s="37">
        <f>SUM(ADM!H124,MARKETING!H124,COMERCIAL!H124,OPERAÇÕES!H124)</f>
        <v>0</v>
      </c>
      <c r="I124" s="37">
        <f>SUM(ADM!I124,MARKETING!I124,COMERCIAL!I124,OPERAÇÕES!I124)</f>
        <v>0</v>
      </c>
      <c r="J124" s="37">
        <f>SUM(ADM!J124,MARKETING!J124,COMERCIAL!J124,OPERAÇÕES!J124)</f>
        <v>0</v>
      </c>
      <c r="K124" s="37">
        <f>SUM(ADM!K124,MARKETING!K124,COMERCIAL!K124,OPERAÇÕES!K124)</f>
        <v>0</v>
      </c>
      <c r="L124" s="37">
        <f>SUM(ADM!L124,MARKETING!L124,COMERCIAL!L124,OPERAÇÕES!L124)</f>
        <v>0</v>
      </c>
      <c r="M124" s="37">
        <f>SUM(ADM!M124,MARKETING!M124,COMERCIAL!M124,OPERAÇÕES!M124)</f>
        <v>0</v>
      </c>
      <c r="N124" s="37">
        <f>SUM(ADM!N124,MARKETING!N124,COMERCIAL!N124,OPERAÇÕES!N124)</f>
        <v>0</v>
      </c>
      <c r="O124" s="215">
        <f t="shared" si="21"/>
        <v>0</v>
      </c>
    </row>
    <row r="125" spans="2:15" s="9" customFormat="1" ht="16.5" hidden="1" x14ac:dyDescent="0.25">
      <c r="B125" s="12" t="s">
        <v>145</v>
      </c>
      <c r="C125" s="37">
        <f>SUM(ADM!C125,MARKETING!C125,COMERCIAL!C125,OPERAÇÕES!C125,'FAVELA 3D'!C125)</f>
        <v>0</v>
      </c>
      <c r="D125" s="37">
        <f>SUM(ADM!D125,MARKETING!D125,COMERCIAL!D125,OPERAÇÕES!D125)</f>
        <v>0</v>
      </c>
      <c r="E125" s="37">
        <f>SUM(ADM!E125,MARKETING!E125,COMERCIAL!E125,OPERAÇÕES!E125)</f>
        <v>0</v>
      </c>
      <c r="F125" s="37">
        <f>SUM(ADM!F125,MARKETING!F125,COMERCIAL!F125,OPERAÇÕES!F125)</f>
        <v>0</v>
      </c>
      <c r="G125" s="37">
        <f>SUM(ADM!G125,MARKETING!G125,COMERCIAL!G125,OPERAÇÕES!G125)</f>
        <v>0</v>
      </c>
      <c r="H125" s="37">
        <f>SUM(ADM!H125,MARKETING!H125,COMERCIAL!H125,OPERAÇÕES!H125)</f>
        <v>0</v>
      </c>
      <c r="I125" s="37">
        <f>SUM(ADM!I125,MARKETING!I125,COMERCIAL!I125,OPERAÇÕES!I125)</f>
        <v>0</v>
      </c>
      <c r="J125" s="37">
        <f>SUM(ADM!J125,MARKETING!J125,COMERCIAL!J125,OPERAÇÕES!J125)</f>
        <v>0</v>
      </c>
      <c r="K125" s="37">
        <f>SUM(ADM!K125,MARKETING!K125,COMERCIAL!K125,OPERAÇÕES!K125)</f>
        <v>0</v>
      </c>
      <c r="L125" s="37">
        <f>SUM(ADM!L125,MARKETING!L125,COMERCIAL!L125,OPERAÇÕES!L125)</f>
        <v>0</v>
      </c>
      <c r="M125" s="37">
        <f>SUM(ADM!M125,MARKETING!M125,COMERCIAL!M125,OPERAÇÕES!M125)</f>
        <v>0</v>
      </c>
      <c r="N125" s="37">
        <f>SUM(ADM!N125,MARKETING!N125,COMERCIAL!N125,OPERAÇÕES!N125)</f>
        <v>0</v>
      </c>
      <c r="O125" s="215">
        <f t="shared" si="21"/>
        <v>0</v>
      </c>
    </row>
    <row r="126" spans="2:15" s="42" customFormat="1" ht="19.5" x14ac:dyDescent="0.4">
      <c r="B126" s="15" t="s">
        <v>146</v>
      </c>
      <c r="C126" s="45">
        <f>SUM(C127:C129)</f>
        <v>1800</v>
      </c>
      <c r="D126" s="45">
        <f t="shared" ref="D126:N126" si="27">SUM(D127:D129)</f>
        <v>1450</v>
      </c>
      <c r="E126" s="45">
        <f t="shared" si="27"/>
        <v>1500</v>
      </c>
      <c r="F126" s="45">
        <f t="shared" si="27"/>
        <v>1450</v>
      </c>
      <c r="G126" s="45">
        <f t="shared" si="27"/>
        <v>1500</v>
      </c>
      <c r="H126" s="45">
        <f t="shared" si="27"/>
        <v>1450</v>
      </c>
      <c r="I126" s="45">
        <f t="shared" si="27"/>
        <v>1500</v>
      </c>
      <c r="J126" s="45">
        <f t="shared" si="27"/>
        <v>1450</v>
      </c>
      <c r="K126" s="45">
        <f t="shared" si="27"/>
        <v>1450</v>
      </c>
      <c r="L126" s="45">
        <f t="shared" si="27"/>
        <v>1450</v>
      </c>
      <c r="M126" s="45">
        <f t="shared" si="27"/>
        <v>1450</v>
      </c>
      <c r="N126" s="45">
        <f t="shared" si="27"/>
        <v>1450</v>
      </c>
      <c r="O126" s="218">
        <f t="shared" si="21"/>
        <v>17900</v>
      </c>
    </row>
    <row r="127" spans="2:15" s="9" customFormat="1" ht="16.5" x14ac:dyDescent="0.25">
      <c r="B127" s="12" t="s">
        <v>147</v>
      </c>
      <c r="C127" s="37">
        <f>SUM(ADM!C127,MARKETING!C127,COMERCIAL!C127,OPERAÇÕES!C127,'FAVELA 3D'!C117)</f>
        <v>300</v>
      </c>
      <c r="D127" s="37">
        <f>SUM(ADM!D127,MARKETING!D127,COMERCIAL!D127,OPERAÇÕES!D127,'FAVELA 3D'!D117)</f>
        <v>450</v>
      </c>
      <c r="E127" s="37">
        <f>SUM(ADM!E127,MARKETING!E127,COMERCIAL!E127,OPERAÇÕES!E127,'FAVELA 3D'!E117)</f>
        <v>500</v>
      </c>
      <c r="F127" s="37">
        <f>SUM(ADM!F127,MARKETING!F127,COMERCIAL!F127,OPERAÇÕES!F127,'FAVELA 3D'!F117)</f>
        <v>450</v>
      </c>
      <c r="G127" s="37">
        <f>SUM(ADM!G127,MARKETING!G127,COMERCIAL!G127,OPERAÇÕES!G127,'FAVELA 3D'!G117)</f>
        <v>500</v>
      </c>
      <c r="H127" s="37">
        <f>SUM(ADM!H127,MARKETING!H127,COMERCIAL!H127,OPERAÇÕES!H127,'FAVELA 3D'!H117)</f>
        <v>450</v>
      </c>
      <c r="I127" s="37">
        <f>SUM(ADM!I127,MARKETING!I127,COMERCIAL!I127,OPERAÇÕES!I127,'FAVELA 3D'!I117)</f>
        <v>500</v>
      </c>
      <c r="J127" s="37">
        <f>SUM(ADM!J127,MARKETING!J127,COMERCIAL!J127,OPERAÇÕES!J127,'FAVELA 3D'!J117)</f>
        <v>450</v>
      </c>
      <c r="K127" s="37">
        <f>SUM(ADM!K127,MARKETING!K127,COMERCIAL!K127,OPERAÇÕES!K127,'FAVELA 3D'!K117)</f>
        <v>450</v>
      </c>
      <c r="L127" s="37">
        <f>SUM(ADM!L127,MARKETING!L127,COMERCIAL!L127,OPERAÇÕES!L127,'FAVELA 3D'!L117)</f>
        <v>450</v>
      </c>
      <c r="M127" s="37">
        <f>SUM(ADM!M127,MARKETING!M127,COMERCIAL!M127,OPERAÇÕES!M127,'FAVELA 3D'!M117)</f>
        <v>450</v>
      </c>
      <c r="N127" s="37">
        <f>SUM(ADM!N127,MARKETING!N127,COMERCIAL!N127,OPERAÇÕES!N127,'FAVELA 3D'!N117)</f>
        <v>450</v>
      </c>
      <c r="O127" s="215">
        <f t="shared" si="21"/>
        <v>5400</v>
      </c>
    </row>
    <row r="128" spans="2:15" s="9" customFormat="1" ht="16.5" x14ac:dyDescent="0.25">
      <c r="B128" s="12" t="s">
        <v>148</v>
      </c>
      <c r="C128" s="37">
        <f>SUM(ADM!C128,MARKETING!C128,COMERCIAL!C128,OPERAÇÕES!C128,'FAVELA 3D'!C118)</f>
        <v>500</v>
      </c>
      <c r="D128" s="37">
        <f>SUM(ADM!D128,MARKETING!D128,COMERCIAL!D128,OPERAÇÕES!D128,'FAVELA 3D'!D118)</f>
        <v>0</v>
      </c>
      <c r="E128" s="37">
        <f>SUM(ADM!E128,MARKETING!E128,COMERCIAL!E128,OPERAÇÕES!E128,'FAVELA 3D'!E118)</f>
        <v>0</v>
      </c>
      <c r="F128" s="37">
        <f>SUM(ADM!F128,MARKETING!F128,COMERCIAL!F128,OPERAÇÕES!F128,'FAVELA 3D'!F118)</f>
        <v>0</v>
      </c>
      <c r="G128" s="37">
        <f>SUM(ADM!G128,MARKETING!G128,COMERCIAL!G128,OPERAÇÕES!G128,'FAVELA 3D'!G118)</f>
        <v>0</v>
      </c>
      <c r="H128" s="37">
        <f>SUM(ADM!H128,MARKETING!H128,COMERCIAL!H128,OPERAÇÕES!H128,'FAVELA 3D'!H118)</f>
        <v>0</v>
      </c>
      <c r="I128" s="37">
        <f>SUM(ADM!I128,MARKETING!I128,COMERCIAL!I128,OPERAÇÕES!I128,'FAVELA 3D'!I118)</f>
        <v>0</v>
      </c>
      <c r="J128" s="37">
        <f>SUM(ADM!J128,MARKETING!J128,COMERCIAL!J128,OPERAÇÕES!J128,'FAVELA 3D'!J118)</f>
        <v>0</v>
      </c>
      <c r="K128" s="37">
        <f>SUM(ADM!K128,MARKETING!K128,COMERCIAL!K128,OPERAÇÕES!K128,'FAVELA 3D'!K118)</f>
        <v>0</v>
      </c>
      <c r="L128" s="37">
        <f>SUM(ADM!L128,MARKETING!L128,COMERCIAL!L128,OPERAÇÕES!L128,'FAVELA 3D'!L118)</f>
        <v>0</v>
      </c>
      <c r="M128" s="37">
        <f>SUM(ADM!M128,MARKETING!M128,COMERCIAL!M128,OPERAÇÕES!M128,'FAVELA 3D'!M118)</f>
        <v>0</v>
      </c>
      <c r="N128" s="37">
        <f>SUM(ADM!N128,MARKETING!N128,COMERCIAL!N128,OPERAÇÕES!N128,'FAVELA 3D'!N118)</f>
        <v>0</v>
      </c>
      <c r="O128" s="215">
        <f t="shared" si="21"/>
        <v>500</v>
      </c>
    </row>
    <row r="129" spans="2:15" s="9" customFormat="1" ht="16.5" x14ac:dyDescent="0.25">
      <c r="B129" s="12" t="s">
        <v>149</v>
      </c>
      <c r="C129" s="37">
        <f>SUM(ADM!C129,MARKETING!C129,COMERCIAL!C129,OPERAÇÕES!C129,'FAVELA 3D'!C119)</f>
        <v>1000</v>
      </c>
      <c r="D129" s="37">
        <f>SUM(ADM!D129,MARKETING!D129,COMERCIAL!D129,OPERAÇÕES!D129,'FAVELA 3D'!D119)</f>
        <v>1000</v>
      </c>
      <c r="E129" s="37">
        <f>SUM(ADM!E129,MARKETING!E129,COMERCIAL!E129,OPERAÇÕES!E129,'FAVELA 3D'!E119)</f>
        <v>1000</v>
      </c>
      <c r="F129" s="37">
        <f>SUM(ADM!F129,MARKETING!F129,COMERCIAL!F129,OPERAÇÕES!F129,'FAVELA 3D'!F119)</f>
        <v>1000</v>
      </c>
      <c r="G129" s="37">
        <f>SUM(ADM!G129,MARKETING!G129,COMERCIAL!G129,OPERAÇÕES!G129,'FAVELA 3D'!G119)</f>
        <v>1000</v>
      </c>
      <c r="H129" s="37">
        <f>SUM(ADM!H129,MARKETING!H129,COMERCIAL!H129,OPERAÇÕES!H129,'FAVELA 3D'!H119)</f>
        <v>1000</v>
      </c>
      <c r="I129" s="37">
        <f>SUM(ADM!I129,MARKETING!I129,COMERCIAL!I129,OPERAÇÕES!I129,'FAVELA 3D'!I119)</f>
        <v>1000</v>
      </c>
      <c r="J129" s="37">
        <f>SUM(ADM!J129,MARKETING!J129,COMERCIAL!J129,OPERAÇÕES!J129,'FAVELA 3D'!J119)</f>
        <v>1000</v>
      </c>
      <c r="K129" s="37">
        <f>SUM(ADM!K129,MARKETING!K129,COMERCIAL!K129,OPERAÇÕES!K129,'FAVELA 3D'!K119)</f>
        <v>1000</v>
      </c>
      <c r="L129" s="37">
        <f>SUM(ADM!L129,MARKETING!L129,COMERCIAL!L129,OPERAÇÕES!L129,'FAVELA 3D'!L119)</f>
        <v>1000</v>
      </c>
      <c r="M129" s="37">
        <f>SUM(ADM!M129,MARKETING!M129,COMERCIAL!M129,OPERAÇÕES!M129,'FAVELA 3D'!M119)</f>
        <v>1000</v>
      </c>
      <c r="N129" s="37">
        <f>SUM(ADM!N129,MARKETING!N129,COMERCIAL!N129,OPERAÇÕES!N129,'FAVELA 3D'!N119)</f>
        <v>1000</v>
      </c>
      <c r="O129" s="215">
        <f t="shared" si="21"/>
        <v>12000</v>
      </c>
    </row>
    <row r="130" spans="2:15" s="42" customFormat="1" ht="19.5" x14ac:dyDescent="0.4">
      <c r="B130" s="15" t="s">
        <v>150</v>
      </c>
      <c r="C130" s="45">
        <f>SUM(C131:C132)</f>
        <v>300</v>
      </c>
      <c r="D130" s="45">
        <f t="shared" ref="D130:N130" si="28">SUM(D131:D132)</f>
        <v>18700</v>
      </c>
      <c r="E130" s="45">
        <f t="shared" si="28"/>
        <v>4000</v>
      </c>
      <c r="F130" s="45">
        <f t="shared" si="28"/>
        <v>6600</v>
      </c>
      <c r="G130" s="45">
        <f t="shared" si="28"/>
        <v>6700</v>
      </c>
      <c r="H130" s="45">
        <f t="shared" si="28"/>
        <v>15700</v>
      </c>
      <c r="I130" s="45">
        <f t="shared" si="28"/>
        <v>16700</v>
      </c>
      <c r="J130" s="45">
        <f t="shared" si="28"/>
        <v>7000</v>
      </c>
      <c r="K130" s="45">
        <f t="shared" si="28"/>
        <v>3100</v>
      </c>
      <c r="L130" s="45">
        <f t="shared" si="28"/>
        <v>28700</v>
      </c>
      <c r="M130" s="45">
        <f t="shared" si="28"/>
        <v>28700</v>
      </c>
      <c r="N130" s="45">
        <f t="shared" si="28"/>
        <v>42000</v>
      </c>
      <c r="O130" s="218">
        <f t="shared" si="21"/>
        <v>178200</v>
      </c>
    </row>
    <row r="131" spans="2:15" s="9" customFormat="1" ht="16.5" x14ac:dyDescent="0.25">
      <c r="B131" s="12" t="s">
        <v>64</v>
      </c>
      <c r="C131" s="37">
        <f>SUM(ADM!C131,MARKETING!C131,COMERCIAL!C131,OPERAÇÕES!C131,'FAVELA 3D'!C131)</f>
        <v>0</v>
      </c>
      <c r="D131" s="37">
        <f>SUM(ADM!D131,MARKETING!D131,COMERCIAL!D131,OPERAÇÕES!D131,'FAVELA 3D'!D131)</f>
        <v>0</v>
      </c>
      <c r="E131" s="37">
        <f>SUM(ADM!E131,MARKETING!E131,COMERCIAL!E131,OPERAÇÕES!E131,'FAVELA 3D'!E131)</f>
        <v>1000</v>
      </c>
      <c r="F131" s="37">
        <f>SUM(ADM!F131,MARKETING!F131,COMERCIAL!F131,OPERAÇÕES!F131,'FAVELA 3D'!F131)</f>
        <v>1000</v>
      </c>
      <c r="G131" s="37">
        <f>SUM(ADM!G131,MARKETING!G131,COMERCIAL!G131,OPERAÇÕES!G131,'FAVELA 3D'!G131)</f>
        <v>1000</v>
      </c>
      <c r="H131" s="37">
        <f>SUM(ADM!H131,MARKETING!H131,COMERCIAL!H131,OPERAÇÕES!H131,'FAVELA 3D'!H131)</f>
        <v>1000</v>
      </c>
      <c r="I131" s="37">
        <f>SUM(ADM!I131,MARKETING!I131,COMERCIAL!I131,OPERAÇÕES!I131,'FAVELA 3D'!I131)</f>
        <v>1000</v>
      </c>
      <c r="J131" s="37">
        <f>SUM(ADM!J131,MARKETING!J131,COMERCIAL!J131,OPERAÇÕES!J131,'FAVELA 3D'!J131)</f>
        <v>1000</v>
      </c>
      <c r="K131" s="37">
        <f>SUM(ADM!K131,MARKETING!K131,COMERCIAL!K131,OPERAÇÕES!K131,'FAVELA 3D'!K131)</f>
        <v>1000</v>
      </c>
      <c r="L131" s="37">
        <f>SUM(ADM!L131,MARKETING!L131,COMERCIAL!L131,OPERAÇÕES!L131,'FAVELA 3D'!L131)</f>
        <v>1000</v>
      </c>
      <c r="M131" s="37">
        <f>SUM(ADM!M131,MARKETING!M131,COMERCIAL!M131,OPERAÇÕES!M131,'FAVELA 3D'!M131)</f>
        <v>1000</v>
      </c>
      <c r="N131" s="37">
        <f>SUM(ADM!N131,MARKETING!N131,COMERCIAL!N131,OPERAÇÕES!N131,'FAVELA 3D'!N131)</f>
        <v>0</v>
      </c>
      <c r="O131" s="215">
        <f t="shared" si="21"/>
        <v>9000</v>
      </c>
    </row>
    <row r="132" spans="2:15" s="9" customFormat="1" ht="16.5" x14ac:dyDescent="0.25">
      <c r="B132" s="12" t="s">
        <v>151</v>
      </c>
      <c r="C132" s="37">
        <f>SUM(ADM!C132,MARKETING!C132,COMERCIAL!C132,OPERAÇÕES!C132,'FAVELA 3D'!C132)</f>
        <v>300</v>
      </c>
      <c r="D132" s="37">
        <f>SUM(ADM!D132,MARKETING!D132,COMERCIAL!D132,OPERAÇÕES!D132,'FAVELA 3D'!D132)</f>
        <v>18700</v>
      </c>
      <c r="E132" s="37">
        <f>SUM(ADM!E132,MARKETING!E132,COMERCIAL!E132,OPERAÇÕES!E132,'FAVELA 3D'!E132)</f>
        <v>3000</v>
      </c>
      <c r="F132" s="37">
        <f>SUM(ADM!F132,MARKETING!F132,COMERCIAL!F132,OPERAÇÕES!F132,'FAVELA 3D'!F132)</f>
        <v>5600</v>
      </c>
      <c r="G132" s="37">
        <f>SUM(ADM!G132,MARKETING!G132,COMERCIAL!G132,OPERAÇÕES!G132,'FAVELA 3D'!G132)</f>
        <v>5700</v>
      </c>
      <c r="H132" s="37">
        <f>SUM(ADM!H132,MARKETING!H132,COMERCIAL!H132,OPERAÇÕES!H132,'FAVELA 3D'!H132)</f>
        <v>14700</v>
      </c>
      <c r="I132" s="37">
        <f>SUM(ADM!I132,MARKETING!I132,COMERCIAL!I132,OPERAÇÕES!I132,'FAVELA 3D'!I132)</f>
        <v>15700</v>
      </c>
      <c r="J132" s="37">
        <f>SUM(ADM!J132,MARKETING!J132,COMERCIAL!J132,OPERAÇÕES!J132,'FAVELA 3D'!J132)</f>
        <v>6000</v>
      </c>
      <c r="K132" s="37">
        <f>SUM(ADM!K132,MARKETING!K132,COMERCIAL!K132,OPERAÇÕES!K132,'FAVELA 3D'!K132)</f>
        <v>2100</v>
      </c>
      <c r="L132" s="37">
        <f>SUM(ADM!L132,MARKETING!L132,COMERCIAL!L132,OPERAÇÕES!L132,'FAVELA 3D'!L132)</f>
        <v>27700</v>
      </c>
      <c r="M132" s="37">
        <f>SUM(ADM!M132,MARKETING!M132,COMERCIAL!M132,OPERAÇÕES!M132,'FAVELA 3D'!M132)</f>
        <v>27700</v>
      </c>
      <c r="N132" s="37">
        <f>SUM(ADM!N132,MARKETING!N132,COMERCIAL!N132,OPERAÇÕES!N132,'FAVELA 3D'!N132)</f>
        <v>42000</v>
      </c>
      <c r="O132" s="215">
        <f t="shared" si="21"/>
        <v>169200</v>
      </c>
    </row>
    <row r="133" spans="2:15" s="42" customFormat="1" ht="19.5" x14ac:dyDescent="0.4">
      <c r="B133" s="15" t="s">
        <v>152</v>
      </c>
      <c r="C133" s="45">
        <f>SUM(C134:C138)</f>
        <v>0</v>
      </c>
      <c r="D133" s="45">
        <f t="shared" ref="D133:N133" si="29">SUM(D134:D138)</f>
        <v>0</v>
      </c>
      <c r="E133" s="45">
        <f t="shared" si="29"/>
        <v>0</v>
      </c>
      <c r="F133" s="45">
        <f t="shared" si="29"/>
        <v>0</v>
      </c>
      <c r="G133" s="45">
        <f t="shared" si="29"/>
        <v>0</v>
      </c>
      <c r="H133" s="45">
        <f t="shared" si="29"/>
        <v>0</v>
      </c>
      <c r="I133" s="45">
        <f t="shared" si="29"/>
        <v>0</v>
      </c>
      <c r="J133" s="45">
        <f t="shared" si="29"/>
        <v>0</v>
      </c>
      <c r="K133" s="45">
        <f t="shared" si="29"/>
        <v>0</v>
      </c>
      <c r="L133" s="45">
        <f t="shared" si="29"/>
        <v>0</v>
      </c>
      <c r="M133" s="45">
        <f t="shared" si="29"/>
        <v>0</v>
      </c>
      <c r="N133" s="45">
        <f t="shared" si="29"/>
        <v>0</v>
      </c>
      <c r="O133" s="218">
        <f t="shared" si="21"/>
        <v>0</v>
      </c>
    </row>
    <row r="134" spans="2:15" s="9" customFormat="1" ht="16.5" x14ac:dyDescent="0.25">
      <c r="B134" s="12" t="s">
        <v>153</v>
      </c>
      <c r="C134" s="37">
        <f>SUM(ADM!C134,MARKETING!C134,COMERCIAL!C134,OPERAÇÕES!C134,'FAVELA 3D'!C134)</f>
        <v>0</v>
      </c>
      <c r="D134" s="37">
        <f>SUM(ADM!D134,MARKETING!D134,COMERCIAL!D134,OPERAÇÕES!D134,'FAVELA 3D'!D134)</f>
        <v>0</v>
      </c>
      <c r="E134" s="37">
        <f>SUM(ADM!E134,MARKETING!E134,COMERCIAL!E134,OPERAÇÕES!E134,'FAVELA 3D'!E134)</f>
        <v>0</v>
      </c>
      <c r="F134" s="37">
        <f>SUM(ADM!F134,MARKETING!F134,COMERCIAL!F134,OPERAÇÕES!F134,'FAVELA 3D'!F134)</f>
        <v>0</v>
      </c>
      <c r="G134" s="37">
        <f>SUM(ADM!G134,MARKETING!G134,COMERCIAL!G134,OPERAÇÕES!G134,'FAVELA 3D'!G134)</f>
        <v>0</v>
      </c>
      <c r="H134" s="37">
        <f>SUM(ADM!H134,MARKETING!H134,COMERCIAL!H134,OPERAÇÕES!H134,'FAVELA 3D'!H134)</f>
        <v>0</v>
      </c>
      <c r="I134" s="37">
        <f>SUM(ADM!I134,MARKETING!I134,COMERCIAL!I134,OPERAÇÕES!I134,'FAVELA 3D'!I134)</f>
        <v>0</v>
      </c>
      <c r="J134" s="37">
        <f>SUM(ADM!J134,MARKETING!J134,COMERCIAL!J134,OPERAÇÕES!J134,'FAVELA 3D'!J134)</f>
        <v>0</v>
      </c>
      <c r="K134" s="37">
        <f>SUM(ADM!K134,MARKETING!K134,COMERCIAL!K134,OPERAÇÕES!K134,'FAVELA 3D'!K134)</f>
        <v>0</v>
      </c>
      <c r="L134" s="37">
        <f>SUM(ADM!L134,MARKETING!L134,COMERCIAL!L134,OPERAÇÕES!L134,'FAVELA 3D'!L134)</f>
        <v>0</v>
      </c>
      <c r="M134" s="37">
        <f>SUM(ADM!M134,MARKETING!M134,COMERCIAL!M134,OPERAÇÕES!M134,'FAVELA 3D'!M134)</f>
        <v>0</v>
      </c>
      <c r="N134" s="37">
        <f>SUM(ADM!N134,MARKETING!N134,COMERCIAL!N134,OPERAÇÕES!N134,'FAVELA 3D'!N134)</f>
        <v>0</v>
      </c>
      <c r="O134" s="215">
        <f t="shared" si="21"/>
        <v>0</v>
      </c>
    </row>
    <row r="135" spans="2:15" s="9" customFormat="1" ht="16.5" x14ac:dyDescent="0.25">
      <c r="B135" s="12" t="s">
        <v>154</v>
      </c>
      <c r="C135" s="37">
        <f>SUM(ADM!C135,MARKETING!C135,COMERCIAL!C135,OPERAÇÕES!C135,'FAVELA 3D'!C135)</f>
        <v>0</v>
      </c>
      <c r="D135" s="37">
        <f>SUM(ADM!D135,MARKETING!D135,COMERCIAL!D135,OPERAÇÕES!D135,'FAVELA 3D'!D135)</f>
        <v>0</v>
      </c>
      <c r="E135" s="37">
        <f>SUM(ADM!E135,MARKETING!E135,COMERCIAL!E135,OPERAÇÕES!E135,'FAVELA 3D'!E135)</f>
        <v>0</v>
      </c>
      <c r="F135" s="37">
        <f>SUM(ADM!F135,MARKETING!F135,COMERCIAL!F135,OPERAÇÕES!F135,'FAVELA 3D'!F135)</f>
        <v>0</v>
      </c>
      <c r="G135" s="37">
        <f>SUM(ADM!G135,MARKETING!G135,COMERCIAL!G135,OPERAÇÕES!G135,'FAVELA 3D'!G135)</f>
        <v>0</v>
      </c>
      <c r="H135" s="37">
        <f>SUM(ADM!H135,MARKETING!H135,COMERCIAL!H135,OPERAÇÕES!H135,'FAVELA 3D'!H135)</f>
        <v>0</v>
      </c>
      <c r="I135" s="37">
        <f>SUM(ADM!I135,MARKETING!I135,COMERCIAL!I135,OPERAÇÕES!I135,'FAVELA 3D'!I135)</f>
        <v>0</v>
      </c>
      <c r="J135" s="37">
        <f>SUM(ADM!J135,MARKETING!J135,COMERCIAL!J135,OPERAÇÕES!J135,'FAVELA 3D'!J135)</f>
        <v>0</v>
      </c>
      <c r="K135" s="37">
        <f>SUM(ADM!K135,MARKETING!K135,COMERCIAL!K135,OPERAÇÕES!K135,'FAVELA 3D'!K135)</f>
        <v>0</v>
      </c>
      <c r="L135" s="37">
        <f>SUM(ADM!L135,MARKETING!L135,COMERCIAL!L135,OPERAÇÕES!L135,'FAVELA 3D'!L135)</f>
        <v>0</v>
      </c>
      <c r="M135" s="37">
        <f>SUM(ADM!M135,MARKETING!M135,COMERCIAL!M135,OPERAÇÕES!M135,'FAVELA 3D'!M135)</f>
        <v>0</v>
      </c>
      <c r="N135" s="37">
        <f>SUM(ADM!N135,MARKETING!N135,COMERCIAL!N135,OPERAÇÕES!N135,'FAVELA 3D'!N135)</f>
        <v>0</v>
      </c>
      <c r="O135" s="215">
        <f t="shared" si="21"/>
        <v>0</v>
      </c>
    </row>
    <row r="136" spans="2:15" s="9" customFormat="1" ht="16.5" x14ac:dyDescent="0.25">
      <c r="B136" s="12" t="s">
        <v>155</v>
      </c>
      <c r="C136" s="37">
        <f>SUM(ADM!C136,MARKETING!C136,COMERCIAL!C136,OPERAÇÕES!C136,'FAVELA 3D'!C136)</f>
        <v>0</v>
      </c>
      <c r="D136" s="37">
        <f>SUM(ADM!D136,MARKETING!D136,COMERCIAL!D136,OPERAÇÕES!D136,'FAVELA 3D'!D136)</f>
        <v>0</v>
      </c>
      <c r="E136" s="37">
        <f>SUM(ADM!E136,MARKETING!E136,COMERCIAL!E136,OPERAÇÕES!E136,'FAVELA 3D'!E136)</f>
        <v>0</v>
      </c>
      <c r="F136" s="37">
        <f>SUM(ADM!F136,MARKETING!F136,COMERCIAL!F136,OPERAÇÕES!F136,'FAVELA 3D'!F136)</f>
        <v>0</v>
      </c>
      <c r="G136" s="37">
        <f>SUM(ADM!G136,MARKETING!G136,COMERCIAL!G136,OPERAÇÕES!G136,'FAVELA 3D'!G136)</f>
        <v>0</v>
      </c>
      <c r="H136" s="37">
        <f>SUM(ADM!H136,MARKETING!H136,COMERCIAL!H136,OPERAÇÕES!H136,'FAVELA 3D'!H136)</f>
        <v>0</v>
      </c>
      <c r="I136" s="37">
        <f>SUM(ADM!I136,MARKETING!I136,COMERCIAL!I136,OPERAÇÕES!I136,'FAVELA 3D'!I136)</f>
        <v>0</v>
      </c>
      <c r="J136" s="37">
        <f>SUM(ADM!J136,MARKETING!J136,COMERCIAL!J136,OPERAÇÕES!J136,'FAVELA 3D'!J136)</f>
        <v>0</v>
      </c>
      <c r="K136" s="37">
        <f>SUM(ADM!K136,MARKETING!K136,COMERCIAL!K136,OPERAÇÕES!K136,'FAVELA 3D'!K136)</f>
        <v>0</v>
      </c>
      <c r="L136" s="37">
        <f>SUM(ADM!L136,MARKETING!L136,COMERCIAL!L136,OPERAÇÕES!L136,'FAVELA 3D'!L136)</f>
        <v>0</v>
      </c>
      <c r="M136" s="37">
        <f>SUM(ADM!M136,MARKETING!M136,COMERCIAL!M136,OPERAÇÕES!M136,'FAVELA 3D'!M136)</f>
        <v>0</v>
      </c>
      <c r="N136" s="37">
        <f>SUM(ADM!N136,MARKETING!N136,COMERCIAL!N136,OPERAÇÕES!N136,'FAVELA 3D'!N136)</f>
        <v>0</v>
      </c>
      <c r="O136" s="215">
        <f t="shared" si="21"/>
        <v>0</v>
      </c>
    </row>
    <row r="137" spans="2:15" s="9" customFormat="1" ht="16.5" x14ac:dyDescent="0.25">
      <c r="B137" s="12" t="s">
        <v>156</v>
      </c>
      <c r="C137" s="37">
        <f>SUM(ADM!C137,MARKETING!C137,COMERCIAL!C137,OPERAÇÕES!C137,'FAVELA 3D'!C137)</f>
        <v>0</v>
      </c>
      <c r="D137" s="37">
        <f>SUM(ADM!D137,MARKETING!D137,COMERCIAL!D137,OPERAÇÕES!D137,'FAVELA 3D'!D137)</f>
        <v>0</v>
      </c>
      <c r="E137" s="37">
        <f>SUM(ADM!E137,MARKETING!E137,COMERCIAL!E137,OPERAÇÕES!E137,'FAVELA 3D'!E137)</f>
        <v>0</v>
      </c>
      <c r="F137" s="37">
        <f>SUM(ADM!F137,MARKETING!F137,COMERCIAL!F137,OPERAÇÕES!F137,'FAVELA 3D'!F137)</f>
        <v>0</v>
      </c>
      <c r="G137" s="37">
        <f>SUM(ADM!G137,MARKETING!G137,COMERCIAL!G137,OPERAÇÕES!G137,'FAVELA 3D'!G137)</f>
        <v>0</v>
      </c>
      <c r="H137" s="37">
        <f>SUM(ADM!H137,MARKETING!H137,COMERCIAL!H137,OPERAÇÕES!H137,'FAVELA 3D'!H137)</f>
        <v>0</v>
      </c>
      <c r="I137" s="37">
        <f>SUM(ADM!I137,MARKETING!I137,COMERCIAL!I137,OPERAÇÕES!I137,'FAVELA 3D'!I137)</f>
        <v>0</v>
      </c>
      <c r="J137" s="37">
        <f>SUM(ADM!J137,MARKETING!J137,COMERCIAL!J137,OPERAÇÕES!J137,'FAVELA 3D'!J137)</f>
        <v>0</v>
      </c>
      <c r="K137" s="37">
        <f>SUM(ADM!K137,MARKETING!K137,COMERCIAL!K137,OPERAÇÕES!K137,'FAVELA 3D'!K137)</f>
        <v>0</v>
      </c>
      <c r="L137" s="37">
        <f>SUM(ADM!L137,MARKETING!L137,COMERCIAL!L137,OPERAÇÕES!L137,'FAVELA 3D'!L137)</f>
        <v>0</v>
      </c>
      <c r="M137" s="37">
        <f>SUM(ADM!M137,MARKETING!M137,COMERCIAL!M137,OPERAÇÕES!M137,'FAVELA 3D'!M137)</f>
        <v>0</v>
      </c>
      <c r="N137" s="37">
        <f>SUM(ADM!N137,MARKETING!N137,COMERCIAL!N137,OPERAÇÕES!N137,'FAVELA 3D'!N137)</f>
        <v>0</v>
      </c>
      <c r="O137" s="215">
        <f t="shared" si="21"/>
        <v>0</v>
      </c>
    </row>
    <row r="138" spans="2:15" s="9" customFormat="1" ht="16.5" x14ac:dyDescent="0.25">
      <c r="C138" s="37">
        <f>SUM(ADM!C138,MARKETING!C138,COMERCIAL!C138,OPERAÇÕES!C138,'FAVELA 3D'!C138)</f>
        <v>0</v>
      </c>
      <c r="D138" s="37">
        <f>SUM(ADM!D138,MARKETING!D138,COMERCIAL!D138,OPERAÇÕES!D138,'FAVELA 3D'!D138)</f>
        <v>0</v>
      </c>
      <c r="E138" s="37">
        <f>SUM(ADM!E138,MARKETING!E138,COMERCIAL!E138,OPERAÇÕES!E138,'FAVELA 3D'!E138)</f>
        <v>0</v>
      </c>
      <c r="F138" s="37">
        <f>SUM(ADM!F138,MARKETING!F138,COMERCIAL!F138,OPERAÇÕES!F138,'FAVELA 3D'!F138)</f>
        <v>0</v>
      </c>
      <c r="G138" s="37">
        <f>SUM(ADM!G138,MARKETING!G138,COMERCIAL!G138,OPERAÇÕES!G138,'FAVELA 3D'!G138)</f>
        <v>0</v>
      </c>
      <c r="H138" s="37">
        <f>SUM(ADM!H138,MARKETING!H138,COMERCIAL!H138,OPERAÇÕES!H138,'FAVELA 3D'!H138)</f>
        <v>0</v>
      </c>
      <c r="I138" s="37">
        <f>SUM(ADM!I138,MARKETING!I138,COMERCIAL!I138,OPERAÇÕES!I138,'FAVELA 3D'!I138)</f>
        <v>0</v>
      </c>
      <c r="J138" s="37">
        <f>SUM(ADM!J138,MARKETING!J138,COMERCIAL!J138,OPERAÇÕES!J138,'FAVELA 3D'!J138)</f>
        <v>0</v>
      </c>
      <c r="K138" s="37">
        <f>SUM(ADM!K138,MARKETING!K138,COMERCIAL!K138,OPERAÇÕES!K138,'FAVELA 3D'!K138)</f>
        <v>0</v>
      </c>
      <c r="L138" s="37">
        <f>SUM(ADM!L138,MARKETING!L138,COMERCIAL!L138,OPERAÇÕES!L138,'FAVELA 3D'!L138)</f>
        <v>0</v>
      </c>
      <c r="M138" s="37">
        <f>SUM(ADM!M138,MARKETING!M138,COMERCIAL!M138,OPERAÇÕES!M138,'FAVELA 3D'!M138)</f>
        <v>0</v>
      </c>
      <c r="N138" s="37">
        <f>SUM(ADM!N138,MARKETING!N138,COMERCIAL!N138,OPERAÇÕES!N138,'FAVELA 3D'!N138)</f>
        <v>0</v>
      </c>
      <c r="O138" s="215">
        <f t="shared" si="21"/>
        <v>0</v>
      </c>
    </row>
    <row r="139" spans="2:15" s="9" customFormat="1" ht="16.5" x14ac:dyDescent="0.25"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219"/>
    </row>
    <row r="140" spans="2:15" s="9" customFormat="1" ht="16.5" x14ac:dyDescent="0.25"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219"/>
    </row>
    <row r="141" spans="2:15" s="9" customFormat="1" ht="16.5" x14ac:dyDescent="0.25"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219"/>
    </row>
    <row r="142" spans="2:15" s="9" customFormat="1" ht="16.5" x14ac:dyDescent="0.25"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219"/>
    </row>
    <row r="143" spans="2:15" s="9" customFormat="1" ht="16.5" x14ac:dyDescent="0.25"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219"/>
    </row>
    <row r="144" spans="2:15" s="9" customFormat="1" ht="16.5" x14ac:dyDescent="0.25">
      <c r="K144" s="35"/>
      <c r="L144" s="35"/>
      <c r="M144" s="35"/>
      <c r="N144" s="35"/>
      <c r="O144" s="219"/>
    </row>
    <row r="145" spans="11:15" s="9" customFormat="1" ht="16.5" x14ac:dyDescent="0.25">
      <c r="K145" s="35"/>
      <c r="L145" s="35"/>
      <c r="M145" s="35"/>
      <c r="N145" s="35"/>
      <c r="O145" s="219"/>
    </row>
    <row r="146" spans="11:15" s="9" customFormat="1" ht="16.5" x14ac:dyDescent="0.25">
      <c r="K146" s="35"/>
      <c r="L146" s="35"/>
      <c r="M146" s="35"/>
      <c r="N146" s="35"/>
      <c r="O146" s="219"/>
    </row>
    <row r="147" spans="11:15" s="9" customFormat="1" ht="16.5" x14ac:dyDescent="0.25">
      <c r="K147" s="35"/>
      <c r="L147" s="35"/>
      <c r="M147" s="35"/>
      <c r="N147" s="35"/>
      <c r="O147" s="219"/>
    </row>
    <row r="148" spans="11:15" s="9" customFormat="1" ht="16.5" x14ac:dyDescent="0.25">
      <c r="K148" s="35"/>
      <c r="L148" s="35"/>
      <c r="M148" s="35"/>
      <c r="N148" s="35"/>
      <c r="O148" s="219"/>
    </row>
    <row r="149" spans="11:15" s="9" customFormat="1" ht="16.5" x14ac:dyDescent="0.25">
      <c r="K149" s="35"/>
      <c r="L149" s="35"/>
      <c r="M149" s="35"/>
      <c r="N149" s="35"/>
      <c r="O149" s="219"/>
    </row>
    <row r="150" spans="11:15" s="9" customFormat="1" ht="16.5" x14ac:dyDescent="0.25">
      <c r="K150" s="35"/>
      <c r="L150" s="35"/>
      <c r="M150" s="35"/>
      <c r="N150" s="35"/>
      <c r="O150" s="219"/>
    </row>
    <row r="151" spans="11:15" s="9" customFormat="1" ht="16.5" x14ac:dyDescent="0.25">
      <c r="K151" s="35"/>
      <c r="L151" s="35"/>
      <c r="M151" s="35"/>
      <c r="N151" s="35"/>
      <c r="O151" s="219"/>
    </row>
    <row r="152" spans="11:15" s="9" customFormat="1" ht="16.5" x14ac:dyDescent="0.25">
      <c r="K152" s="35"/>
      <c r="L152" s="35"/>
      <c r="M152" s="35"/>
      <c r="N152" s="35"/>
      <c r="O152" s="219"/>
    </row>
    <row r="153" spans="11:15" s="9" customFormat="1" ht="16.5" x14ac:dyDescent="0.25">
      <c r="K153" s="35"/>
      <c r="L153" s="35"/>
      <c r="M153" s="35"/>
      <c r="N153" s="35"/>
      <c r="O153" s="219"/>
    </row>
    <row r="154" spans="11:15" s="9" customFormat="1" ht="16.5" x14ac:dyDescent="0.25">
      <c r="K154" s="35"/>
      <c r="L154" s="35"/>
      <c r="M154" s="35"/>
      <c r="N154" s="35"/>
      <c r="O154" s="219"/>
    </row>
    <row r="155" spans="11:15" s="9" customFormat="1" ht="16.5" x14ac:dyDescent="0.25">
      <c r="K155" s="35"/>
      <c r="L155" s="35"/>
      <c r="M155" s="35"/>
      <c r="N155" s="35"/>
      <c r="O155" s="219"/>
    </row>
    <row r="156" spans="11:15" s="9" customFormat="1" ht="16.5" x14ac:dyDescent="0.25">
      <c r="K156" s="35"/>
      <c r="L156" s="35"/>
      <c r="M156" s="35"/>
      <c r="N156" s="35"/>
      <c r="O156" s="219"/>
    </row>
    <row r="157" spans="11:15" s="9" customFormat="1" ht="16.5" x14ac:dyDescent="0.25">
      <c r="K157" s="35"/>
      <c r="L157" s="35"/>
      <c r="M157" s="35"/>
      <c r="N157" s="35"/>
      <c r="O157" s="219"/>
    </row>
    <row r="158" spans="11:15" s="9" customFormat="1" ht="16.5" x14ac:dyDescent="0.25">
      <c r="K158" s="35"/>
      <c r="L158" s="35"/>
      <c r="M158" s="35"/>
      <c r="N158" s="35"/>
      <c r="O158" s="219"/>
    </row>
    <row r="159" spans="11:15" s="9" customFormat="1" ht="16.5" x14ac:dyDescent="0.25">
      <c r="K159" s="35"/>
      <c r="L159" s="35"/>
      <c r="M159" s="35"/>
      <c r="N159" s="35"/>
      <c r="O159" s="219"/>
    </row>
    <row r="160" spans="11:15" s="9" customFormat="1" ht="16.5" x14ac:dyDescent="0.25">
      <c r="K160" s="35"/>
      <c r="L160" s="35"/>
      <c r="M160" s="35"/>
      <c r="N160" s="35"/>
      <c r="O160" s="219"/>
    </row>
    <row r="161" spans="11:15" s="9" customFormat="1" ht="16.5" x14ac:dyDescent="0.25">
      <c r="K161" s="35"/>
      <c r="L161" s="35"/>
      <c r="M161" s="35"/>
      <c r="N161" s="35"/>
      <c r="O161" s="219"/>
    </row>
    <row r="162" spans="11:15" s="9" customFormat="1" ht="16.5" x14ac:dyDescent="0.25">
      <c r="K162" s="35"/>
      <c r="L162" s="35"/>
      <c r="M162" s="35"/>
      <c r="N162" s="35"/>
      <c r="O162" s="219"/>
    </row>
    <row r="163" spans="11:15" s="9" customFormat="1" ht="16.5" x14ac:dyDescent="0.25">
      <c r="K163" s="35"/>
      <c r="L163" s="35"/>
      <c r="M163" s="35"/>
      <c r="N163" s="35"/>
      <c r="O163" s="219"/>
    </row>
    <row r="164" spans="11:15" s="9" customFormat="1" ht="16.5" x14ac:dyDescent="0.25">
      <c r="K164" s="35"/>
      <c r="L164" s="35"/>
      <c r="M164" s="35"/>
      <c r="N164" s="35"/>
      <c r="O164" s="219"/>
    </row>
    <row r="165" spans="11:15" s="9" customFormat="1" ht="16.5" x14ac:dyDescent="0.25">
      <c r="K165" s="35"/>
      <c r="L165" s="35"/>
      <c r="M165" s="35"/>
      <c r="N165" s="35"/>
      <c r="O165" s="219"/>
    </row>
  </sheetData>
  <sheetProtection formatCells="0" formatColumns="0" formatRows="0" insertColumns="0" insertRows="0" insertHyperlinks="0" deleteColumns="0" deleteRows="0" sort="0" autoFilter="0" pivotTables="0"/>
  <mergeCells count="2">
    <mergeCell ref="C1:O1"/>
    <mergeCell ref="A2:B2"/>
  </mergeCells>
  <pageMargins left="0" right="0" top="0.15748031496062992" bottom="0.15748031496062992" header="0.31496062992125984" footer="0.31496062992125984"/>
  <pageSetup paperSize="9" scale="41" fitToHeight="0" orientation="landscape" r:id="rId1"/>
  <headerFooter>
    <oddFooter>&amp;L&amp;Bfinancas - previsto x realizad&amp;RPágina &amp;P de &amp;N</oddFooter>
  </headerFooter>
  <rowBreaks count="1" manualBreakCount="1">
    <brk id="7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R165"/>
  <sheetViews>
    <sheetView showGridLines="0" view="pageBreakPreview" zoomScale="55" zoomScaleNormal="55" zoomScaleSheetLayoutView="55" workbookViewId="0">
      <pane xSplit="2" ySplit="3" topLeftCell="C22" activePane="bottomRight" state="frozen"/>
      <selection pane="topRight"/>
      <selection pane="bottomLeft"/>
      <selection pane="bottomRight" activeCell="C47" sqref="C47:H47"/>
    </sheetView>
  </sheetViews>
  <sheetFormatPr defaultColWidth="9.140625" defaultRowHeight="15" customHeight="1" x14ac:dyDescent="0.25"/>
  <cols>
    <col min="1" max="1" width="1.28515625" style="222" customWidth="1"/>
    <col min="2" max="2" width="49.7109375" style="222" bestFit="1" customWidth="1"/>
    <col min="3" max="3" width="21.7109375" style="222" bestFit="1" customWidth="1"/>
    <col min="4" max="4" width="21.140625" style="222" bestFit="1" customWidth="1"/>
    <col min="5" max="8" width="21.7109375" style="222" bestFit="1" customWidth="1"/>
    <col min="9" max="11" width="23.5703125" style="222" bestFit="1" customWidth="1"/>
    <col min="12" max="13" width="21.7109375" style="222" bestFit="1" customWidth="1"/>
    <col min="14" max="14" width="23.5703125" style="222" bestFit="1" customWidth="1"/>
    <col min="15" max="15" width="23.5703125" style="224" bestFit="1" customWidth="1"/>
    <col min="16" max="16" width="17.140625" style="222" customWidth="1"/>
    <col min="17" max="17" width="33.28515625" style="223" customWidth="1"/>
    <col min="18" max="18" width="16.28515625" style="222" bestFit="1" customWidth="1"/>
    <col min="19" max="16384" width="9.140625" style="222"/>
  </cols>
  <sheetData>
    <row r="1" spans="1:17" ht="63" customHeight="1" x14ac:dyDescent="0.25">
      <c r="C1" s="286" t="s">
        <v>249</v>
      </c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7" ht="24.95" customHeight="1" x14ac:dyDescent="0.25">
      <c r="A2" s="288"/>
      <c r="B2" s="288"/>
      <c r="C2" s="184">
        <f>C47/O$47</f>
        <v>8.5499090987793264E-2</v>
      </c>
      <c r="D2" s="184">
        <f>D47/$O$47</f>
        <v>7.888494502640464E-2</v>
      </c>
      <c r="E2" s="184">
        <f>E47/$O$47</f>
        <v>8.2382477707557786E-2</v>
      </c>
      <c r="F2" s="184">
        <f t="shared" ref="F2:M2" si="0">F47/$O$47</f>
        <v>8.3386719764522554E-2</v>
      </c>
      <c r="G2" s="184">
        <f t="shared" si="0"/>
        <v>7.9092719245087012E-2</v>
      </c>
      <c r="H2" s="184">
        <f t="shared" si="0"/>
        <v>7.888494502640464E-2</v>
      </c>
      <c r="I2" s="184">
        <f t="shared" si="0"/>
        <v>8.1516751796381265E-2</v>
      </c>
      <c r="J2" s="184">
        <f t="shared" si="0"/>
        <v>0.1071941823218769</v>
      </c>
      <c r="K2" s="184">
        <f t="shared" si="0"/>
        <v>7.9767985455804699E-2</v>
      </c>
      <c r="L2" s="184">
        <f t="shared" si="0"/>
        <v>8.23305341528872E-2</v>
      </c>
      <c r="M2" s="184">
        <f t="shared" si="0"/>
        <v>8.063371136698122E-2</v>
      </c>
      <c r="N2" s="184">
        <f>N47/$O$47</f>
        <v>8.0425937148298848E-2</v>
      </c>
    </row>
    <row r="3" spans="1:17" ht="18.75" x14ac:dyDescent="0.25"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4" t="s">
        <v>5</v>
      </c>
    </row>
    <row r="4" spans="1:17" ht="18.75" x14ac:dyDescent="0.25">
      <c r="B4" s="225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2"/>
    </row>
    <row r="5" spans="1:17" ht="15.75" x14ac:dyDescent="0.25">
      <c r="B5" s="191" t="s">
        <v>29</v>
      </c>
      <c r="C5" s="192">
        <f>C6</f>
        <v>-28880</v>
      </c>
      <c r="D5" s="192">
        <f t="shared" ref="D5:N5" si="1">C5+D6</f>
        <v>-53940</v>
      </c>
      <c r="E5" s="192">
        <f t="shared" si="1"/>
        <v>-83120</v>
      </c>
      <c r="F5" s="192">
        <f t="shared" si="1"/>
        <v>-114780</v>
      </c>
      <c r="G5" s="192">
        <f t="shared" si="1"/>
        <v>-144060</v>
      </c>
      <c r="H5" s="192">
        <f t="shared" si="1"/>
        <v>-173915</v>
      </c>
      <c r="I5" s="192">
        <f t="shared" si="1"/>
        <v>-205455</v>
      </c>
      <c r="J5" s="192">
        <f t="shared" si="1"/>
        <v>-251825</v>
      </c>
      <c r="K5" s="192">
        <f t="shared" ca="1" si="1"/>
        <v>-279395</v>
      </c>
      <c r="L5" s="192">
        <f t="shared" ca="1" si="1"/>
        <v>-316445</v>
      </c>
      <c r="M5" s="192">
        <f t="shared" ca="1" si="1"/>
        <v>-352515</v>
      </c>
      <c r="N5" s="192">
        <f t="shared" ca="1" si="1"/>
        <v>-388465</v>
      </c>
      <c r="O5" s="193"/>
    </row>
    <row r="6" spans="1:17" ht="15.75" x14ac:dyDescent="0.25">
      <c r="B6" s="191" t="s">
        <v>30</v>
      </c>
      <c r="C6" s="192">
        <f t="shared" ref="C6:N6" si="2">SUM(C8-C47)</f>
        <v>-28880</v>
      </c>
      <c r="D6" s="192">
        <f t="shared" si="2"/>
        <v>-25060</v>
      </c>
      <c r="E6" s="192">
        <f t="shared" si="2"/>
        <v>-29180</v>
      </c>
      <c r="F6" s="192">
        <f t="shared" si="2"/>
        <v>-31660</v>
      </c>
      <c r="G6" s="192">
        <f t="shared" si="2"/>
        <v>-29280</v>
      </c>
      <c r="H6" s="192">
        <f t="shared" si="2"/>
        <v>-29855</v>
      </c>
      <c r="I6" s="192">
        <f t="shared" si="2"/>
        <v>-31540</v>
      </c>
      <c r="J6" s="192">
        <f t="shared" si="2"/>
        <v>-46370</v>
      </c>
      <c r="K6" s="192">
        <f t="shared" ca="1" si="2"/>
        <v>-35570</v>
      </c>
      <c r="L6" s="192">
        <f t="shared" ca="1" si="2"/>
        <v>-37050</v>
      </c>
      <c r="M6" s="192">
        <f t="shared" ca="1" si="2"/>
        <v>-36070</v>
      </c>
      <c r="N6" s="192">
        <f t="shared" ca="1" si="2"/>
        <v>-35950</v>
      </c>
      <c r="O6" s="193">
        <f ca="1">SUM(C6:N6)</f>
        <v>-388465</v>
      </c>
    </row>
    <row r="7" spans="1:17" ht="18.75" x14ac:dyDescent="0.25">
      <c r="B7" s="225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2"/>
    </row>
    <row r="8" spans="1:17" s="9" customFormat="1" ht="19.5" x14ac:dyDescent="0.25">
      <c r="B8" s="194" t="s">
        <v>31</v>
      </c>
      <c r="C8" s="8">
        <f>SUM(C9,C16,C22,C28,C33,C37,C40,C43)</f>
        <v>20500</v>
      </c>
      <c r="D8" s="8">
        <f>SUM(D9,D16,D22,D28,D33,D37,D40,D43)</f>
        <v>20500</v>
      </c>
      <c r="E8" s="8">
        <f t="shared" ref="E8:M8" si="3">SUM(E9,E16,E22,E28,E33,E37,E40,E43)</f>
        <v>18400</v>
      </c>
      <c r="F8" s="8">
        <f t="shared" si="3"/>
        <v>16500</v>
      </c>
      <c r="G8" s="8">
        <f t="shared" si="3"/>
        <v>16400</v>
      </c>
      <c r="H8" s="49">
        <f t="shared" si="3"/>
        <v>15705</v>
      </c>
      <c r="I8" s="49">
        <f t="shared" si="3"/>
        <v>15540</v>
      </c>
      <c r="J8" s="49">
        <f t="shared" si="3"/>
        <v>15540</v>
      </c>
      <c r="K8" s="49">
        <f t="shared" ca="1" si="3"/>
        <v>10500</v>
      </c>
      <c r="L8" s="49">
        <f t="shared" ca="1" si="3"/>
        <v>10500</v>
      </c>
      <c r="M8" s="49">
        <f t="shared" ca="1" si="3"/>
        <v>10500</v>
      </c>
      <c r="N8" s="49">
        <f ca="1">SUM(N9,N16,N22,N28,N33,N37,N40,N43)</f>
        <v>10500</v>
      </c>
      <c r="O8" s="213">
        <f ca="1">SUM(C8:N8)</f>
        <v>181085</v>
      </c>
      <c r="Q8" s="227"/>
    </row>
    <row r="9" spans="1:17" s="9" customFormat="1" ht="15.75" hidden="1" x14ac:dyDescent="0.25">
      <c r="B9" s="228" t="s">
        <v>32</v>
      </c>
      <c r="C9" s="229">
        <f>SUM(C10:C15)</f>
        <v>0</v>
      </c>
      <c r="D9" s="229">
        <f>SUM(D10:D15)</f>
        <v>0</v>
      </c>
      <c r="E9" s="229">
        <f>SUM(E10:E15)</f>
        <v>0</v>
      </c>
      <c r="F9" s="229">
        <f t="shared" ref="F9:N9" si="4">SUM(F10:F15)</f>
        <v>0</v>
      </c>
      <c r="G9" s="229">
        <f>SUM(G10:G15)</f>
        <v>0</v>
      </c>
      <c r="H9" s="229">
        <f t="shared" si="4"/>
        <v>0</v>
      </c>
      <c r="I9" s="229">
        <f t="shared" si="4"/>
        <v>0</v>
      </c>
      <c r="J9" s="229">
        <f t="shared" si="4"/>
        <v>0</v>
      </c>
      <c r="K9" s="229">
        <f t="shared" si="4"/>
        <v>0</v>
      </c>
      <c r="L9" s="229">
        <f t="shared" si="4"/>
        <v>0</v>
      </c>
      <c r="M9" s="229">
        <f t="shared" si="4"/>
        <v>0</v>
      </c>
      <c r="N9" s="229">
        <f t="shared" si="4"/>
        <v>0</v>
      </c>
      <c r="O9" s="230">
        <f>SUM(C9:N9)</f>
        <v>0</v>
      </c>
      <c r="Q9" s="227"/>
    </row>
    <row r="10" spans="1:17" s="9" customFormat="1" ht="15.75" hidden="1" x14ac:dyDescent="0.25">
      <c r="B10" s="36" t="s">
        <v>33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231">
        <f t="shared" ref="O10:O73" si="5">SUM(C10:N10)</f>
        <v>0</v>
      </c>
      <c r="Q10" s="227"/>
    </row>
    <row r="11" spans="1:17" s="9" customFormat="1" ht="15.75" hidden="1" x14ac:dyDescent="0.25">
      <c r="B11" s="36" t="s">
        <v>34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231">
        <f t="shared" si="5"/>
        <v>0</v>
      </c>
      <c r="Q11" s="227"/>
    </row>
    <row r="12" spans="1:17" s="9" customFormat="1" ht="15.75" hidden="1" x14ac:dyDescent="0.25">
      <c r="B12" s="36" t="s">
        <v>35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231">
        <f t="shared" si="5"/>
        <v>0</v>
      </c>
      <c r="Q12" s="227"/>
    </row>
    <row r="13" spans="1:17" s="9" customFormat="1" ht="15.75" hidden="1" x14ac:dyDescent="0.25">
      <c r="B13" s="36" t="s">
        <v>36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231">
        <f t="shared" si="5"/>
        <v>0</v>
      </c>
      <c r="Q13" s="227"/>
    </row>
    <row r="14" spans="1:17" s="9" customFormat="1" ht="15.75" hidden="1" x14ac:dyDescent="0.25">
      <c r="B14" s="36" t="s">
        <v>37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231">
        <f t="shared" si="5"/>
        <v>0</v>
      </c>
      <c r="Q14" s="227"/>
    </row>
    <row r="15" spans="1:17" s="9" customFormat="1" ht="15.75" hidden="1" x14ac:dyDescent="0.25">
      <c r="B15" s="36" t="s">
        <v>38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231">
        <f t="shared" si="5"/>
        <v>0</v>
      </c>
      <c r="Q15" s="227"/>
    </row>
    <row r="16" spans="1:17" s="9" customFormat="1" ht="15.75" hidden="1" x14ac:dyDescent="0.25">
      <c r="B16" s="228" t="s">
        <v>39</v>
      </c>
      <c r="C16" s="229">
        <f>SUM(C17:C21)</f>
        <v>0</v>
      </c>
      <c r="D16" s="229">
        <f>SUM(D17:D21)</f>
        <v>0</v>
      </c>
      <c r="E16" s="229">
        <f t="shared" ref="E16:L16" si="6">SUM(E17:E21)</f>
        <v>0</v>
      </c>
      <c r="F16" s="229">
        <f t="shared" si="6"/>
        <v>0</v>
      </c>
      <c r="G16" s="229">
        <f>SUM(G17:G21)</f>
        <v>0</v>
      </c>
      <c r="H16" s="229">
        <f t="shared" si="6"/>
        <v>0</v>
      </c>
      <c r="I16" s="229">
        <f t="shared" si="6"/>
        <v>0</v>
      </c>
      <c r="J16" s="229">
        <f t="shared" si="6"/>
        <v>0</v>
      </c>
      <c r="K16" s="229">
        <f t="shared" si="6"/>
        <v>0</v>
      </c>
      <c r="L16" s="229">
        <f t="shared" si="6"/>
        <v>0</v>
      </c>
      <c r="M16" s="229">
        <f>SUM(M17:M21)</f>
        <v>0</v>
      </c>
      <c r="N16" s="229">
        <f>SUM(N17:N21)</f>
        <v>0</v>
      </c>
      <c r="O16" s="230">
        <f>SUM(C16:N16)</f>
        <v>0</v>
      </c>
      <c r="Q16" s="227"/>
    </row>
    <row r="17" spans="2:18" s="9" customFormat="1" ht="15.75" hidden="1" x14ac:dyDescent="0.25">
      <c r="B17" s="36" t="s">
        <v>40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231">
        <f t="shared" si="5"/>
        <v>0</v>
      </c>
      <c r="Q17" s="227"/>
    </row>
    <row r="18" spans="2:18" s="9" customFormat="1" ht="15.75" hidden="1" x14ac:dyDescent="0.25">
      <c r="B18" s="36" t="s">
        <v>41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231">
        <f t="shared" si="5"/>
        <v>0</v>
      </c>
      <c r="Q18" s="227"/>
    </row>
    <row r="19" spans="2:18" s="9" customFormat="1" ht="15.75" hidden="1" x14ac:dyDescent="0.25">
      <c r="B19" s="36" t="s">
        <v>42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231">
        <f t="shared" si="5"/>
        <v>0</v>
      </c>
      <c r="Q19" s="227"/>
    </row>
    <row r="20" spans="2:18" s="9" customFormat="1" ht="15.75" hidden="1" x14ac:dyDescent="0.25">
      <c r="B20" s="36" t="s">
        <v>43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231">
        <f t="shared" si="5"/>
        <v>0</v>
      </c>
      <c r="Q20" s="227"/>
    </row>
    <row r="21" spans="2:18" s="9" customFormat="1" ht="15.75" hidden="1" x14ac:dyDescent="0.25">
      <c r="B21" s="36" t="s">
        <v>44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231">
        <f t="shared" si="5"/>
        <v>0</v>
      </c>
      <c r="Q21" s="227"/>
    </row>
    <row r="22" spans="2:18" s="9" customFormat="1" ht="15.75" x14ac:dyDescent="0.25">
      <c r="B22" s="228" t="s">
        <v>45</v>
      </c>
      <c r="C22" s="229">
        <f>SUM(C23:C27)</f>
        <v>5500</v>
      </c>
      <c r="D22" s="229">
        <f t="shared" ref="D22:N22" si="7">SUM(D23:D27)</f>
        <v>5500</v>
      </c>
      <c r="E22" s="229">
        <f t="shared" si="7"/>
        <v>5500</v>
      </c>
      <c r="F22" s="229">
        <f t="shared" si="7"/>
        <v>5500</v>
      </c>
      <c r="G22" s="229">
        <f t="shared" si="7"/>
        <v>5500</v>
      </c>
      <c r="H22" s="229">
        <f t="shared" si="7"/>
        <v>5500</v>
      </c>
      <c r="I22" s="229">
        <f t="shared" si="7"/>
        <v>5500</v>
      </c>
      <c r="J22" s="229">
        <f t="shared" si="7"/>
        <v>5500</v>
      </c>
      <c r="K22" s="229">
        <f t="shared" si="7"/>
        <v>5500</v>
      </c>
      <c r="L22" s="229">
        <f t="shared" si="7"/>
        <v>5500</v>
      </c>
      <c r="M22" s="229">
        <f t="shared" si="7"/>
        <v>5500</v>
      </c>
      <c r="N22" s="229">
        <f t="shared" si="7"/>
        <v>5500</v>
      </c>
      <c r="O22" s="230">
        <f t="shared" si="5"/>
        <v>66000</v>
      </c>
      <c r="Q22" s="227"/>
    </row>
    <row r="23" spans="2:18" s="9" customFormat="1" ht="15.75" x14ac:dyDescent="0.25">
      <c r="B23" s="12" t="s">
        <v>46</v>
      </c>
      <c r="C23" s="37">
        <v>2500</v>
      </c>
      <c r="D23" s="37">
        <v>2500</v>
      </c>
      <c r="E23" s="37">
        <v>2500</v>
      </c>
      <c r="F23" s="37">
        <v>2500</v>
      </c>
      <c r="G23" s="37">
        <v>2500</v>
      </c>
      <c r="H23" s="37">
        <v>2500</v>
      </c>
      <c r="I23" s="37">
        <v>2500</v>
      </c>
      <c r="J23" s="37">
        <v>2500</v>
      </c>
      <c r="K23" s="37">
        <v>2500</v>
      </c>
      <c r="L23" s="37">
        <v>2500</v>
      </c>
      <c r="M23" s="37">
        <v>2500</v>
      </c>
      <c r="N23" s="37">
        <v>2500</v>
      </c>
      <c r="O23" s="231">
        <f>SUM(C23:N23)</f>
        <v>30000</v>
      </c>
      <c r="Q23" s="227"/>
    </row>
    <row r="24" spans="2:18" s="9" customFormat="1" ht="15.75" x14ac:dyDescent="0.25">
      <c r="B24" s="12" t="s">
        <v>47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236">
        <f t="shared" si="5"/>
        <v>0</v>
      </c>
      <c r="Q24" s="227"/>
    </row>
    <row r="25" spans="2:18" s="9" customFormat="1" ht="15.75" x14ac:dyDescent="0.25">
      <c r="B25" s="12" t="s">
        <v>48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236">
        <f t="shared" si="5"/>
        <v>0</v>
      </c>
      <c r="Q25" s="227"/>
    </row>
    <row r="26" spans="2:18" s="9" customFormat="1" ht="15.75" x14ac:dyDescent="0.25">
      <c r="B26" s="12" t="s">
        <v>157</v>
      </c>
      <c r="C26" s="37">
        <v>3000</v>
      </c>
      <c r="D26" s="37">
        <v>3000</v>
      </c>
      <c r="E26" s="37">
        <v>3000</v>
      </c>
      <c r="F26" s="37">
        <v>3000</v>
      </c>
      <c r="G26" s="37">
        <v>3000</v>
      </c>
      <c r="H26" s="37">
        <v>3000</v>
      </c>
      <c r="I26" s="37">
        <v>3000</v>
      </c>
      <c r="J26" s="37">
        <v>3000</v>
      </c>
      <c r="K26" s="37">
        <v>3000</v>
      </c>
      <c r="L26" s="37">
        <v>3000</v>
      </c>
      <c r="M26" s="37">
        <v>3000</v>
      </c>
      <c r="N26" s="37">
        <v>3000</v>
      </c>
      <c r="O26" s="231">
        <f t="shared" si="5"/>
        <v>36000</v>
      </c>
      <c r="Q26" s="227"/>
    </row>
    <row r="27" spans="2:18" s="9" customFormat="1" ht="15.75" x14ac:dyDescent="0.25">
      <c r="B27" s="12" t="s">
        <v>50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236">
        <f t="shared" si="5"/>
        <v>0</v>
      </c>
      <c r="Q27" s="227"/>
      <c r="R27" s="35"/>
    </row>
    <row r="28" spans="2:18" s="9" customFormat="1" ht="15.75" x14ac:dyDescent="0.25">
      <c r="B28" s="228" t="s">
        <v>51</v>
      </c>
      <c r="C28" s="229">
        <f>SUM(C29:C32)</f>
        <v>0</v>
      </c>
      <c r="D28" s="229">
        <f t="shared" ref="D28:N28" si="8">SUM(D29:D32)</f>
        <v>0</v>
      </c>
      <c r="E28" s="229">
        <f t="shared" si="8"/>
        <v>0</v>
      </c>
      <c r="F28" s="229">
        <f t="shared" si="8"/>
        <v>0</v>
      </c>
      <c r="G28" s="229">
        <f t="shared" si="8"/>
        <v>0</v>
      </c>
      <c r="H28" s="229">
        <f t="shared" si="8"/>
        <v>0</v>
      </c>
      <c r="I28" s="229">
        <f t="shared" si="8"/>
        <v>0</v>
      </c>
      <c r="J28" s="229">
        <f t="shared" si="8"/>
        <v>0</v>
      </c>
      <c r="K28" s="229">
        <f t="shared" si="8"/>
        <v>0</v>
      </c>
      <c r="L28" s="229">
        <f t="shared" si="8"/>
        <v>0</v>
      </c>
      <c r="M28" s="229">
        <f t="shared" si="8"/>
        <v>0</v>
      </c>
      <c r="N28" s="229">
        <f t="shared" si="8"/>
        <v>0</v>
      </c>
      <c r="O28" s="230">
        <f>SUM(C28:N28)</f>
        <v>0</v>
      </c>
      <c r="Q28" s="227"/>
      <c r="R28" s="35"/>
    </row>
    <row r="29" spans="2:18" s="9" customFormat="1" ht="15.75" x14ac:dyDescent="0.25">
      <c r="B29" s="12" t="s">
        <v>52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236">
        <f>SUM(C29:N29)</f>
        <v>0</v>
      </c>
      <c r="Q29" s="227"/>
      <c r="R29" s="35"/>
    </row>
    <row r="30" spans="2:18" s="9" customFormat="1" ht="15.75" x14ac:dyDescent="0.25">
      <c r="B30" s="12" t="s">
        <v>53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236">
        <f t="shared" si="5"/>
        <v>0</v>
      </c>
      <c r="Q30" s="227"/>
      <c r="R30" s="35"/>
    </row>
    <row r="31" spans="2:18" s="9" customFormat="1" ht="15.75" x14ac:dyDescent="0.25">
      <c r="B31" s="12" t="s">
        <v>54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236">
        <f t="shared" si="5"/>
        <v>0</v>
      </c>
      <c r="Q31" s="227"/>
      <c r="R31" s="35"/>
    </row>
    <row r="32" spans="2:18" s="9" customFormat="1" ht="15.75" x14ac:dyDescent="0.25">
      <c r="B32" s="12" t="s">
        <v>55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236">
        <f t="shared" si="5"/>
        <v>0</v>
      </c>
      <c r="Q32" s="227"/>
      <c r="R32" s="35"/>
    </row>
    <row r="33" spans="2:18" s="9" customFormat="1" ht="15.75" x14ac:dyDescent="0.25">
      <c r="B33" s="228" t="s">
        <v>56</v>
      </c>
      <c r="C33" s="229">
        <f>SUM(C34:C36)</f>
        <v>0</v>
      </c>
      <c r="D33" s="229">
        <f>SUM(D34:D36)</f>
        <v>0</v>
      </c>
      <c r="E33" s="229">
        <f>SUM(E34:E36)</f>
        <v>0</v>
      </c>
      <c r="F33" s="229">
        <f t="shared" ref="F33:N33" si="9">SUM(F34:F36)</f>
        <v>0</v>
      </c>
      <c r="G33" s="229">
        <f t="shared" si="9"/>
        <v>0</v>
      </c>
      <c r="H33" s="229">
        <f t="shared" si="9"/>
        <v>0</v>
      </c>
      <c r="I33" s="229">
        <f>SUM(I34:I36)</f>
        <v>0</v>
      </c>
      <c r="J33" s="229">
        <f t="shared" si="9"/>
        <v>0</v>
      </c>
      <c r="K33" s="229">
        <f t="shared" si="9"/>
        <v>0</v>
      </c>
      <c r="L33" s="229">
        <f t="shared" si="9"/>
        <v>0</v>
      </c>
      <c r="M33" s="229">
        <f t="shared" si="9"/>
        <v>0</v>
      </c>
      <c r="N33" s="229">
        <f t="shared" si="9"/>
        <v>0</v>
      </c>
      <c r="O33" s="230">
        <f t="shared" si="5"/>
        <v>0</v>
      </c>
      <c r="Q33" s="227"/>
      <c r="R33" s="35"/>
    </row>
    <row r="34" spans="2:18" s="9" customFormat="1" ht="15.75" x14ac:dyDescent="0.25">
      <c r="B34" s="12" t="s">
        <v>57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236">
        <f t="shared" si="5"/>
        <v>0</v>
      </c>
      <c r="Q34" s="227"/>
    </row>
    <row r="35" spans="2:18" s="9" customFormat="1" ht="15.75" x14ac:dyDescent="0.25">
      <c r="B35" s="12" t="s">
        <v>58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236">
        <f t="shared" si="5"/>
        <v>0</v>
      </c>
      <c r="Q35" s="227"/>
    </row>
    <row r="36" spans="2:18" s="9" customFormat="1" ht="15.75" x14ac:dyDescent="0.25">
      <c r="B36" s="12" t="s">
        <v>59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236">
        <f t="shared" si="5"/>
        <v>0</v>
      </c>
      <c r="Q36" s="227"/>
    </row>
    <row r="37" spans="2:18" s="9" customFormat="1" ht="15.75" x14ac:dyDescent="0.25">
      <c r="B37" s="228" t="s">
        <v>60</v>
      </c>
      <c r="C37" s="229">
        <f>SUM(C38:C39)</f>
        <v>0</v>
      </c>
      <c r="D37" s="229">
        <f t="shared" ref="D37:N37" si="10">SUM(D38:D39)</f>
        <v>0</v>
      </c>
      <c r="E37" s="229">
        <f t="shared" si="10"/>
        <v>0</v>
      </c>
      <c r="F37" s="229">
        <f t="shared" si="10"/>
        <v>0</v>
      </c>
      <c r="G37" s="229">
        <f t="shared" si="10"/>
        <v>0</v>
      </c>
      <c r="H37" s="229">
        <f t="shared" si="10"/>
        <v>0</v>
      </c>
      <c r="I37" s="229">
        <f t="shared" si="10"/>
        <v>0</v>
      </c>
      <c r="J37" s="229">
        <f t="shared" si="10"/>
        <v>0</v>
      </c>
      <c r="K37" s="229">
        <f t="shared" si="10"/>
        <v>0</v>
      </c>
      <c r="L37" s="229">
        <f t="shared" si="10"/>
        <v>0</v>
      </c>
      <c r="M37" s="229">
        <f t="shared" si="10"/>
        <v>0</v>
      </c>
      <c r="N37" s="229">
        <f t="shared" si="10"/>
        <v>0</v>
      </c>
      <c r="O37" s="230">
        <f t="shared" si="5"/>
        <v>0</v>
      </c>
      <c r="Q37" s="227"/>
    </row>
    <row r="38" spans="2:18" s="9" customFormat="1" ht="15.75" x14ac:dyDescent="0.25">
      <c r="B38" s="12" t="s">
        <v>61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236">
        <f t="shared" si="5"/>
        <v>0</v>
      </c>
      <c r="Q38" s="227"/>
    </row>
    <row r="39" spans="2:18" s="9" customFormat="1" ht="15.75" x14ac:dyDescent="0.25">
      <c r="B39" s="12" t="s">
        <v>62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236">
        <f t="shared" si="5"/>
        <v>0</v>
      </c>
      <c r="Q39" s="227"/>
    </row>
    <row r="40" spans="2:18" s="9" customFormat="1" ht="15.75" x14ac:dyDescent="0.25">
      <c r="B40" s="228" t="s">
        <v>63</v>
      </c>
      <c r="C40" s="229">
        <f>SUM(C41:C42)</f>
        <v>10000</v>
      </c>
      <c r="D40" s="229">
        <f t="shared" ref="D40:N40" si="11">SUM(D41:D42)</f>
        <v>10000</v>
      </c>
      <c r="E40" s="229">
        <f t="shared" si="11"/>
        <v>7900</v>
      </c>
      <c r="F40" s="229">
        <f t="shared" si="11"/>
        <v>6000</v>
      </c>
      <c r="G40" s="229">
        <f t="shared" si="11"/>
        <v>5900</v>
      </c>
      <c r="H40" s="229">
        <f t="shared" si="11"/>
        <v>5205</v>
      </c>
      <c r="I40" s="229">
        <f t="shared" si="11"/>
        <v>5040</v>
      </c>
      <c r="J40" s="229">
        <f t="shared" si="11"/>
        <v>5040</v>
      </c>
      <c r="K40" s="229">
        <f t="shared" ca="1" si="11"/>
        <v>0</v>
      </c>
      <c r="L40" s="229">
        <f t="shared" ca="1" si="11"/>
        <v>0</v>
      </c>
      <c r="M40" s="229">
        <f t="shared" ca="1" si="11"/>
        <v>0</v>
      </c>
      <c r="N40" s="229">
        <f t="shared" ca="1" si="11"/>
        <v>0</v>
      </c>
      <c r="O40" s="230">
        <f t="shared" ca="1" si="5"/>
        <v>63085</v>
      </c>
      <c r="Q40" s="227"/>
    </row>
    <row r="41" spans="2:18" s="9" customFormat="1" ht="15.75" x14ac:dyDescent="0.25">
      <c r="B41" s="12" t="s">
        <v>158</v>
      </c>
      <c r="C41" s="37">
        <v>10000</v>
      </c>
      <c r="D41" s="37">
        <v>10000</v>
      </c>
      <c r="E41" s="37">
        <v>7900</v>
      </c>
      <c r="F41" s="37">
        <v>6000</v>
      </c>
      <c r="G41" s="37">
        <v>5900</v>
      </c>
      <c r="H41" s="37">
        <v>5205</v>
      </c>
      <c r="I41" s="37">
        <v>5040</v>
      </c>
      <c r="J41" s="37">
        <v>5040</v>
      </c>
      <c r="K41" s="37">
        <f ca="1">SUM(ADM!K41,MARKETING!K41,COMERCIAL!K41,OPERAÇÕES!K41)</f>
        <v>0</v>
      </c>
      <c r="L41" s="37">
        <f ca="1">SUM(ADM!L41,MARKETING!L41,COMERCIAL!L41,OPERAÇÕES!L41)</f>
        <v>0</v>
      </c>
      <c r="M41" s="37">
        <f ca="1">SUM(ADM!M41,MARKETING!M41,COMERCIAL!M41,OPERAÇÕES!M41)</f>
        <v>0</v>
      </c>
      <c r="N41" s="37">
        <f ca="1">SUM(ADM!N41,MARKETING!N41,COMERCIAL!N41,OPERAÇÕES!N41)</f>
        <v>0</v>
      </c>
      <c r="O41" s="231">
        <f t="shared" ca="1" si="5"/>
        <v>63085</v>
      </c>
      <c r="Q41" s="227"/>
    </row>
    <row r="42" spans="2:18" s="9" customFormat="1" ht="15.75" x14ac:dyDescent="0.25">
      <c r="B42" s="12" t="s">
        <v>65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236">
        <f t="shared" si="5"/>
        <v>0</v>
      </c>
      <c r="Q42" s="227"/>
    </row>
    <row r="43" spans="2:18" s="9" customFormat="1" ht="15.75" x14ac:dyDescent="0.25">
      <c r="B43" s="228" t="s">
        <v>66</v>
      </c>
      <c r="C43" s="229">
        <f t="shared" ref="C43:N43" si="12">SUM(C44:C46)</f>
        <v>5000</v>
      </c>
      <c r="D43" s="229">
        <f t="shared" si="12"/>
        <v>5000</v>
      </c>
      <c r="E43" s="229">
        <f t="shared" si="12"/>
        <v>5000</v>
      </c>
      <c r="F43" s="229">
        <f t="shared" si="12"/>
        <v>5000</v>
      </c>
      <c r="G43" s="229">
        <f t="shared" si="12"/>
        <v>5000</v>
      </c>
      <c r="H43" s="229">
        <f t="shared" si="12"/>
        <v>5000</v>
      </c>
      <c r="I43" s="229">
        <f t="shared" si="12"/>
        <v>5000</v>
      </c>
      <c r="J43" s="229">
        <f t="shared" si="12"/>
        <v>5000</v>
      </c>
      <c r="K43" s="229">
        <f t="shared" si="12"/>
        <v>5000</v>
      </c>
      <c r="L43" s="229">
        <f t="shared" si="12"/>
        <v>5000</v>
      </c>
      <c r="M43" s="229">
        <f t="shared" si="12"/>
        <v>5000</v>
      </c>
      <c r="N43" s="229">
        <f t="shared" si="12"/>
        <v>5000</v>
      </c>
      <c r="O43" s="230">
        <f t="shared" si="5"/>
        <v>60000</v>
      </c>
      <c r="Q43" s="227"/>
    </row>
    <row r="44" spans="2:18" s="9" customFormat="1" ht="15.75" x14ac:dyDescent="0.25">
      <c r="B44" s="196" t="s">
        <v>159</v>
      </c>
      <c r="C44" s="197">
        <v>0</v>
      </c>
      <c r="D44" s="197">
        <v>0</v>
      </c>
      <c r="E44" s="197">
        <v>0</v>
      </c>
      <c r="F44" s="197">
        <v>0</v>
      </c>
      <c r="G44" s="197">
        <v>0</v>
      </c>
      <c r="H44" s="197">
        <v>0</v>
      </c>
      <c r="I44" s="197">
        <v>0</v>
      </c>
      <c r="J44" s="197">
        <v>0</v>
      </c>
      <c r="K44" s="197">
        <v>0</v>
      </c>
      <c r="L44" s="197">
        <v>0</v>
      </c>
      <c r="M44" s="197">
        <v>0</v>
      </c>
      <c r="N44" s="197">
        <v>0</v>
      </c>
      <c r="O44" s="232">
        <f t="shared" si="5"/>
        <v>0</v>
      </c>
      <c r="Q44" s="227"/>
    </row>
    <row r="45" spans="2:18" s="9" customFormat="1" ht="15.75" x14ac:dyDescent="0.25">
      <c r="B45" s="12" t="s">
        <v>68</v>
      </c>
      <c r="C45" s="37">
        <v>5000</v>
      </c>
      <c r="D45" s="37">
        <v>5000</v>
      </c>
      <c r="E45" s="37">
        <v>5000</v>
      </c>
      <c r="F45" s="37">
        <v>5000</v>
      </c>
      <c r="G45" s="37">
        <v>5000</v>
      </c>
      <c r="H45" s="37">
        <v>5000</v>
      </c>
      <c r="I45" s="37">
        <v>5000</v>
      </c>
      <c r="J45" s="37">
        <v>5000</v>
      </c>
      <c r="K45" s="37">
        <v>5000</v>
      </c>
      <c r="L45" s="37">
        <v>5000</v>
      </c>
      <c r="M45" s="37">
        <v>5000</v>
      </c>
      <c r="N45" s="37">
        <v>5000</v>
      </c>
      <c r="O45" s="231">
        <f t="shared" si="5"/>
        <v>60000</v>
      </c>
      <c r="Q45" s="227"/>
    </row>
    <row r="46" spans="2:18" s="9" customFormat="1" ht="15.75" x14ac:dyDescent="0.25">
      <c r="B46" s="12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236">
        <f t="shared" si="5"/>
        <v>0</v>
      </c>
      <c r="Q46" s="227"/>
    </row>
    <row r="47" spans="2:18" s="9" customFormat="1" ht="15.75" x14ac:dyDescent="0.25">
      <c r="B47" s="195" t="s">
        <v>69</v>
      </c>
      <c r="C47" s="14">
        <f t="shared" ref="C47:M47" si="13">SUM(C48,C50,C53,C75,C99,C105,C116,C120,C123,C126,C130,C133)</f>
        <v>49380</v>
      </c>
      <c r="D47" s="14">
        <f t="shared" si="13"/>
        <v>45560</v>
      </c>
      <c r="E47" s="14">
        <f t="shared" si="13"/>
        <v>47580</v>
      </c>
      <c r="F47" s="14">
        <f t="shared" si="13"/>
        <v>48160</v>
      </c>
      <c r="G47" s="14">
        <f t="shared" si="13"/>
        <v>45680</v>
      </c>
      <c r="H47" s="14">
        <f t="shared" si="13"/>
        <v>45560</v>
      </c>
      <c r="I47" s="14">
        <f t="shared" si="13"/>
        <v>47080</v>
      </c>
      <c r="J47" s="14">
        <f t="shared" si="13"/>
        <v>61910</v>
      </c>
      <c r="K47" s="14">
        <f t="shared" si="13"/>
        <v>46070</v>
      </c>
      <c r="L47" s="14">
        <f t="shared" si="13"/>
        <v>47550</v>
      </c>
      <c r="M47" s="14">
        <f t="shared" si="13"/>
        <v>46570</v>
      </c>
      <c r="N47" s="14">
        <f>SUM(N48,N50,N53,N75,N99,N105,N116,N120,N123,N126,N130,N133)</f>
        <v>46450</v>
      </c>
      <c r="O47" s="233">
        <f>SUM(C47:N47)</f>
        <v>577550</v>
      </c>
      <c r="Q47" s="227"/>
    </row>
    <row r="48" spans="2:18" s="9" customFormat="1" ht="15.75" x14ac:dyDescent="0.25">
      <c r="B48" s="234" t="s">
        <v>70</v>
      </c>
      <c r="C48" s="38">
        <f>SUM(C49)</f>
        <v>0</v>
      </c>
      <c r="D48" s="38">
        <f t="shared" ref="D48:N48" si="14">SUM(D49)</f>
        <v>0</v>
      </c>
      <c r="E48" s="38">
        <f t="shared" si="14"/>
        <v>0</v>
      </c>
      <c r="F48" s="38">
        <f t="shared" si="14"/>
        <v>0</v>
      </c>
      <c r="G48" s="38">
        <f t="shared" si="14"/>
        <v>0</v>
      </c>
      <c r="H48" s="38">
        <f t="shared" si="14"/>
        <v>0</v>
      </c>
      <c r="I48" s="38">
        <f t="shared" si="14"/>
        <v>0</v>
      </c>
      <c r="J48" s="38">
        <f t="shared" si="14"/>
        <v>0</v>
      </c>
      <c r="K48" s="38">
        <f t="shared" si="14"/>
        <v>0</v>
      </c>
      <c r="L48" s="38">
        <f t="shared" si="14"/>
        <v>0</v>
      </c>
      <c r="M48" s="38">
        <f t="shared" si="14"/>
        <v>0</v>
      </c>
      <c r="N48" s="38">
        <f t="shared" si="14"/>
        <v>0</v>
      </c>
      <c r="O48" s="235">
        <f t="shared" si="5"/>
        <v>0</v>
      </c>
      <c r="Q48" s="227"/>
    </row>
    <row r="49" spans="1:17" s="9" customFormat="1" ht="15.75" x14ac:dyDescent="0.25">
      <c r="B49" s="12" t="s">
        <v>71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236">
        <f t="shared" si="5"/>
        <v>0</v>
      </c>
      <c r="Q49" s="227"/>
    </row>
    <row r="50" spans="1:17" s="9" customFormat="1" ht="15.75" x14ac:dyDescent="0.25">
      <c r="B50" s="234" t="s">
        <v>72</v>
      </c>
      <c r="C50" s="38">
        <f t="shared" ref="C50:N50" si="15">SUM(C51:C52)</f>
        <v>0</v>
      </c>
      <c r="D50" s="38">
        <f t="shared" si="15"/>
        <v>0</v>
      </c>
      <c r="E50" s="38">
        <f t="shared" si="15"/>
        <v>0</v>
      </c>
      <c r="F50" s="38">
        <f t="shared" si="15"/>
        <v>0</v>
      </c>
      <c r="G50" s="38">
        <f t="shared" si="15"/>
        <v>0</v>
      </c>
      <c r="H50" s="38">
        <f t="shared" si="15"/>
        <v>0</v>
      </c>
      <c r="I50" s="38">
        <f t="shared" si="15"/>
        <v>0</v>
      </c>
      <c r="J50" s="38">
        <f t="shared" si="15"/>
        <v>0</v>
      </c>
      <c r="K50" s="38">
        <f t="shared" si="15"/>
        <v>0</v>
      </c>
      <c r="L50" s="38">
        <f t="shared" si="15"/>
        <v>0</v>
      </c>
      <c r="M50" s="38">
        <f t="shared" si="15"/>
        <v>0</v>
      </c>
      <c r="N50" s="38">
        <f t="shared" si="15"/>
        <v>0</v>
      </c>
      <c r="O50" s="235">
        <f t="shared" si="5"/>
        <v>0</v>
      </c>
      <c r="Q50" s="227"/>
    </row>
    <row r="51" spans="1:17" s="9" customFormat="1" ht="15.75" x14ac:dyDescent="0.25">
      <c r="B51" s="12" t="s">
        <v>73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236">
        <f t="shared" si="5"/>
        <v>0</v>
      </c>
      <c r="Q51" s="227"/>
    </row>
    <row r="52" spans="1:17" s="9" customFormat="1" ht="15.75" x14ac:dyDescent="0.25">
      <c r="B52" s="12" t="s">
        <v>74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236">
        <f t="shared" si="5"/>
        <v>0</v>
      </c>
      <c r="Q52" s="227"/>
    </row>
    <row r="53" spans="1:17" s="9" customFormat="1" ht="15.75" x14ac:dyDescent="0.25">
      <c r="B53" s="234" t="s">
        <v>75</v>
      </c>
      <c r="C53" s="38">
        <f t="shared" ref="C53:N53" si="16">SUM(C54:C74)</f>
        <v>33050</v>
      </c>
      <c r="D53" s="38">
        <f t="shared" si="16"/>
        <v>33050</v>
      </c>
      <c r="E53" s="38">
        <f t="shared" si="16"/>
        <v>33050</v>
      </c>
      <c r="F53" s="38">
        <f t="shared" si="16"/>
        <v>33050</v>
      </c>
      <c r="G53" s="38">
        <f t="shared" si="16"/>
        <v>33050</v>
      </c>
      <c r="H53" s="38">
        <f t="shared" si="16"/>
        <v>33050</v>
      </c>
      <c r="I53" s="38">
        <f t="shared" si="16"/>
        <v>33050</v>
      </c>
      <c r="J53" s="38">
        <f t="shared" si="16"/>
        <v>33050</v>
      </c>
      <c r="K53" s="38">
        <f t="shared" si="16"/>
        <v>33050</v>
      </c>
      <c r="L53" s="38">
        <f t="shared" si="16"/>
        <v>33050</v>
      </c>
      <c r="M53" s="38">
        <f t="shared" si="16"/>
        <v>33050</v>
      </c>
      <c r="N53" s="38">
        <f t="shared" si="16"/>
        <v>33050</v>
      </c>
      <c r="O53" s="235">
        <f>SUM(C53:N53)</f>
        <v>396600</v>
      </c>
      <c r="Q53" s="227"/>
    </row>
    <row r="54" spans="1:17" s="9" customFormat="1" ht="15.75" x14ac:dyDescent="0.25">
      <c r="B54" s="12" t="s">
        <v>76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236">
        <f t="shared" si="5"/>
        <v>0</v>
      </c>
      <c r="Q54" s="227"/>
    </row>
    <row r="55" spans="1:17" s="240" customFormat="1" ht="15.75" x14ac:dyDescent="0.25">
      <c r="A55" s="9"/>
      <c r="B55" s="12" t="s">
        <v>77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236">
        <f t="shared" si="5"/>
        <v>0</v>
      </c>
      <c r="Q55" s="241"/>
    </row>
    <row r="56" spans="1:17" s="9" customFormat="1" ht="15.75" x14ac:dyDescent="0.25">
      <c r="B56" s="12" t="s">
        <v>78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236">
        <f t="shared" si="5"/>
        <v>0</v>
      </c>
      <c r="Q56" s="227"/>
    </row>
    <row r="57" spans="1:17" s="9" customFormat="1" ht="15.75" x14ac:dyDescent="0.25">
      <c r="B57" s="12" t="s">
        <v>79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236">
        <f t="shared" si="5"/>
        <v>0</v>
      </c>
      <c r="Q57" s="227"/>
    </row>
    <row r="58" spans="1:17" s="9" customFormat="1" ht="15.75" x14ac:dyDescent="0.25">
      <c r="B58" s="12" t="s">
        <v>80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236">
        <f t="shared" si="5"/>
        <v>0</v>
      </c>
      <c r="Q58" s="227"/>
    </row>
    <row r="59" spans="1:17" s="9" customFormat="1" ht="15.75" x14ac:dyDescent="0.25">
      <c r="B59" s="12" t="s">
        <v>81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236">
        <f t="shared" si="5"/>
        <v>0</v>
      </c>
      <c r="Q59" s="227"/>
    </row>
    <row r="60" spans="1:17" s="9" customFormat="1" ht="15.75" x14ac:dyDescent="0.25">
      <c r="B60" s="12" t="s">
        <v>82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236">
        <f t="shared" si="5"/>
        <v>0</v>
      </c>
      <c r="Q60" s="227"/>
    </row>
    <row r="61" spans="1:17" s="9" customFormat="1" ht="15.75" x14ac:dyDescent="0.25">
      <c r="B61" s="12" t="s">
        <v>83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236">
        <f t="shared" si="5"/>
        <v>0</v>
      </c>
      <c r="Q61" s="227"/>
    </row>
    <row r="62" spans="1:17" s="9" customFormat="1" ht="15.75" x14ac:dyDescent="0.25">
      <c r="B62" s="12" t="s">
        <v>84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236">
        <f t="shared" si="5"/>
        <v>0</v>
      </c>
      <c r="Q62" s="227"/>
    </row>
    <row r="63" spans="1:17" s="9" customFormat="1" ht="15.75" x14ac:dyDescent="0.25">
      <c r="B63" s="12" t="s">
        <v>85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236">
        <f t="shared" si="5"/>
        <v>0</v>
      </c>
      <c r="Q63" s="227"/>
    </row>
    <row r="64" spans="1:17" s="240" customFormat="1" ht="15.75" x14ac:dyDescent="0.25">
      <c r="A64" s="9"/>
      <c r="B64" s="237" t="s">
        <v>86</v>
      </c>
      <c r="C64" s="238">
        <v>850</v>
      </c>
      <c r="D64" s="238">
        <v>850</v>
      </c>
      <c r="E64" s="238">
        <v>850</v>
      </c>
      <c r="F64" s="238">
        <v>850</v>
      </c>
      <c r="G64" s="238">
        <v>850</v>
      </c>
      <c r="H64" s="238">
        <v>850</v>
      </c>
      <c r="I64" s="238">
        <v>850</v>
      </c>
      <c r="J64" s="238">
        <v>850</v>
      </c>
      <c r="K64" s="238">
        <v>850</v>
      </c>
      <c r="L64" s="238">
        <v>850</v>
      </c>
      <c r="M64" s="238">
        <v>850</v>
      </c>
      <c r="N64" s="238">
        <v>850</v>
      </c>
      <c r="O64" s="239">
        <f t="shared" si="5"/>
        <v>10200</v>
      </c>
      <c r="Q64" s="241"/>
    </row>
    <row r="65" spans="1:17" s="9" customFormat="1" ht="15.75" x14ac:dyDescent="0.25">
      <c r="B65" s="12" t="s">
        <v>87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236">
        <f t="shared" ref="O65" si="17">SUM(C65:N65)</f>
        <v>0</v>
      </c>
      <c r="Q65" s="227"/>
    </row>
    <row r="66" spans="1:17" s="9" customFormat="1" ht="15.75" x14ac:dyDescent="0.25">
      <c r="B66" s="12" t="s">
        <v>88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236">
        <f t="shared" si="5"/>
        <v>0</v>
      </c>
      <c r="Q66" s="227"/>
    </row>
    <row r="67" spans="1:17" s="240" customFormat="1" ht="15.75" x14ac:dyDescent="0.25">
      <c r="A67" s="9"/>
      <c r="B67" s="237" t="s">
        <v>89</v>
      </c>
      <c r="C67" s="238">
        <v>30000</v>
      </c>
      <c r="D67" s="238">
        <v>30000</v>
      </c>
      <c r="E67" s="238">
        <v>30000</v>
      </c>
      <c r="F67" s="238">
        <v>30000</v>
      </c>
      <c r="G67" s="238">
        <v>30000</v>
      </c>
      <c r="H67" s="238">
        <v>30000</v>
      </c>
      <c r="I67" s="238">
        <v>30000</v>
      </c>
      <c r="J67" s="238">
        <v>30000</v>
      </c>
      <c r="K67" s="238">
        <v>30000</v>
      </c>
      <c r="L67" s="238">
        <v>30000</v>
      </c>
      <c r="M67" s="238">
        <v>30000</v>
      </c>
      <c r="N67" s="238">
        <v>30000</v>
      </c>
      <c r="O67" s="239">
        <f t="shared" si="5"/>
        <v>360000</v>
      </c>
      <c r="Q67" s="241"/>
    </row>
    <row r="68" spans="1:17" s="9" customFormat="1" ht="15.75" x14ac:dyDescent="0.25">
      <c r="B68" s="12" t="s">
        <v>90</v>
      </c>
      <c r="C68" s="37">
        <v>0</v>
      </c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236">
        <f>SUM(C68:N68)</f>
        <v>0</v>
      </c>
      <c r="Q68" s="227"/>
    </row>
    <row r="69" spans="1:17" s="9" customFormat="1" ht="15.75" x14ac:dyDescent="0.25">
      <c r="B69" s="12" t="s">
        <v>91</v>
      </c>
      <c r="C69" s="37">
        <v>0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236">
        <f>SUM(C69:N69)</f>
        <v>0</v>
      </c>
      <c r="Q69" s="227"/>
    </row>
    <row r="70" spans="1:17" s="9" customFormat="1" ht="15.75" x14ac:dyDescent="0.25">
      <c r="B70" s="12" t="s">
        <v>92</v>
      </c>
      <c r="C70" s="242">
        <v>500</v>
      </c>
      <c r="D70" s="242">
        <v>500</v>
      </c>
      <c r="E70" s="242">
        <v>500</v>
      </c>
      <c r="F70" s="242">
        <v>500</v>
      </c>
      <c r="G70" s="242">
        <v>500</v>
      </c>
      <c r="H70" s="242">
        <v>500</v>
      </c>
      <c r="I70" s="242">
        <v>500</v>
      </c>
      <c r="J70" s="242">
        <v>500</v>
      </c>
      <c r="K70" s="242">
        <v>500</v>
      </c>
      <c r="L70" s="242">
        <v>500</v>
      </c>
      <c r="M70" s="242">
        <v>500</v>
      </c>
      <c r="N70" s="242">
        <v>500</v>
      </c>
      <c r="O70" s="231">
        <f t="shared" si="5"/>
        <v>6000</v>
      </c>
      <c r="Q70" s="227"/>
    </row>
    <row r="71" spans="1:17" s="9" customFormat="1" ht="15.75" x14ac:dyDescent="0.25">
      <c r="B71" s="12" t="s">
        <v>93</v>
      </c>
      <c r="C71" s="242">
        <v>700</v>
      </c>
      <c r="D71" s="242">
        <v>700</v>
      </c>
      <c r="E71" s="242">
        <v>700</v>
      </c>
      <c r="F71" s="242">
        <v>700</v>
      </c>
      <c r="G71" s="242">
        <v>700</v>
      </c>
      <c r="H71" s="242">
        <v>700</v>
      </c>
      <c r="I71" s="242">
        <v>700</v>
      </c>
      <c r="J71" s="242">
        <v>700</v>
      </c>
      <c r="K71" s="242">
        <v>700</v>
      </c>
      <c r="L71" s="242">
        <v>700</v>
      </c>
      <c r="M71" s="242">
        <v>700</v>
      </c>
      <c r="N71" s="242">
        <v>700</v>
      </c>
      <c r="O71" s="231">
        <f t="shared" si="5"/>
        <v>8400</v>
      </c>
      <c r="Q71" s="227"/>
    </row>
    <row r="72" spans="1:17" s="9" customFormat="1" ht="15.75" x14ac:dyDescent="0.25">
      <c r="B72" s="12" t="s">
        <v>94</v>
      </c>
      <c r="C72" s="37">
        <v>0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236">
        <f t="shared" si="5"/>
        <v>0</v>
      </c>
      <c r="Q72" s="227"/>
    </row>
    <row r="73" spans="1:17" s="9" customFormat="1" ht="15.75" x14ac:dyDescent="0.25">
      <c r="B73" s="12" t="s">
        <v>95</v>
      </c>
      <c r="C73" s="242">
        <v>1000</v>
      </c>
      <c r="D73" s="242">
        <v>1000</v>
      </c>
      <c r="E73" s="242">
        <v>1000</v>
      </c>
      <c r="F73" s="242">
        <v>1000</v>
      </c>
      <c r="G73" s="242">
        <v>1000</v>
      </c>
      <c r="H73" s="242">
        <v>1000</v>
      </c>
      <c r="I73" s="242">
        <v>1000</v>
      </c>
      <c r="J73" s="242">
        <v>1000</v>
      </c>
      <c r="K73" s="242">
        <v>1000</v>
      </c>
      <c r="L73" s="242">
        <v>1000</v>
      </c>
      <c r="M73" s="242">
        <v>1000</v>
      </c>
      <c r="N73" s="242">
        <v>1000</v>
      </c>
      <c r="O73" s="231">
        <f t="shared" si="5"/>
        <v>12000</v>
      </c>
      <c r="Q73" s="227"/>
    </row>
    <row r="74" spans="1:17" s="9" customFormat="1" ht="15.75" x14ac:dyDescent="0.25">
      <c r="B74" s="12" t="s">
        <v>96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236">
        <f t="shared" ref="O74" si="18">SUM(C74:N74)</f>
        <v>0</v>
      </c>
      <c r="Q74" s="227"/>
    </row>
    <row r="75" spans="1:17" s="9" customFormat="1" ht="15.75" x14ac:dyDescent="0.25">
      <c r="B75" s="234" t="s">
        <v>97</v>
      </c>
      <c r="C75" s="38">
        <f t="shared" ref="C75:N75" si="19">SUM(C76:C98)</f>
        <v>13530</v>
      </c>
      <c r="D75" s="38">
        <f t="shared" si="19"/>
        <v>10210</v>
      </c>
      <c r="E75" s="38">
        <f t="shared" si="19"/>
        <v>10330</v>
      </c>
      <c r="F75" s="38">
        <f>SUM(F76:F98)</f>
        <v>12810</v>
      </c>
      <c r="G75" s="38">
        <f>SUM(G76:G98)</f>
        <v>10330</v>
      </c>
      <c r="H75" s="38">
        <f t="shared" si="19"/>
        <v>10210</v>
      </c>
      <c r="I75" s="38">
        <f t="shared" si="19"/>
        <v>11730</v>
      </c>
      <c r="J75" s="38">
        <f t="shared" si="19"/>
        <v>26560</v>
      </c>
      <c r="K75" s="38">
        <f t="shared" si="19"/>
        <v>10720</v>
      </c>
      <c r="L75" s="38">
        <f t="shared" si="19"/>
        <v>12000</v>
      </c>
      <c r="M75" s="38">
        <f t="shared" si="19"/>
        <v>11220</v>
      </c>
      <c r="N75" s="38">
        <f t="shared" si="19"/>
        <v>11100</v>
      </c>
      <c r="O75" s="235">
        <f>SUM(C75:N75)</f>
        <v>150750</v>
      </c>
      <c r="Q75" s="227"/>
    </row>
    <row r="76" spans="1:17" s="9" customFormat="1" ht="15.75" x14ac:dyDescent="0.25">
      <c r="B76" s="12" t="s">
        <v>98</v>
      </c>
      <c r="C76" s="242">
        <v>2150</v>
      </c>
      <c r="D76" s="242">
        <v>2150</v>
      </c>
      <c r="E76" s="242">
        <v>2150</v>
      </c>
      <c r="F76" s="242">
        <v>2150</v>
      </c>
      <c r="G76" s="242">
        <v>2150</v>
      </c>
      <c r="H76" s="242">
        <v>2150</v>
      </c>
      <c r="I76" s="242">
        <v>2150</v>
      </c>
      <c r="J76" s="242">
        <v>2500</v>
      </c>
      <c r="K76" s="242">
        <v>2500</v>
      </c>
      <c r="L76" s="242">
        <v>2500</v>
      </c>
      <c r="M76" s="242">
        <v>2500</v>
      </c>
      <c r="N76" s="242">
        <v>2500</v>
      </c>
      <c r="O76" s="231">
        <f t="shared" ref="O76:O137" si="20">SUM(C76:N76)</f>
        <v>27550</v>
      </c>
      <c r="Q76" s="227"/>
    </row>
    <row r="77" spans="1:17" s="9" customFormat="1" ht="15.75" x14ac:dyDescent="0.25">
      <c r="B77" s="12" t="s">
        <v>99</v>
      </c>
      <c r="C77" s="242">
        <v>0</v>
      </c>
      <c r="D77" s="242">
        <v>450</v>
      </c>
      <c r="E77" s="242">
        <v>450</v>
      </c>
      <c r="F77" s="242">
        <v>450</v>
      </c>
      <c r="G77" s="242">
        <v>450</v>
      </c>
      <c r="H77" s="242">
        <v>450</v>
      </c>
      <c r="I77" s="242">
        <v>450</v>
      </c>
      <c r="J77" s="242">
        <v>450</v>
      </c>
      <c r="K77" s="242">
        <v>450</v>
      </c>
      <c r="L77" s="242">
        <v>450</v>
      </c>
      <c r="M77" s="242">
        <v>450</v>
      </c>
      <c r="N77" s="242">
        <v>450</v>
      </c>
      <c r="O77" s="231">
        <f t="shared" si="20"/>
        <v>4950</v>
      </c>
      <c r="Q77" s="227"/>
    </row>
    <row r="78" spans="1:17" s="9" customFormat="1" ht="15.75" x14ac:dyDescent="0.25">
      <c r="B78" s="12" t="s">
        <v>100</v>
      </c>
      <c r="C78" s="242">
        <v>350</v>
      </c>
      <c r="D78" s="242">
        <v>350</v>
      </c>
      <c r="E78" s="242">
        <v>350</v>
      </c>
      <c r="F78" s="242">
        <v>350</v>
      </c>
      <c r="G78" s="242">
        <v>350</v>
      </c>
      <c r="H78" s="242">
        <v>350</v>
      </c>
      <c r="I78" s="242">
        <v>350</v>
      </c>
      <c r="J78" s="242">
        <v>350</v>
      </c>
      <c r="K78" s="242">
        <v>350</v>
      </c>
      <c r="L78" s="242">
        <v>350</v>
      </c>
      <c r="M78" s="242">
        <v>350</v>
      </c>
      <c r="N78" s="242">
        <v>350</v>
      </c>
      <c r="O78" s="231">
        <f t="shared" si="20"/>
        <v>4200</v>
      </c>
      <c r="Q78" s="227"/>
    </row>
    <row r="79" spans="1:17" s="9" customFormat="1" ht="15.75" x14ac:dyDescent="0.25">
      <c r="B79" s="12" t="s">
        <v>101</v>
      </c>
      <c r="C79" s="242">
        <v>1100</v>
      </c>
      <c r="D79" s="242">
        <v>1100</v>
      </c>
      <c r="E79" s="242">
        <v>1100</v>
      </c>
      <c r="F79" s="242">
        <v>1100</v>
      </c>
      <c r="G79" s="242">
        <v>1100</v>
      </c>
      <c r="H79" s="242">
        <v>1100</v>
      </c>
      <c r="I79" s="242">
        <v>1100</v>
      </c>
      <c r="J79" s="242">
        <v>1100</v>
      </c>
      <c r="K79" s="242">
        <v>1100</v>
      </c>
      <c r="L79" s="242">
        <v>1100</v>
      </c>
      <c r="M79" s="242">
        <v>1100</v>
      </c>
      <c r="N79" s="242">
        <v>1100</v>
      </c>
      <c r="O79" s="231">
        <f t="shared" si="20"/>
        <v>13200</v>
      </c>
      <c r="Q79" s="227"/>
    </row>
    <row r="80" spans="1:17" s="9" customFormat="1" ht="15.75" x14ac:dyDescent="0.25">
      <c r="B80" s="12" t="s">
        <v>102</v>
      </c>
      <c r="C80" s="242">
        <v>400</v>
      </c>
      <c r="D80" s="242">
        <v>400</v>
      </c>
      <c r="E80" s="242">
        <v>400</v>
      </c>
      <c r="F80" s="242">
        <v>400</v>
      </c>
      <c r="G80" s="242">
        <v>400</v>
      </c>
      <c r="H80" s="242">
        <v>400</v>
      </c>
      <c r="I80" s="242">
        <v>400</v>
      </c>
      <c r="J80" s="242">
        <v>400</v>
      </c>
      <c r="K80" s="242">
        <v>400</v>
      </c>
      <c r="L80" s="242">
        <v>400</v>
      </c>
      <c r="M80" s="242">
        <v>400</v>
      </c>
      <c r="N80" s="242">
        <v>400</v>
      </c>
      <c r="O80" s="231">
        <f t="shared" si="20"/>
        <v>4800</v>
      </c>
      <c r="Q80" s="227"/>
    </row>
    <row r="81" spans="2:17" s="9" customFormat="1" ht="15.75" x14ac:dyDescent="0.25">
      <c r="B81" s="12" t="s">
        <v>103</v>
      </c>
      <c r="C81" s="242">
        <v>400</v>
      </c>
      <c r="D81" s="242">
        <v>0</v>
      </c>
      <c r="E81" s="242"/>
      <c r="F81" s="242">
        <v>400</v>
      </c>
      <c r="G81" s="242">
        <v>0</v>
      </c>
      <c r="H81" s="242">
        <v>0</v>
      </c>
      <c r="I81" s="242">
        <v>400</v>
      </c>
      <c r="J81" s="242">
        <v>0</v>
      </c>
      <c r="K81" s="242">
        <v>0</v>
      </c>
      <c r="L81" s="242">
        <v>400</v>
      </c>
      <c r="M81" s="242">
        <v>0</v>
      </c>
      <c r="N81" s="242">
        <v>0</v>
      </c>
      <c r="O81" s="231">
        <f t="shared" si="20"/>
        <v>1600</v>
      </c>
      <c r="Q81" s="227"/>
    </row>
    <row r="82" spans="2:17" s="9" customFormat="1" ht="15.75" x14ac:dyDescent="0.25">
      <c r="B82" s="12" t="s">
        <v>104</v>
      </c>
      <c r="C82" s="242">
        <v>120</v>
      </c>
      <c r="D82" s="242">
        <v>0</v>
      </c>
      <c r="E82" s="242">
        <v>120</v>
      </c>
      <c r="F82" s="242">
        <v>0</v>
      </c>
      <c r="G82" s="242">
        <v>120</v>
      </c>
      <c r="H82" s="242">
        <v>0</v>
      </c>
      <c r="I82" s="242">
        <v>120</v>
      </c>
      <c r="J82" s="242">
        <v>0</v>
      </c>
      <c r="K82" s="242">
        <v>120</v>
      </c>
      <c r="L82" s="242">
        <v>0</v>
      </c>
      <c r="M82" s="242">
        <v>120</v>
      </c>
      <c r="N82" s="242">
        <v>0</v>
      </c>
      <c r="O82" s="231">
        <f t="shared" si="20"/>
        <v>720</v>
      </c>
      <c r="Q82" s="227"/>
    </row>
    <row r="83" spans="2:17" s="9" customFormat="1" ht="15.75" x14ac:dyDescent="0.25">
      <c r="B83" s="12" t="s">
        <v>105</v>
      </c>
      <c r="C83" s="242">
        <v>2500</v>
      </c>
      <c r="D83" s="242">
        <v>0</v>
      </c>
      <c r="E83" s="242">
        <v>0</v>
      </c>
      <c r="F83" s="242">
        <v>0</v>
      </c>
      <c r="G83" s="242">
        <v>0</v>
      </c>
      <c r="H83" s="242">
        <v>0</v>
      </c>
      <c r="I83" s="242">
        <v>0</v>
      </c>
      <c r="J83" s="242">
        <v>16000</v>
      </c>
      <c r="K83" s="242">
        <v>0</v>
      </c>
      <c r="L83" s="242">
        <v>0</v>
      </c>
      <c r="M83" s="242">
        <v>0</v>
      </c>
      <c r="N83" s="242">
        <v>0</v>
      </c>
      <c r="O83" s="231">
        <f t="shared" si="20"/>
        <v>18500</v>
      </c>
      <c r="Q83" s="227"/>
    </row>
    <row r="84" spans="2:17" s="9" customFormat="1" ht="15.75" x14ac:dyDescent="0.25">
      <c r="B84" s="12" t="s">
        <v>106</v>
      </c>
      <c r="C84" s="242">
        <v>0</v>
      </c>
      <c r="D84" s="242">
        <v>0</v>
      </c>
      <c r="E84" s="242">
        <v>0</v>
      </c>
      <c r="F84" s="242">
        <v>1200</v>
      </c>
      <c r="G84" s="242">
        <v>0</v>
      </c>
      <c r="H84" s="242">
        <v>0</v>
      </c>
      <c r="I84" s="242">
        <v>0</v>
      </c>
      <c r="J84" s="242">
        <v>0</v>
      </c>
      <c r="K84" s="242">
        <v>0</v>
      </c>
      <c r="L84" s="242">
        <v>0</v>
      </c>
      <c r="M84" s="242">
        <v>0</v>
      </c>
      <c r="N84" s="242">
        <v>0</v>
      </c>
      <c r="O84" s="231">
        <f t="shared" si="20"/>
        <v>1200</v>
      </c>
      <c r="Q84" s="227"/>
    </row>
    <row r="85" spans="2:17" s="9" customFormat="1" ht="15.75" x14ac:dyDescent="0.25">
      <c r="B85" s="12" t="s">
        <v>107</v>
      </c>
      <c r="C85" s="242">
        <v>500</v>
      </c>
      <c r="D85" s="242">
        <v>500</v>
      </c>
      <c r="E85" s="242">
        <v>500</v>
      </c>
      <c r="F85" s="242">
        <v>500</v>
      </c>
      <c r="G85" s="242">
        <v>500</v>
      </c>
      <c r="H85" s="242">
        <v>500</v>
      </c>
      <c r="I85" s="242">
        <v>500</v>
      </c>
      <c r="J85" s="242">
        <v>500</v>
      </c>
      <c r="K85" s="242">
        <v>500</v>
      </c>
      <c r="L85" s="242">
        <v>500</v>
      </c>
      <c r="M85" s="242">
        <v>1000</v>
      </c>
      <c r="N85" s="242">
        <v>1000</v>
      </c>
      <c r="O85" s="231">
        <f t="shared" si="20"/>
        <v>7000</v>
      </c>
      <c r="Q85" s="227"/>
    </row>
    <row r="86" spans="2:17" s="9" customFormat="1" ht="15.75" x14ac:dyDescent="0.25">
      <c r="B86" s="12" t="s">
        <v>108</v>
      </c>
      <c r="C86" s="242">
        <v>2500</v>
      </c>
      <c r="D86" s="242">
        <v>2500</v>
      </c>
      <c r="E86" s="242">
        <v>2500</v>
      </c>
      <c r="F86" s="242">
        <v>2500</v>
      </c>
      <c r="G86" s="242">
        <v>2500</v>
      </c>
      <c r="H86" s="242">
        <v>2500</v>
      </c>
      <c r="I86" s="242">
        <v>2500</v>
      </c>
      <c r="J86" s="242">
        <v>2500</v>
      </c>
      <c r="K86" s="242">
        <v>2500</v>
      </c>
      <c r="L86" s="242">
        <v>2500</v>
      </c>
      <c r="M86" s="242">
        <v>2500</v>
      </c>
      <c r="N86" s="242">
        <v>2500</v>
      </c>
      <c r="O86" s="231">
        <f t="shared" si="20"/>
        <v>30000</v>
      </c>
      <c r="Q86" s="227"/>
    </row>
    <row r="87" spans="2:17" s="9" customFormat="1" ht="15.75" x14ac:dyDescent="0.25">
      <c r="B87" s="12" t="s">
        <v>109</v>
      </c>
      <c r="C87" s="37">
        <v>0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236">
        <f t="shared" si="20"/>
        <v>0</v>
      </c>
      <c r="Q87" s="227"/>
    </row>
    <row r="88" spans="2:17" s="9" customFormat="1" ht="15.75" x14ac:dyDescent="0.25">
      <c r="B88" s="12" t="s">
        <v>110</v>
      </c>
      <c r="C88" s="242">
        <v>1000</v>
      </c>
      <c r="D88" s="242">
        <v>0</v>
      </c>
      <c r="E88" s="242">
        <v>0</v>
      </c>
      <c r="F88" s="242">
        <v>1000</v>
      </c>
      <c r="G88" s="242">
        <v>0</v>
      </c>
      <c r="H88" s="242">
        <v>0</v>
      </c>
      <c r="I88" s="242">
        <v>1000</v>
      </c>
      <c r="J88" s="242">
        <v>0</v>
      </c>
      <c r="K88" s="242">
        <v>0</v>
      </c>
      <c r="L88" s="242">
        <v>1000</v>
      </c>
      <c r="M88" s="242">
        <v>0</v>
      </c>
      <c r="N88" s="242">
        <v>0</v>
      </c>
      <c r="O88" s="231">
        <f t="shared" si="20"/>
        <v>4000</v>
      </c>
      <c r="Q88" s="227"/>
    </row>
    <row r="89" spans="2:17" s="9" customFormat="1" ht="15.75" x14ac:dyDescent="0.25">
      <c r="B89" s="12" t="s">
        <v>111</v>
      </c>
      <c r="C89" s="242">
        <v>300</v>
      </c>
      <c r="D89" s="242">
        <v>300</v>
      </c>
      <c r="E89" s="242">
        <v>300</v>
      </c>
      <c r="F89" s="242">
        <v>300</v>
      </c>
      <c r="G89" s="242">
        <v>300</v>
      </c>
      <c r="H89" s="242">
        <v>300</v>
      </c>
      <c r="I89" s="242">
        <v>300</v>
      </c>
      <c r="J89" s="242">
        <v>300</v>
      </c>
      <c r="K89" s="242">
        <v>300</v>
      </c>
      <c r="L89" s="242">
        <v>300</v>
      </c>
      <c r="M89" s="242">
        <v>300</v>
      </c>
      <c r="N89" s="242">
        <v>300</v>
      </c>
      <c r="O89" s="231">
        <f t="shared" si="20"/>
        <v>3600</v>
      </c>
      <c r="Q89" s="227"/>
    </row>
    <row r="90" spans="2:17" s="9" customFormat="1" ht="15.75" x14ac:dyDescent="0.25">
      <c r="B90" s="12" t="s">
        <v>112</v>
      </c>
      <c r="C90" s="242">
        <v>160</v>
      </c>
      <c r="D90" s="242">
        <v>160</v>
      </c>
      <c r="E90" s="242">
        <v>160</v>
      </c>
      <c r="F90" s="242">
        <v>160</v>
      </c>
      <c r="G90" s="242">
        <v>160</v>
      </c>
      <c r="H90" s="242">
        <v>160</v>
      </c>
      <c r="I90" s="242">
        <v>160</v>
      </c>
      <c r="J90" s="242">
        <v>160</v>
      </c>
      <c r="K90" s="242">
        <v>200</v>
      </c>
      <c r="L90" s="242">
        <v>200</v>
      </c>
      <c r="M90" s="242">
        <v>200</v>
      </c>
      <c r="N90" s="242">
        <v>200</v>
      </c>
      <c r="O90" s="231">
        <f t="shared" si="20"/>
        <v>2080</v>
      </c>
      <c r="Q90" s="227"/>
    </row>
    <row r="91" spans="2:17" s="9" customFormat="1" ht="15.75" x14ac:dyDescent="0.25">
      <c r="B91" s="12" t="s">
        <v>113</v>
      </c>
      <c r="C91" s="242">
        <v>0</v>
      </c>
      <c r="D91" s="242">
        <v>50</v>
      </c>
      <c r="E91" s="242">
        <v>50</v>
      </c>
      <c r="F91" s="242">
        <v>50</v>
      </c>
      <c r="G91" s="242">
        <v>50</v>
      </c>
      <c r="H91" s="242">
        <v>50</v>
      </c>
      <c r="I91" s="242">
        <v>50</v>
      </c>
      <c r="J91" s="242">
        <v>50</v>
      </c>
      <c r="K91" s="242">
        <v>50</v>
      </c>
      <c r="L91" s="242">
        <v>50</v>
      </c>
      <c r="M91" s="242">
        <v>50</v>
      </c>
      <c r="N91" s="242">
        <v>50</v>
      </c>
      <c r="O91" s="231">
        <f t="shared" si="20"/>
        <v>550</v>
      </c>
      <c r="Q91" s="227"/>
    </row>
    <row r="92" spans="2:17" s="9" customFormat="1" ht="15.75" x14ac:dyDescent="0.25">
      <c r="B92" s="12" t="s">
        <v>114</v>
      </c>
      <c r="C92" s="242">
        <v>0</v>
      </c>
      <c r="D92" s="242">
        <v>50</v>
      </c>
      <c r="E92" s="242">
        <v>50</v>
      </c>
      <c r="F92" s="242">
        <v>50</v>
      </c>
      <c r="G92" s="242">
        <v>50</v>
      </c>
      <c r="H92" s="242">
        <v>50</v>
      </c>
      <c r="I92" s="242">
        <v>50</v>
      </c>
      <c r="J92" s="242">
        <v>50</v>
      </c>
      <c r="K92" s="242">
        <v>50</v>
      </c>
      <c r="L92" s="242">
        <v>50</v>
      </c>
      <c r="M92" s="242">
        <v>50</v>
      </c>
      <c r="N92" s="242">
        <v>50</v>
      </c>
      <c r="O92" s="231">
        <f t="shared" si="20"/>
        <v>550</v>
      </c>
      <c r="Q92" s="227"/>
    </row>
    <row r="93" spans="2:17" s="9" customFormat="1" ht="15.75" x14ac:dyDescent="0.25">
      <c r="B93" s="12" t="s">
        <v>115</v>
      </c>
      <c r="C93" s="242">
        <v>0</v>
      </c>
      <c r="D93" s="242">
        <v>150</v>
      </c>
      <c r="E93" s="242">
        <v>150</v>
      </c>
      <c r="F93" s="242">
        <v>150</v>
      </c>
      <c r="G93" s="242">
        <v>150</v>
      </c>
      <c r="H93" s="242">
        <v>150</v>
      </c>
      <c r="I93" s="242">
        <v>150</v>
      </c>
      <c r="J93" s="242">
        <v>150</v>
      </c>
      <c r="K93" s="242">
        <v>150</v>
      </c>
      <c r="L93" s="242">
        <v>150</v>
      </c>
      <c r="M93" s="242">
        <v>150</v>
      </c>
      <c r="N93" s="242">
        <v>150</v>
      </c>
      <c r="O93" s="231">
        <f t="shared" si="20"/>
        <v>1650</v>
      </c>
      <c r="Q93" s="227"/>
    </row>
    <row r="94" spans="2:17" s="240" customFormat="1" ht="15.75" x14ac:dyDescent="0.25">
      <c r="B94" s="237" t="s">
        <v>116</v>
      </c>
      <c r="C94" s="238">
        <v>750</v>
      </c>
      <c r="D94" s="238">
        <v>750</v>
      </c>
      <c r="E94" s="238">
        <v>750</v>
      </c>
      <c r="F94" s="238">
        <v>750</v>
      </c>
      <c r="G94" s="238">
        <v>750</v>
      </c>
      <c r="H94" s="238">
        <v>750</v>
      </c>
      <c r="I94" s="238">
        <v>750</v>
      </c>
      <c r="J94" s="238">
        <v>750</v>
      </c>
      <c r="K94" s="238">
        <v>750</v>
      </c>
      <c r="L94" s="238">
        <v>750</v>
      </c>
      <c r="M94" s="238">
        <v>750</v>
      </c>
      <c r="N94" s="238">
        <v>750</v>
      </c>
      <c r="O94" s="239">
        <f t="shared" si="20"/>
        <v>9000</v>
      </c>
      <c r="Q94" s="241"/>
    </row>
    <row r="95" spans="2:17" s="9" customFormat="1" ht="15.75" x14ac:dyDescent="0.25">
      <c r="B95" s="12" t="s">
        <v>117</v>
      </c>
      <c r="C95" s="37">
        <v>0</v>
      </c>
      <c r="D95" s="37">
        <v>0</v>
      </c>
      <c r="E95" s="37">
        <v>0</v>
      </c>
      <c r="F95" s="37">
        <v>0</v>
      </c>
      <c r="G95" s="37">
        <v>0</v>
      </c>
      <c r="H95" s="37">
        <v>0</v>
      </c>
      <c r="I95" s="37">
        <v>0</v>
      </c>
      <c r="J95" s="37">
        <v>0</v>
      </c>
      <c r="K95" s="37">
        <v>0</v>
      </c>
      <c r="L95" s="37">
        <v>0</v>
      </c>
      <c r="M95" s="37">
        <v>0</v>
      </c>
      <c r="N95" s="37">
        <v>0</v>
      </c>
      <c r="O95" s="236">
        <f t="shared" si="20"/>
        <v>0</v>
      </c>
      <c r="Q95" s="227"/>
    </row>
    <row r="96" spans="2:17" s="9" customFormat="1" ht="15.75" x14ac:dyDescent="0.25">
      <c r="B96" s="12" t="s">
        <v>118</v>
      </c>
      <c r="C96" s="37">
        <v>0</v>
      </c>
      <c r="D96" s="37">
        <v>0</v>
      </c>
      <c r="E96" s="37">
        <v>0</v>
      </c>
      <c r="F96" s="37">
        <v>0</v>
      </c>
      <c r="G96" s="37">
        <v>0</v>
      </c>
      <c r="H96" s="37">
        <v>0</v>
      </c>
      <c r="I96" s="37">
        <v>0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236">
        <f t="shared" si="20"/>
        <v>0</v>
      </c>
      <c r="Q96" s="227"/>
    </row>
    <row r="97" spans="2:17" s="9" customFormat="1" ht="15.75" x14ac:dyDescent="0.25">
      <c r="B97" s="12" t="s">
        <v>119</v>
      </c>
      <c r="C97" s="242">
        <v>100</v>
      </c>
      <c r="D97" s="242">
        <v>100</v>
      </c>
      <c r="E97" s="242">
        <v>100</v>
      </c>
      <c r="F97" s="242">
        <v>100</v>
      </c>
      <c r="G97" s="242">
        <v>100</v>
      </c>
      <c r="H97" s="242">
        <v>100</v>
      </c>
      <c r="I97" s="242">
        <v>100</v>
      </c>
      <c r="J97" s="242">
        <v>100</v>
      </c>
      <c r="K97" s="242">
        <v>100</v>
      </c>
      <c r="L97" s="242">
        <v>100</v>
      </c>
      <c r="M97" s="242">
        <v>100</v>
      </c>
      <c r="N97" s="242">
        <v>100</v>
      </c>
      <c r="O97" s="231">
        <f t="shared" si="20"/>
        <v>1200</v>
      </c>
      <c r="Q97" s="227"/>
    </row>
    <row r="98" spans="2:17" s="9" customFormat="1" ht="15.75" x14ac:dyDescent="0.25">
      <c r="B98" s="12" t="s">
        <v>120</v>
      </c>
      <c r="C98" s="242">
        <v>1200</v>
      </c>
      <c r="D98" s="242">
        <v>1200</v>
      </c>
      <c r="E98" s="242">
        <v>1200</v>
      </c>
      <c r="F98" s="242">
        <v>1200</v>
      </c>
      <c r="G98" s="242">
        <v>1200</v>
      </c>
      <c r="H98" s="242">
        <v>1200</v>
      </c>
      <c r="I98" s="242">
        <v>1200</v>
      </c>
      <c r="J98" s="242">
        <v>1200</v>
      </c>
      <c r="K98" s="242">
        <v>1200</v>
      </c>
      <c r="L98" s="242">
        <v>1200</v>
      </c>
      <c r="M98" s="242">
        <v>1200</v>
      </c>
      <c r="N98" s="242">
        <v>1200</v>
      </c>
      <c r="O98" s="231">
        <f t="shared" si="20"/>
        <v>14400</v>
      </c>
      <c r="Q98" s="227"/>
    </row>
    <row r="99" spans="2:17" s="9" customFormat="1" ht="15.75" x14ac:dyDescent="0.25">
      <c r="B99" s="234" t="s">
        <v>121</v>
      </c>
      <c r="C99" s="38">
        <f>SUM(C100:C104)</f>
        <v>150</v>
      </c>
      <c r="D99" s="38">
        <f t="shared" ref="D99:N99" si="21">SUM(D100:D104)</f>
        <v>150</v>
      </c>
      <c r="E99" s="38">
        <f t="shared" si="21"/>
        <v>150</v>
      </c>
      <c r="F99" s="38">
        <f t="shared" si="21"/>
        <v>150</v>
      </c>
      <c r="G99" s="38">
        <f t="shared" si="21"/>
        <v>150</v>
      </c>
      <c r="H99" s="38">
        <f t="shared" si="21"/>
        <v>150</v>
      </c>
      <c r="I99" s="38">
        <f t="shared" si="21"/>
        <v>150</v>
      </c>
      <c r="J99" s="38">
        <f t="shared" si="21"/>
        <v>150</v>
      </c>
      <c r="K99" s="38">
        <f t="shared" si="21"/>
        <v>150</v>
      </c>
      <c r="L99" s="38">
        <f t="shared" si="21"/>
        <v>150</v>
      </c>
      <c r="M99" s="38">
        <f t="shared" si="21"/>
        <v>150</v>
      </c>
      <c r="N99" s="38">
        <f t="shared" si="21"/>
        <v>150</v>
      </c>
      <c r="O99" s="235">
        <f>SUM(C99:N99)</f>
        <v>1800</v>
      </c>
      <c r="Q99" s="227"/>
    </row>
    <row r="100" spans="2:17" s="9" customFormat="1" ht="15.75" x14ac:dyDescent="0.25">
      <c r="B100" s="36" t="s">
        <v>122</v>
      </c>
      <c r="C100" s="37">
        <v>0</v>
      </c>
      <c r="D100" s="37">
        <v>0</v>
      </c>
      <c r="E100" s="37">
        <v>0</v>
      </c>
      <c r="F100" s="37">
        <v>0</v>
      </c>
      <c r="G100" s="37">
        <v>0</v>
      </c>
      <c r="H100" s="37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236">
        <f t="shared" si="20"/>
        <v>0</v>
      </c>
      <c r="Q100" s="227"/>
    </row>
    <row r="101" spans="2:17" s="9" customFormat="1" ht="15.75" x14ac:dyDescent="0.25">
      <c r="B101" s="36" t="s">
        <v>123</v>
      </c>
      <c r="C101" s="37">
        <v>0</v>
      </c>
      <c r="D101" s="37">
        <v>0</v>
      </c>
      <c r="E101" s="37">
        <v>0</v>
      </c>
      <c r="F101" s="37">
        <v>0</v>
      </c>
      <c r="G101" s="37">
        <v>0</v>
      </c>
      <c r="H101" s="37">
        <v>0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236">
        <f t="shared" si="20"/>
        <v>0</v>
      </c>
      <c r="Q101" s="227"/>
    </row>
    <row r="102" spans="2:17" s="9" customFormat="1" ht="15.75" x14ac:dyDescent="0.25">
      <c r="B102" s="36" t="s">
        <v>124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>
        <v>0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236">
        <f t="shared" si="20"/>
        <v>0</v>
      </c>
      <c r="Q102" s="227"/>
    </row>
    <row r="103" spans="2:17" s="9" customFormat="1" ht="15.75" x14ac:dyDescent="0.25">
      <c r="B103" s="12" t="s">
        <v>125</v>
      </c>
      <c r="C103" s="242">
        <v>150</v>
      </c>
      <c r="D103" s="242">
        <v>150</v>
      </c>
      <c r="E103" s="242">
        <v>150</v>
      </c>
      <c r="F103" s="242">
        <v>150</v>
      </c>
      <c r="G103" s="242">
        <v>150</v>
      </c>
      <c r="H103" s="242">
        <v>150</v>
      </c>
      <c r="I103" s="242">
        <v>150</v>
      </c>
      <c r="J103" s="242">
        <v>150</v>
      </c>
      <c r="K103" s="242">
        <v>150</v>
      </c>
      <c r="L103" s="242">
        <v>150</v>
      </c>
      <c r="M103" s="242">
        <v>150</v>
      </c>
      <c r="N103" s="242">
        <v>150</v>
      </c>
      <c r="O103" s="231">
        <f t="shared" si="20"/>
        <v>1800</v>
      </c>
      <c r="Q103" s="227"/>
    </row>
    <row r="104" spans="2:17" s="9" customFormat="1" ht="15.75" x14ac:dyDescent="0.25">
      <c r="B104" s="12" t="s">
        <v>126</v>
      </c>
      <c r="C104" s="37">
        <v>0</v>
      </c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231">
        <f t="shared" si="20"/>
        <v>0</v>
      </c>
      <c r="Q104" s="227"/>
    </row>
    <row r="105" spans="2:17" s="9" customFormat="1" ht="15.75" x14ac:dyDescent="0.25">
      <c r="B105" s="234" t="s">
        <v>127</v>
      </c>
      <c r="C105" s="38">
        <f>SUM(C106:C115)</f>
        <v>100</v>
      </c>
      <c r="D105" s="38">
        <f t="shared" ref="D105:N105" si="22">SUM(D106:D115)</f>
        <v>100</v>
      </c>
      <c r="E105" s="38">
        <f t="shared" si="22"/>
        <v>2000</v>
      </c>
      <c r="F105" s="38">
        <f t="shared" si="22"/>
        <v>100</v>
      </c>
      <c r="G105" s="38">
        <f t="shared" si="22"/>
        <v>100</v>
      </c>
      <c r="H105" s="38">
        <f t="shared" si="22"/>
        <v>100</v>
      </c>
      <c r="I105" s="38">
        <f t="shared" si="22"/>
        <v>100</v>
      </c>
      <c r="J105" s="38">
        <f t="shared" si="22"/>
        <v>100</v>
      </c>
      <c r="K105" s="38">
        <f t="shared" si="22"/>
        <v>100</v>
      </c>
      <c r="L105" s="38">
        <f t="shared" si="22"/>
        <v>300</v>
      </c>
      <c r="M105" s="38">
        <f t="shared" si="22"/>
        <v>100</v>
      </c>
      <c r="N105" s="38">
        <f t="shared" si="22"/>
        <v>100</v>
      </c>
      <c r="O105" s="235">
        <f t="shared" si="20"/>
        <v>3300</v>
      </c>
      <c r="Q105" s="227"/>
    </row>
    <row r="106" spans="2:17" s="9" customFormat="1" ht="15.75" x14ac:dyDescent="0.25">
      <c r="B106" s="12" t="s">
        <v>128</v>
      </c>
      <c r="C106" s="37">
        <v>0</v>
      </c>
      <c r="D106" s="37">
        <v>0</v>
      </c>
      <c r="E106" s="37">
        <v>0</v>
      </c>
      <c r="F106" s="37">
        <v>0</v>
      </c>
      <c r="G106" s="37">
        <v>0</v>
      </c>
      <c r="H106" s="37">
        <v>0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236">
        <f t="shared" si="20"/>
        <v>0</v>
      </c>
      <c r="Q106" s="227"/>
    </row>
    <row r="107" spans="2:17" s="9" customFormat="1" ht="15.75" x14ac:dyDescent="0.25">
      <c r="B107" s="12" t="s">
        <v>129</v>
      </c>
      <c r="C107" s="37">
        <v>0</v>
      </c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0</v>
      </c>
      <c r="J107" s="37">
        <v>0</v>
      </c>
      <c r="K107" s="37">
        <v>0</v>
      </c>
      <c r="L107" s="37">
        <v>0</v>
      </c>
      <c r="M107" s="37">
        <v>0</v>
      </c>
      <c r="N107" s="37">
        <v>0</v>
      </c>
      <c r="O107" s="236">
        <f t="shared" si="20"/>
        <v>0</v>
      </c>
      <c r="Q107" s="227"/>
    </row>
    <row r="108" spans="2:17" s="9" customFormat="1" ht="15.75" x14ac:dyDescent="0.25">
      <c r="B108" s="12" t="s">
        <v>130</v>
      </c>
      <c r="C108" s="37">
        <v>0</v>
      </c>
      <c r="D108" s="37">
        <v>0</v>
      </c>
      <c r="E108" s="37">
        <v>0</v>
      </c>
      <c r="F108" s="37">
        <v>0</v>
      </c>
      <c r="G108" s="37">
        <v>0</v>
      </c>
      <c r="H108" s="37">
        <v>0</v>
      </c>
      <c r="I108" s="37">
        <v>0</v>
      </c>
      <c r="J108" s="37">
        <v>0</v>
      </c>
      <c r="K108" s="37">
        <v>0</v>
      </c>
      <c r="L108" s="37">
        <v>0</v>
      </c>
      <c r="M108" s="37">
        <v>0</v>
      </c>
      <c r="N108" s="37">
        <v>0</v>
      </c>
      <c r="O108" s="236">
        <f t="shared" si="20"/>
        <v>0</v>
      </c>
      <c r="Q108" s="227"/>
    </row>
    <row r="109" spans="2:17" s="9" customFormat="1" ht="15.75" x14ac:dyDescent="0.25">
      <c r="B109" s="12" t="s">
        <v>131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236">
        <f t="shared" si="20"/>
        <v>0</v>
      </c>
      <c r="Q109" s="227"/>
    </row>
    <row r="110" spans="2:17" s="9" customFormat="1" ht="15.75" x14ac:dyDescent="0.25">
      <c r="B110" s="12" t="s">
        <v>132</v>
      </c>
      <c r="C110" s="37">
        <v>0</v>
      </c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0</v>
      </c>
      <c r="J110" s="37">
        <v>0</v>
      </c>
      <c r="K110" s="37">
        <v>0</v>
      </c>
      <c r="L110" s="37">
        <v>0</v>
      </c>
      <c r="M110" s="37">
        <v>0</v>
      </c>
      <c r="N110" s="37">
        <v>0</v>
      </c>
      <c r="O110" s="236">
        <f t="shared" si="20"/>
        <v>0</v>
      </c>
      <c r="Q110" s="227"/>
    </row>
    <row r="111" spans="2:17" s="9" customFormat="1" ht="15.75" x14ac:dyDescent="0.25">
      <c r="B111" s="12" t="s">
        <v>133</v>
      </c>
      <c r="C111" s="37">
        <v>0</v>
      </c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0</v>
      </c>
      <c r="J111" s="37">
        <v>0</v>
      </c>
      <c r="K111" s="37">
        <v>0</v>
      </c>
      <c r="L111" s="37">
        <v>0</v>
      </c>
      <c r="M111" s="37">
        <v>0</v>
      </c>
      <c r="N111" s="37">
        <v>0</v>
      </c>
      <c r="O111" s="236">
        <f t="shared" si="20"/>
        <v>0</v>
      </c>
      <c r="Q111" s="227"/>
    </row>
    <row r="112" spans="2:17" s="9" customFormat="1" ht="15.75" x14ac:dyDescent="0.25">
      <c r="B112" s="12" t="s">
        <v>134</v>
      </c>
      <c r="C112" s="37">
        <v>0</v>
      </c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236">
        <f t="shared" si="20"/>
        <v>0</v>
      </c>
      <c r="Q112" s="227"/>
    </row>
    <row r="113" spans="1:17" s="240" customFormat="1" ht="15.75" x14ac:dyDescent="0.25">
      <c r="A113" s="9"/>
      <c r="B113" s="12" t="s">
        <v>135</v>
      </c>
      <c r="C113" s="37">
        <v>0</v>
      </c>
      <c r="D113" s="37">
        <v>0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236">
        <f t="shared" si="20"/>
        <v>0</v>
      </c>
      <c r="Q113" s="241"/>
    </row>
    <row r="114" spans="1:17" s="9" customFormat="1" ht="15.75" x14ac:dyDescent="0.25">
      <c r="B114" s="12" t="s">
        <v>136</v>
      </c>
      <c r="C114" s="242">
        <v>100</v>
      </c>
      <c r="D114" s="242">
        <v>100</v>
      </c>
      <c r="E114" s="242">
        <v>2000</v>
      </c>
      <c r="F114" s="242">
        <v>100</v>
      </c>
      <c r="G114" s="242">
        <v>100</v>
      </c>
      <c r="H114" s="242">
        <v>100</v>
      </c>
      <c r="I114" s="242">
        <v>100</v>
      </c>
      <c r="J114" s="242">
        <v>100</v>
      </c>
      <c r="K114" s="242">
        <v>100</v>
      </c>
      <c r="L114" s="242">
        <v>300</v>
      </c>
      <c r="M114" s="242">
        <v>100</v>
      </c>
      <c r="N114" s="242">
        <v>100</v>
      </c>
      <c r="O114" s="231">
        <f t="shared" si="20"/>
        <v>3300</v>
      </c>
      <c r="Q114" s="227"/>
    </row>
    <row r="115" spans="1:17" s="9" customFormat="1" ht="15.75" x14ac:dyDescent="0.25">
      <c r="B115" s="12" t="s">
        <v>137</v>
      </c>
      <c r="C115" s="37">
        <v>0</v>
      </c>
      <c r="D115" s="37">
        <v>0</v>
      </c>
      <c r="E115" s="37">
        <v>0</v>
      </c>
      <c r="F115" s="37">
        <v>0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236">
        <f t="shared" si="20"/>
        <v>0</v>
      </c>
      <c r="Q115" s="227"/>
    </row>
    <row r="116" spans="1:17" s="9" customFormat="1" ht="15.75" x14ac:dyDescent="0.25">
      <c r="B116" s="234" t="s">
        <v>138</v>
      </c>
      <c r="C116" s="16">
        <f>SUM(C117:C119)</f>
        <v>750</v>
      </c>
      <c r="D116" s="16">
        <f t="shared" ref="D116:N116" si="23">SUM(D117:D119)</f>
        <v>750</v>
      </c>
      <c r="E116" s="16">
        <f t="shared" si="23"/>
        <v>750</v>
      </c>
      <c r="F116" s="16">
        <f t="shared" si="23"/>
        <v>750</v>
      </c>
      <c r="G116" s="16">
        <f t="shared" si="23"/>
        <v>750</v>
      </c>
      <c r="H116" s="16">
        <f t="shared" si="23"/>
        <v>750</v>
      </c>
      <c r="I116" s="16">
        <f t="shared" si="23"/>
        <v>750</v>
      </c>
      <c r="J116" s="16">
        <f t="shared" si="23"/>
        <v>750</v>
      </c>
      <c r="K116" s="16">
        <f t="shared" si="23"/>
        <v>750</v>
      </c>
      <c r="L116" s="16">
        <f t="shared" si="23"/>
        <v>750</v>
      </c>
      <c r="M116" s="16">
        <f t="shared" si="23"/>
        <v>750</v>
      </c>
      <c r="N116" s="16">
        <f t="shared" si="23"/>
        <v>750</v>
      </c>
      <c r="O116" s="235">
        <f t="shared" si="20"/>
        <v>9000</v>
      </c>
      <c r="Q116" s="227"/>
    </row>
    <row r="117" spans="1:17" s="9" customFormat="1" ht="15.75" x14ac:dyDescent="0.25">
      <c r="B117" s="12" t="s">
        <v>139</v>
      </c>
      <c r="C117" s="242">
        <v>150</v>
      </c>
      <c r="D117" s="242">
        <v>150</v>
      </c>
      <c r="E117" s="242">
        <v>150</v>
      </c>
      <c r="F117" s="242">
        <v>150</v>
      </c>
      <c r="G117" s="242">
        <v>150</v>
      </c>
      <c r="H117" s="242">
        <v>150</v>
      </c>
      <c r="I117" s="242">
        <v>150</v>
      </c>
      <c r="J117" s="242">
        <v>150</v>
      </c>
      <c r="K117" s="242">
        <v>150</v>
      </c>
      <c r="L117" s="242">
        <v>150</v>
      </c>
      <c r="M117" s="242">
        <v>150</v>
      </c>
      <c r="N117" s="242">
        <v>150</v>
      </c>
      <c r="O117" s="231">
        <f t="shared" si="20"/>
        <v>1800</v>
      </c>
      <c r="Q117" s="227"/>
    </row>
    <row r="118" spans="1:17" s="9" customFormat="1" ht="15.75" x14ac:dyDescent="0.25">
      <c r="B118" s="12" t="s">
        <v>140</v>
      </c>
      <c r="C118" s="242">
        <v>200</v>
      </c>
      <c r="D118" s="242">
        <v>200</v>
      </c>
      <c r="E118" s="242">
        <v>200</v>
      </c>
      <c r="F118" s="242">
        <v>200</v>
      </c>
      <c r="G118" s="242">
        <v>200</v>
      </c>
      <c r="H118" s="242">
        <v>200</v>
      </c>
      <c r="I118" s="242">
        <v>200</v>
      </c>
      <c r="J118" s="242">
        <v>200</v>
      </c>
      <c r="K118" s="242">
        <v>200</v>
      </c>
      <c r="L118" s="242">
        <v>200</v>
      </c>
      <c r="M118" s="242">
        <v>200</v>
      </c>
      <c r="N118" s="242">
        <v>200</v>
      </c>
      <c r="O118" s="231">
        <f t="shared" si="20"/>
        <v>2400</v>
      </c>
      <c r="Q118" s="227"/>
    </row>
    <row r="119" spans="1:17" s="9" customFormat="1" ht="15.75" x14ac:dyDescent="0.25">
      <c r="B119" s="12" t="s">
        <v>141</v>
      </c>
      <c r="C119" s="242">
        <v>400</v>
      </c>
      <c r="D119" s="242">
        <v>400</v>
      </c>
      <c r="E119" s="242">
        <v>400</v>
      </c>
      <c r="F119" s="242">
        <v>400</v>
      </c>
      <c r="G119" s="242">
        <v>400</v>
      </c>
      <c r="H119" s="242">
        <v>400</v>
      </c>
      <c r="I119" s="242">
        <v>400</v>
      </c>
      <c r="J119" s="242">
        <v>400</v>
      </c>
      <c r="K119" s="242">
        <v>400</v>
      </c>
      <c r="L119" s="242">
        <v>400</v>
      </c>
      <c r="M119" s="242">
        <v>400</v>
      </c>
      <c r="N119" s="242">
        <v>400</v>
      </c>
      <c r="O119" s="231">
        <f t="shared" si="20"/>
        <v>4800</v>
      </c>
      <c r="Q119" s="227"/>
    </row>
    <row r="120" spans="1:17" s="9" customFormat="1" ht="15.75" x14ac:dyDescent="0.25">
      <c r="B120" s="234" t="s">
        <v>142</v>
      </c>
      <c r="C120" s="16">
        <f>SUM(C121:C122)</f>
        <v>0</v>
      </c>
      <c r="D120" s="16">
        <f t="shared" ref="D120:N120" si="24">SUM(D121:D122)</f>
        <v>0</v>
      </c>
      <c r="E120" s="16">
        <f t="shared" si="24"/>
        <v>0</v>
      </c>
      <c r="F120" s="16">
        <f t="shared" si="24"/>
        <v>0</v>
      </c>
      <c r="G120" s="16">
        <f t="shared" si="24"/>
        <v>0</v>
      </c>
      <c r="H120" s="16">
        <f t="shared" si="24"/>
        <v>0</v>
      </c>
      <c r="I120" s="16">
        <f t="shared" si="24"/>
        <v>0</v>
      </c>
      <c r="J120" s="16">
        <f t="shared" si="24"/>
        <v>0</v>
      </c>
      <c r="K120" s="16">
        <f t="shared" si="24"/>
        <v>0</v>
      </c>
      <c r="L120" s="16">
        <f t="shared" si="24"/>
        <v>0</v>
      </c>
      <c r="M120" s="16">
        <f t="shared" si="24"/>
        <v>0</v>
      </c>
      <c r="N120" s="16">
        <f t="shared" si="24"/>
        <v>0</v>
      </c>
      <c r="O120" s="235">
        <f t="shared" si="20"/>
        <v>0</v>
      </c>
      <c r="Q120" s="227"/>
    </row>
    <row r="121" spans="1:17" s="9" customFormat="1" ht="15.75" x14ac:dyDescent="0.25">
      <c r="B121" s="12" t="s">
        <v>143</v>
      </c>
      <c r="C121" s="37">
        <v>0</v>
      </c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0</v>
      </c>
      <c r="J121" s="37">
        <v>0</v>
      </c>
      <c r="K121" s="37">
        <v>0</v>
      </c>
      <c r="L121" s="37">
        <v>0</v>
      </c>
      <c r="M121" s="37">
        <v>0</v>
      </c>
      <c r="N121" s="37">
        <v>0</v>
      </c>
      <c r="O121" s="236">
        <f t="shared" si="20"/>
        <v>0</v>
      </c>
      <c r="Q121" s="227"/>
    </row>
    <row r="122" spans="1:17" s="9" customFormat="1" ht="15.75" x14ac:dyDescent="0.25">
      <c r="B122" s="12" t="s">
        <v>43</v>
      </c>
      <c r="C122" s="37">
        <v>0</v>
      </c>
      <c r="D122" s="37">
        <v>0</v>
      </c>
      <c r="E122" s="37">
        <v>0</v>
      </c>
      <c r="F122" s="37">
        <v>0</v>
      </c>
      <c r="G122" s="37">
        <v>0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  <c r="M122" s="37">
        <v>0</v>
      </c>
      <c r="N122" s="37">
        <v>0</v>
      </c>
      <c r="O122" s="236">
        <f t="shared" si="20"/>
        <v>0</v>
      </c>
      <c r="Q122" s="227"/>
    </row>
    <row r="123" spans="1:17" s="9" customFormat="1" ht="15.75" x14ac:dyDescent="0.25">
      <c r="B123" s="234" t="s">
        <v>32</v>
      </c>
      <c r="C123" s="16">
        <f t="shared" ref="C123:N123" si="25">SUM(C124:C125)</f>
        <v>0</v>
      </c>
      <c r="D123" s="16">
        <f t="shared" si="25"/>
        <v>0</v>
      </c>
      <c r="E123" s="16">
        <f t="shared" si="25"/>
        <v>0</v>
      </c>
      <c r="F123" s="16">
        <f t="shared" si="25"/>
        <v>0</v>
      </c>
      <c r="G123" s="16">
        <f t="shared" si="25"/>
        <v>0</v>
      </c>
      <c r="H123" s="16">
        <f t="shared" si="25"/>
        <v>0</v>
      </c>
      <c r="I123" s="16">
        <f t="shared" si="25"/>
        <v>0</v>
      </c>
      <c r="J123" s="16">
        <f t="shared" si="25"/>
        <v>0</v>
      </c>
      <c r="K123" s="16">
        <f t="shared" si="25"/>
        <v>0</v>
      </c>
      <c r="L123" s="16">
        <f t="shared" si="25"/>
        <v>0</v>
      </c>
      <c r="M123" s="16">
        <f t="shared" si="25"/>
        <v>0</v>
      </c>
      <c r="N123" s="16">
        <f t="shared" si="25"/>
        <v>0</v>
      </c>
      <c r="O123" s="235">
        <f t="shared" si="20"/>
        <v>0</v>
      </c>
      <c r="Q123" s="227"/>
    </row>
    <row r="124" spans="1:17" s="9" customFormat="1" ht="15.75" x14ac:dyDescent="0.25">
      <c r="B124" s="12" t="s">
        <v>144</v>
      </c>
      <c r="C124" s="37">
        <v>0</v>
      </c>
      <c r="D124" s="37">
        <v>0</v>
      </c>
      <c r="E124" s="37">
        <v>0</v>
      </c>
      <c r="F124" s="37">
        <v>0</v>
      </c>
      <c r="G124" s="37">
        <v>0</v>
      </c>
      <c r="H124" s="37">
        <v>0</v>
      </c>
      <c r="I124" s="37">
        <v>0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236">
        <f t="shared" si="20"/>
        <v>0</v>
      </c>
      <c r="Q124" s="227"/>
    </row>
    <row r="125" spans="1:17" s="9" customFormat="1" ht="15.75" x14ac:dyDescent="0.25">
      <c r="B125" s="12" t="s">
        <v>145</v>
      </c>
      <c r="C125" s="37">
        <v>0</v>
      </c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236">
        <f t="shared" si="20"/>
        <v>0</v>
      </c>
      <c r="Q125" s="227"/>
    </row>
    <row r="126" spans="1:17" s="9" customFormat="1" ht="15.75" x14ac:dyDescent="0.25">
      <c r="B126" s="234" t="s">
        <v>146</v>
      </c>
      <c r="C126" s="16">
        <f>SUM(C127:C129)</f>
        <v>1800</v>
      </c>
      <c r="D126" s="16">
        <f t="shared" ref="D126:N126" si="26">SUM(D127:D129)</f>
        <v>1300</v>
      </c>
      <c r="E126" s="16">
        <f t="shared" si="26"/>
        <v>1300</v>
      </c>
      <c r="F126" s="16">
        <f t="shared" si="26"/>
        <v>1300</v>
      </c>
      <c r="G126" s="16">
        <f t="shared" si="26"/>
        <v>1300</v>
      </c>
      <c r="H126" s="16">
        <f t="shared" si="26"/>
        <v>1300</v>
      </c>
      <c r="I126" s="16">
        <f t="shared" si="26"/>
        <v>1300</v>
      </c>
      <c r="J126" s="16">
        <f t="shared" si="26"/>
        <v>1300</v>
      </c>
      <c r="K126" s="16">
        <f t="shared" si="26"/>
        <v>1300</v>
      </c>
      <c r="L126" s="16">
        <f t="shared" si="26"/>
        <v>1300</v>
      </c>
      <c r="M126" s="16">
        <f t="shared" si="26"/>
        <v>1300</v>
      </c>
      <c r="N126" s="16">
        <f t="shared" si="26"/>
        <v>1300</v>
      </c>
      <c r="O126" s="235">
        <f t="shared" si="20"/>
        <v>16100</v>
      </c>
      <c r="Q126" s="227"/>
    </row>
    <row r="127" spans="1:17" s="9" customFormat="1" ht="15.75" x14ac:dyDescent="0.25">
      <c r="B127" s="12" t="s">
        <v>147</v>
      </c>
      <c r="C127" s="242">
        <v>300</v>
      </c>
      <c r="D127" s="242">
        <v>300</v>
      </c>
      <c r="E127" s="242">
        <v>300</v>
      </c>
      <c r="F127" s="242">
        <v>300</v>
      </c>
      <c r="G127" s="242">
        <v>300</v>
      </c>
      <c r="H127" s="242">
        <v>300</v>
      </c>
      <c r="I127" s="242">
        <v>300</v>
      </c>
      <c r="J127" s="242">
        <v>300</v>
      </c>
      <c r="K127" s="242">
        <v>300</v>
      </c>
      <c r="L127" s="242">
        <v>300</v>
      </c>
      <c r="M127" s="242">
        <v>300</v>
      </c>
      <c r="N127" s="242">
        <v>300</v>
      </c>
      <c r="O127" s="231">
        <f t="shared" si="20"/>
        <v>3600</v>
      </c>
      <c r="Q127" s="227"/>
    </row>
    <row r="128" spans="1:17" s="9" customFormat="1" ht="15.75" x14ac:dyDescent="0.25">
      <c r="B128" s="12" t="s">
        <v>148</v>
      </c>
      <c r="C128" s="242">
        <v>500</v>
      </c>
      <c r="D128" s="242">
        <v>0</v>
      </c>
      <c r="E128" s="242">
        <v>0</v>
      </c>
      <c r="F128" s="242">
        <v>0</v>
      </c>
      <c r="G128" s="242">
        <v>0</v>
      </c>
      <c r="H128" s="242">
        <v>0</v>
      </c>
      <c r="I128" s="242">
        <v>0</v>
      </c>
      <c r="J128" s="242">
        <v>0</v>
      </c>
      <c r="K128" s="242">
        <v>0</v>
      </c>
      <c r="L128" s="242">
        <v>0</v>
      </c>
      <c r="M128" s="242">
        <v>0</v>
      </c>
      <c r="N128" s="242">
        <v>0</v>
      </c>
      <c r="O128" s="231">
        <f t="shared" si="20"/>
        <v>500</v>
      </c>
      <c r="Q128" s="227"/>
    </row>
    <row r="129" spans="2:17" s="9" customFormat="1" ht="15.75" x14ac:dyDescent="0.25">
      <c r="B129" s="12" t="s">
        <v>149</v>
      </c>
      <c r="C129" s="242">
        <v>1000</v>
      </c>
      <c r="D129" s="242">
        <v>1000</v>
      </c>
      <c r="E129" s="242">
        <v>1000</v>
      </c>
      <c r="F129" s="242">
        <v>1000</v>
      </c>
      <c r="G129" s="242">
        <v>1000</v>
      </c>
      <c r="H129" s="242">
        <v>1000</v>
      </c>
      <c r="I129" s="242">
        <v>1000</v>
      </c>
      <c r="J129" s="242">
        <v>1000</v>
      </c>
      <c r="K129" s="242">
        <v>1000</v>
      </c>
      <c r="L129" s="242">
        <v>1000</v>
      </c>
      <c r="M129" s="242">
        <v>1000</v>
      </c>
      <c r="N129" s="242">
        <v>1000</v>
      </c>
      <c r="O129" s="231">
        <f t="shared" si="20"/>
        <v>12000</v>
      </c>
      <c r="Q129" s="227"/>
    </row>
    <row r="130" spans="2:17" s="9" customFormat="1" ht="15.75" x14ac:dyDescent="0.25">
      <c r="B130" s="234" t="s">
        <v>150</v>
      </c>
      <c r="C130" s="16">
        <f>SUM(C131:C132)</f>
        <v>0</v>
      </c>
      <c r="D130" s="16">
        <f t="shared" ref="D130:N130" si="27">SUM(D131:D132)</f>
        <v>0</v>
      </c>
      <c r="E130" s="16">
        <f t="shared" si="27"/>
        <v>0</v>
      </c>
      <c r="F130" s="16">
        <f t="shared" si="27"/>
        <v>0</v>
      </c>
      <c r="G130" s="16">
        <f t="shared" si="27"/>
        <v>0</v>
      </c>
      <c r="H130" s="16">
        <f t="shared" si="27"/>
        <v>0</v>
      </c>
      <c r="I130" s="16">
        <f t="shared" si="27"/>
        <v>0</v>
      </c>
      <c r="J130" s="16">
        <f t="shared" si="27"/>
        <v>0</v>
      </c>
      <c r="K130" s="16">
        <f t="shared" si="27"/>
        <v>0</v>
      </c>
      <c r="L130" s="16">
        <f t="shared" si="27"/>
        <v>0</v>
      </c>
      <c r="M130" s="16">
        <f t="shared" si="27"/>
        <v>0</v>
      </c>
      <c r="N130" s="16">
        <f t="shared" si="27"/>
        <v>0</v>
      </c>
      <c r="O130" s="235">
        <f t="shared" si="20"/>
        <v>0</v>
      </c>
      <c r="Q130" s="227"/>
    </row>
    <row r="131" spans="2:17" s="9" customFormat="1" ht="15.75" x14ac:dyDescent="0.25">
      <c r="B131" s="12" t="s">
        <v>64</v>
      </c>
      <c r="C131" s="37">
        <v>0</v>
      </c>
      <c r="D131" s="37">
        <v>0</v>
      </c>
      <c r="E131" s="37">
        <v>0</v>
      </c>
      <c r="F131" s="37">
        <v>0</v>
      </c>
      <c r="G131" s="37">
        <v>0</v>
      </c>
      <c r="H131" s="37">
        <v>0</v>
      </c>
      <c r="I131" s="37">
        <v>0</v>
      </c>
      <c r="J131" s="37">
        <v>0</v>
      </c>
      <c r="K131" s="37">
        <v>0</v>
      </c>
      <c r="L131" s="37">
        <v>0</v>
      </c>
      <c r="M131" s="37">
        <v>0</v>
      </c>
      <c r="N131" s="37">
        <v>0</v>
      </c>
      <c r="O131" s="236">
        <f t="shared" si="20"/>
        <v>0</v>
      </c>
      <c r="Q131" s="227"/>
    </row>
    <row r="132" spans="2:17" s="9" customFormat="1" ht="15.75" x14ac:dyDescent="0.25">
      <c r="B132" s="12" t="s">
        <v>151</v>
      </c>
      <c r="C132" s="37">
        <v>0</v>
      </c>
      <c r="D132" s="37">
        <v>0</v>
      </c>
      <c r="E132" s="37">
        <v>0</v>
      </c>
      <c r="F132" s="37">
        <v>0</v>
      </c>
      <c r="G132" s="37">
        <v>0</v>
      </c>
      <c r="H132" s="37">
        <v>0</v>
      </c>
      <c r="I132" s="37">
        <v>0</v>
      </c>
      <c r="J132" s="37">
        <v>0</v>
      </c>
      <c r="K132" s="37">
        <v>0</v>
      </c>
      <c r="L132" s="37">
        <v>0</v>
      </c>
      <c r="M132" s="37">
        <v>0</v>
      </c>
      <c r="N132" s="37">
        <v>0</v>
      </c>
      <c r="O132" s="236">
        <f t="shared" si="20"/>
        <v>0</v>
      </c>
      <c r="Q132" s="227"/>
    </row>
    <row r="133" spans="2:17" s="9" customFormat="1" ht="15.75" x14ac:dyDescent="0.25">
      <c r="B133" s="234" t="s">
        <v>152</v>
      </c>
      <c r="C133" s="16">
        <f t="shared" ref="C133:N133" si="28">SUM(C134:C137)</f>
        <v>0</v>
      </c>
      <c r="D133" s="16">
        <f t="shared" si="28"/>
        <v>0</v>
      </c>
      <c r="E133" s="16">
        <f t="shared" si="28"/>
        <v>0</v>
      </c>
      <c r="F133" s="16">
        <f t="shared" si="28"/>
        <v>0</v>
      </c>
      <c r="G133" s="16">
        <f t="shared" si="28"/>
        <v>0</v>
      </c>
      <c r="H133" s="16">
        <f t="shared" si="28"/>
        <v>0</v>
      </c>
      <c r="I133" s="16">
        <f t="shared" si="28"/>
        <v>0</v>
      </c>
      <c r="J133" s="16">
        <f t="shared" si="28"/>
        <v>0</v>
      </c>
      <c r="K133" s="16">
        <f t="shared" si="28"/>
        <v>0</v>
      </c>
      <c r="L133" s="16">
        <f t="shared" si="28"/>
        <v>0</v>
      </c>
      <c r="M133" s="16">
        <f t="shared" si="28"/>
        <v>0</v>
      </c>
      <c r="N133" s="16">
        <f t="shared" si="28"/>
        <v>0</v>
      </c>
      <c r="O133" s="235">
        <f t="shared" si="20"/>
        <v>0</v>
      </c>
      <c r="Q133" s="227"/>
    </row>
    <row r="134" spans="2:17" s="9" customFormat="1" ht="15.75" x14ac:dyDescent="0.25">
      <c r="B134" s="12" t="s">
        <v>153</v>
      </c>
      <c r="C134" s="37">
        <v>0</v>
      </c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0</v>
      </c>
      <c r="J134" s="37">
        <v>0</v>
      </c>
      <c r="K134" s="37">
        <v>0</v>
      </c>
      <c r="L134" s="37">
        <v>0</v>
      </c>
      <c r="M134" s="37">
        <v>0</v>
      </c>
      <c r="N134" s="37">
        <v>0</v>
      </c>
      <c r="O134" s="236">
        <f t="shared" si="20"/>
        <v>0</v>
      </c>
      <c r="Q134" s="227"/>
    </row>
    <row r="135" spans="2:17" s="9" customFormat="1" ht="15.75" x14ac:dyDescent="0.25">
      <c r="B135" s="12" t="s">
        <v>154</v>
      </c>
      <c r="C135" s="37">
        <v>0</v>
      </c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v>0</v>
      </c>
      <c r="N135" s="37">
        <v>0</v>
      </c>
      <c r="O135" s="236">
        <f t="shared" si="20"/>
        <v>0</v>
      </c>
      <c r="Q135" s="227"/>
    </row>
    <row r="136" spans="2:17" s="9" customFormat="1" ht="15.75" x14ac:dyDescent="0.25">
      <c r="B136" s="12" t="s">
        <v>155</v>
      </c>
      <c r="C136" s="37">
        <v>0</v>
      </c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0</v>
      </c>
      <c r="J136" s="37">
        <v>0</v>
      </c>
      <c r="K136" s="37">
        <v>0</v>
      </c>
      <c r="L136" s="37">
        <v>0</v>
      </c>
      <c r="M136" s="37">
        <v>0</v>
      </c>
      <c r="N136" s="37">
        <v>0</v>
      </c>
      <c r="O136" s="236">
        <f t="shared" si="20"/>
        <v>0</v>
      </c>
      <c r="Q136" s="227"/>
    </row>
    <row r="137" spans="2:17" s="9" customFormat="1" ht="15.75" x14ac:dyDescent="0.25">
      <c r="B137" s="12" t="s">
        <v>156</v>
      </c>
      <c r="C137" s="37">
        <v>0</v>
      </c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0</v>
      </c>
      <c r="J137" s="37">
        <v>0</v>
      </c>
      <c r="K137" s="37">
        <v>0</v>
      </c>
      <c r="L137" s="37">
        <v>0</v>
      </c>
      <c r="M137" s="37">
        <v>0</v>
      </c>
      <c r="N137" s="37">
        <v>0</v>
      </c>
      <c r="O137" s="236">
        <f t="shared" si="20"/>
        <v>0</v>
      </c>
      <c r="Q137" s="227"/>
    </row>
    <row r="138" spans="2:17" x14ac:dyDescent="0.25">
      <c r="G138" s="223"/>
      <c r="H138" s="223"/>
    </row>
    <row r="139" spans="2:17" x14ac:dyDescent="0.25">
      <c r="G139" s="223"/>
      <c r="H139" s="223"/>
    </row>
    <row r="140" spans="2:17" x14ac:dyDescent="0.25">
      <c r="G140" s="223"/>
      <c r="H140" s="223"/>
    </row>
    <row r="141" spans="2:17" x14ac:dyDescent="0.25">
      <c r="G141" s="223"/>
      <c r="H141" s="223"/>
    </row>
    <row r="142" spans="2:17" x14ac:dyDescent="0.25"/>
    <row r="143" spans="2:17" x14ac:dyDescent="0.25"/>
    <row r="144" spans="2:17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</sheetData>
  <sheetProtection formatCells="0" formatColumns="0" formatRows="0" insertColumns="0" insertRows="0" insertHyperlinks="0" deleteColumns="0" deleteRows="0" sort="0" autoFilter="0" pivotTables="0"/>
  <mergeCells count="2">
    <mergeCell ref="C1:O1"/>
    <mergeCell ref="A2:B2"/>
  </mergeCells>
  <pageMargins left="0" right="0" top="0.19685039370078741" bottom="0.15748031496062992" header="0.11811023622047245" footer="0.11811023622047245"/>
  <pageSetup paperSize="9" scale="40" fitToHeight="0" orientation="landscape" r:id="rId1"/>
  <headerFooter>
    <oddFooter>&amp;L&amp;Bfinancas - previsto x realizad&amp;RPágina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8"/>
  <sheetViews>
    <sheetView showGridLines="0" topLeftCell="F19" zoomScale="70" zoomScaleNormal="70" workbookViewId="0">
      <selection activeCell="F1" sqref="F1:F25"/>
    </sheetView>
  </sheetViews>
  <sheetFormatPr defaultColWidth="8.28515625" defaultRowHeight="12.75" x14ac:dyDescent="0.25"/>
  <cols>
    <col min="1" max="1" width="1.85546875" style="51" customWidth="1"/>
    <col min="2" max="2" width="19.7109375" style="51" bestFit="1" customWidth="1"/>
    <col min="3" max="3" width="16.7109375" style="51" bestFit="1" customWidth="1"/>
    <col min="4" max="4" width="15.140625" style="51" bestFit="1" customWidth="1"/>
    <col min="5" max="5" width="5.42578125" style="51" customWidth="1"/>
    <col min="6" max="6" width="3.7109375" style="51" customWidth="1"/>
    <col min="7" max="7" width="21" style="51" bestFit="1" customWidth="1"/>
    <col min="8" max="8" width="17.5703125" style="51" customWidth="1"/>
    <col min="9" max="9" width="16.42578125" style="51" bestFit="1" customWidth="1"/>
    <col min="10" max="10" width="5.28515625" style="51" customWidth="1"/>
    <col min="11" max="11" width="2.85546875" style="51" customWidth="1"/>
    <col min="12" max="12" width="31.7109375" style="51" customWidth="1"/>
    <col min="13" max="13" width="21.140625" style="51" bestFit="1" customWidth="1"/>
    <col min="14" max="14" width="18.85546875" style="51" bestFit="1" customWidth="1"/>
    <col min="15" max="15" width="13.28515625" style="51" bestFit="1" customWidth="1"/>
    <col min="16" max="16" width="18" style="51" bestFit="1" customWidth="1"/>
    <col min="17" max="17" width="9.42578125" style="51" bestFit="1" customWidth="1"/>
    <col min="18" max="18" width="10.42578125" style="51" bestFit="1" customWidth="1"/>
    <col min="19" max="19" width="3.7109375" style="51" customWidth="1"/>
    <col min="20" max="20" width="14.85546875" style="51" bestFit="1" customWidth="1"/>
    <col min="21" max="22" width="20.42578125" style="51" bestFit="1" customWidth="1"/>
    <col min="23" max="23" width="13.28515625" style="51" bestFit="1" customWidth="1"/>
    <col min="24" max="24" width="18.85546875" style="51" bestFit="1" customWidth="1"/>
    <col min="25" max="26" width="11.85546875" style="51" bestFit="1" customWidth="1"/>
    <col min="27" max="16384" width="8.28515625" style="51"/>
  </cols>
  <sheetData>
    <row r="1" spans="2:15" ht="15" customHeight="1" x14ac:dyDescent="0.25">
      <c r="F1" s="276"/>
    </row>
    <row r="2" spans="2:15" x14ac:dyDescent="0.25">
      <c r="B2" s="296" t="s">
        <v>0</v>
      </c>
      <c r="C2" s="297"/>
      <c r="D2" s="297"/>
      <c r="E2" s="298"/>
      <c r="F2" s="276"/>
      <c r="G2" s="296" t="s">
        <v>1</v>
      </c>
      <c r="H2" s="297"/>
      <c r="I2" s="297"/>
      <c r="J2" s="298"/>
      <c r="L2" s="299" t="s">
        <v>2</v>
      </c>
      <c r="M2" s="300"/>
      <c r="N2" s="300"/>
      <c r="O2" s="301"/>
    </row>
    <row r="3" spans="2:15" x14ac:dyDescent="0.25">
      <c r="B3" s="53" t="s">
        <v>160</v>
      </c>
      <c r="C3" s="54">
        <v>6450</v>
      </c>
      <c r="D3" s="155" t="s">
        <v>161</v>
      </c>
      <c r="E3" s="55">
        <v>12</v>
      </c>
      <c r="F3" s="276"/>
      <c r="G3" s="56" t="s">
        <v>162</v>
      </c>
      <c r="H3" s="57">
        <v>2500</v>
      </c>
      <c r="I3" s="57">
        <f>SUM(H3*J3)</f>
        <v>30000</v>
      </c>
      <c r="J3" s="58">
        <v>12</v>
      </c>
      <c r="L3" s="126" t="s">
        <v>163</v>
      </c>
      <c r="M3" s="57">
        <v>1320</v>
      </c>
      <c r="N3" s="57">
        <f>SUM(M3*O3)</f>
        <v>15840</v>
      </c>
      <c r="O3" s="124">
        <v>12</v>
      </c>
    </row>
    <row r="4" spans="2:15" x14ac:dyDescent="0.25">
      <c r="B4" s="56" t="s">
        <v>164</v>
      </c>
      <c r="C4" s="59">
        <v>600</v>
      </c>
      <c r="D4" s="59">
        <f>SUM(C4*E4)</f>
        <v>31200</v>
      </c>
      <c r="E4" s="139">
        <v>52</v>
      </c>
      <c r="F4" s="276"/>
      <c r="G4" s="56" t="s">
        <v>165</v>
      </c>
      <c r="H4" s="57">
        <v>1420</v>
      </c>
      <c r="I4" s="57">
        <f t="shared" ref="I4" si="0">SUM(H4*J4)</f>
        <v>17040</v>
      </c>
      <c r="J4" s="58">
        <v>12</v>
      </c>
      <c r="L4" s="123" t="s">
        <v>166</v>
      </c>
      <c r="M4" s="154">
        <v>1500</v>
      </c>
      <c r="N4" s="57">
        <f t="shared" ref="N4:N8" si="1">SUM(M4*O4)</f>
        <v>18000</v>
      </c>
      <c r="O4" s="124">
        <v>12</v>
      </c>
    </row>
    <row r="5" spans="2:15" x14ac:dyDescent="0.25">
      <c r="B5" s="56" t="s">
        <v>167</v>
      </c>
      <c r="C5" s="59">
        <v>680</v>
      </c>
      <c r="D5" s="59">
        <f>SUM(C5*E5)</f>
        <v>35360</v>
      </c>
      <c r="E5" s="139">
        <v>52</v>
      </c>
      <c r="F5" s="276"/>
      <c r="G5" s="56" t="s">
        <v>168</v>
      </c>
      <c r="H5" s="59">
        <v>1000</v>
      </c>
      <c r="I5" s="57">
        <f>SUM(H5*J5)</f>
        <v>10000</v>
      </c>
      <c r="J5" s="58">
        <v>10</v>
      </c>
      <c r="L5" s="123" t="s">
        <v>169</v>
      </c>
      <c r="M5" s="154">
        <v>1420</v>
      </c>
      <c r="N5" s="57">
        <f t="shared" si="1"/>
        <v>17040</v>
      </c>
      <c r="O5" s="124">
        <v>12</v>
      </c>
    </row>
    <row r="6" spans="2:15" x14ac:dyDescent="0.25">
      <c r="B6" s="56" t="s">
        <v>170</v>
      </c>
      <c r="C6" s="59">
        <v>200</v>
      </c>
      <c r="D6" s="59">
        <f>SUM(C6*E6)</f>
        <v>2000</v>
      </c>
      <c r="E6" s="58">
        <v>10</v>
      </c>
      <c r="F6" s="276"/>
      <c r="G6" s="56" t="s">
        <v>171</v>
      </c>
      <c r="H6" s="57">
        <v>1420</v>
      </c>
      <c r="I6" s="57">
        <f t="shared" ref="I6" si="2">SUM(H6*J6)</f>
        <v>17040</v>
      </c>
      <c r="J6" s="58">
        <v>12</v>
      </c>
      <c r="L6" s="123" t="s">
        <v>170</v>
      </c>
      <c r="M6" s="154">
        <v>300</v>
      </c>
      <c r="N6" s="57">
        <f t="shared" si="1"/>
        <v>3600</v>
      </c>
      <c r="O6" s="124">
        <v>12</v>
      </c>
    </row>
    <row r="7" spans="2:15" x14ac:dyDescent="0.25">
      <c r="B7" s="56" t="s">
        <v>172</v>
      </c>
      <c r="C7" s="59">
        <v>3000</v>
      </c>
      <c r="D7" s="59">
        <f>SUM(C7*E7)</f>
        <v>6000</v>
      </c>
      <c r="E7" s="58">
        <v>2</v>
      </c>
      <c r="F7" s="276"/>
      <c r="G7" s="56" t="s">
        <v>170</v>
      </c>
      <c r="H7" s="59">
        <v>200</v>
      </c>
      <c r="I7" s="57">
        <f t="shared" ref="I7:I10" si="3">SUM(H7*J7)</f>
        <v>2000</v>
      </c>
      <c r="J7" s="58">
        <v>10</v>
      </c>
      <c r="L7" s="123" t="s">
        <v>173</v>
      </c>
      <c r="M7" s="154">
        <v>300</v>
      </c>
      <c r="N7" s="57">
        <f t="shared" si="1"/>
        <v>3600</v>
      </c>
      <c r="O7" s="124">
        <v>12</v>
      </c>
    </row>
    <row r="8" spans="2:15" x14ac:dyDescent="0.25">
      <c r="B8" s="56" t="s">
        <v>173</v>
      </c>
      <c r="C8" s="59">
        <v>250</v>
      </c>
      <c r="D8" s="59">
        <f>SUM(C8*E8)</f>
        <v>2500</v>
      </c>
      <c r="E8" s="58">
        <v>10</v>
      </c>
      <c r="F8" s="276"/>
      <c r="G8" s="56" t="s">
        <v>174</v>
      </c>
      <c r="H8" s="59">
        <v>1000</v>
      </c>
      <c r="I8" s="57">
        <f t="shared" si="3"/>
        <v>10000</v>
      </c>
      <c r="J8" s="58">
        <v>10</v>
      </c>
      <c r="L8" s="125" t="s">
        <v>175</v>
      </c>
      <c r="M8" s="154">
        <v>500</v>
      </c>
      <c r="N8" s="57">
        <f t="shared" si="1"/>
        <v>6000</v>
      </c>
      <c r="O8" s="124">
        <v>12</v>
      </c>
    </row>
    <row r="9" spans="2:15" x14ac:dyDescent="0.25">
      <c r="B9" s="56" t="s">
        <v>176</v>
      </c>
      <c r="C9" s="59">
        <v>20000</v>
      </c>
      <c r="D9" s="59">
        <f t="shared" ref="D9:D10" si="4">SUM(C9*E9)</f>
        <v>20000</v>
      </c>
      <c r="E9" s="58">
        <v>1</v>
      </c>
      <c r="F9" s="276"/>
      <c r="G9" s="56" t="s">
        <v>177</v>
      </c>
      <c r="H9" s="59">
        <v>300</v>
      </c>
      <c r="I9" s="57">
        <f t="shared" si="3"/>
        <v>3000</v>
      </c>
      <c r="J9" s="58">
        <v>10</v>
      </c>
      <c r="L9" s="125"/>
      <c r="M9" s="154"/>
      <c r="N9" s="152"/>
      <c r="O9" s="124"/>
    </row>
    <row r="10" spans="2:15" x14ac:dyDescent="0.25">
      <c r="B10" s="56" t="s">
        <v>178</v>
      </c>
      <c r="C10" s="59">
        <v>1000</v>
      </c>
      <c r="D10" s="59">
        <f t="shared" si="4"/>
        <v>1000</v>
      </c>
      <c r="E10" s="58">
        <v>1</v>
      </c>
      <c r="F10" s="276"/>
      <c r="G10" s="56" t="s">
        <v>179</v>
      </c>
      <c r="H10" s="59">
        <v>50</v>
      </c>
      <c r="I10" s="57">
        <f t="shared" si="3"/>
        <v>500</v>
      </c>
      <c r="J10" s="58">
        <v>10</v>
      </c>
      <c r="L10" s="123"/>
      <c r="M10" s="153"/>
      <c r="N10" s="149"/>
      <c r="O10" s="124"/>
    </row>
    <row r="11" spans="2:15" x14ac:dyDescent="0.25">
      <c r="B11" s="56"/>
      <c r="E11" s="58"/>
      <c r="F11" s="276"/>
      <c r="G11" s="56"/>
      <c r="H11" s="57"/>
      <c r="I11" s="57"/>
      <c r="J11" s="58"/>
      <c r="L11" s="123"/>
      <c r="M11" s="153"/>
      <c r="N11" s="149"/>
      <c r="O11" s="124"/>
    </row>
    <row r="12" spans="2:15" x14ac:dyDescent="0.25">
      <c r="B12" s="56"/>
      <c r="E12" s="58"/>
      <c r="F12" s="276"/>
      <c r="G12" s="56"/>
      <c r="J12" s="58"/>
      <c r="L12" s="126"/>
      <c r="M12" s="150"/>
      <c r="N12" s="150"/>
      <c r="O12" s="124"/>
    </row>
    <row r="13" spans="2:15" x14ac:dyDescent="0.25">
      <c r="B13" s="60"/>
      <c r="C13" s="61"/>
      <c r="D13" s="62">
        <f>SUM(D3:D12)</f>
        <v>98060</v>
      </c>
      <c r="E13" s="63"/>
      <c r="F13" s="276"/>
      <c r="G13" s="60"/>
      <c r="H13" s="61"/>
      <c r="I13" s="62">
        <f>SUM(I3:I11)</f>
        <v>89580</v>
      </c>
      <c r="J13" s="64"/>
      <c r="L13" s="127"/>
      <c r="M13" s="151"/>
      <c r="N13" s="151">
        <f>SUM(N3:N10)</f>
        <v>64080</v>
      </c>
      <c r="O13" s="128"/>
    </row>
    <row r="14" spans="2:15" x14ac:dyDescent="0.25">
      <c r="C14" s="65"/>
      <c r="D14" s="65"/>
      <c r="F14" s="276"/>
      <c r="H14" s="65"/>
      <c r="I14" s="65"/>
    </row>
    <row r="15" spans="2:15" x14ac:dyDescent="0.25">
      <c r="B15" s="296" t="s">
        <v>7</v>
      </c>
      <c r="C15" s="297"/>
      <c r="D15" s="297"/>
      <c r="E15" s="298"/>
      <c r="F15" s="276"/>
      <c r="G15" s="289" t="s">
        <v>10</v>
      </c>
      <c r="H15" s="290"/>
      <c r="I15" s="290"/>
      <c r="J15" s="291"/>
      <c r="L15" s="302" t="s">
        <v>9</v>
      </c>
      <c r="M15" s="303"/>
      <c r="N15" s="303"/>
      <c r="O15" s="304"/>
    </row>
    <row r="16" spans="2:15" x14ac:dyDescent="0.25">
      <c r="B16" s="56" t="s">
        <v>180</v>
      </c>
      <c r="C16" s="57">
        <v>2000</v>
      </c>
      <c r="D16" s="59">
        <f>C16*E16</f>
        <v>24000</v>
      </c>
      <c r="E16" s="55">
        <v>12</v>
      </c>
      <c r="F16" s="276"/>
      <c r="G16" s="122" t="s">
        <v>162</v>
      </c>
      <c r="H16" s="172">
        <v>3000</v>
      </c>
      <c r="I16" s="156">
        <f>SUM(H16*J16)</f>
        <v>36000</v>
      </c>
      <c r="J16" s="157">
        <v>12</v>
      </c>
      <c r="L16" s="122" t="s">
        <v>181</v>
      </c>
      <c r="M16" s="175">
        <v>2000</v>
      </c>
      <c r="N16" s="176">
        <f>SUM(M16*O16)</f>
        <v>24000</v>
      </c>
      <c r="O16" s="157">
        <v>12</v>
      </c>
    </row>
    <row r="17" spans="2:15" x14ac:dyDescent="0.25">
      <c r="B17" s="56" t="s">
        <v>173</v>
      </c>
      <c r="C17" s="59">
        <v>250</v>
      </c>
      <c r="D17" s="59">
        <f>C17*E17</f>
        <v>2500</v>
      </c>
      <c r="E17" s="58">
        <v>10</v>
      </c>
      <c r="F17" s="276"/>
      <c r="G17" s="126" t="s">
        <v>182</v>
      </c>
      <c r="H17" s="135">
        <v>2000</v>
      </c>
      <c r="I17" s="135">
        <f>SUM(H17*J17)</f>
        <v>24000</v>
      </c>
      <c r="J17" s="124">
        <v>12</v>
      </c>
      <c r="L17" s="123" t="s">
        <v>166</v>
      </c>
      <c r="M17" s="154">
        <v>1500</v>
      </c>
      <c r="N17" s="154">
        <f t="shared" ref="N17:N20" si="5">SUM(M17*O17)</f>
        <v>18000</v>
      </c>
      <c r="O17" s="124">
        <v>12</v>
      </c>
    </row>
    <row r="18" spans="2:15" x14ac:dyDescent="0.25">
      <c r="B18" s="56"/>
      <c r="C18" s="59"/>
      <c r="D18" s="59"/>
      <c r="E18" s="58"/>
      <c r="F18" s="276"/>
      <c r="G18" s="126" t="s">
        <v>183</v>
      </c>
      <c r="H18" s="136">
        <v>1000</v>
      </c>
      <c r="I18" s="135">
        <f>SUM(H18*J18)</f>
        <v>12000</v>
      </c>
      <c r="J18" s="124">
        <v>12</v>
      </c>
      <c r="L18" s="123" t="s">
        <v>170</v>
      </c>
      <c r="M18" s="154">
        <v>300</v>
      </c>
      <c r="N18" s="154">
        <f t="shared" si="5"/>
        <v>3600</v>
      </c>
      <c r="O18" s="124">
        <v>12</v>
      </c>
    </row>
    <row r="19" spans="2:15" x14ac:dyDescent="0.25">
      <c r="B19" s="56"/>
      <c r="C19" s="59"/>
      <c r="D19" s="59"/>
      <c r="E19" s="58"/>
      <c r="F19" s="276"/>
      <c r="G19" s="123" t="s">
        <v>63</v>
      </c>
      <c r="H19" s="137">
        <v>5000</v>
      </c>
      <c r="I19" s="135">
        <f t="shared" ref="I19:I23" si="6">SUM(H19*J19)</f>
        <v>5000</v>
      </c>
      <c r="J19" s="124">
        <v>1</v>
      </c>
      <c r="L19" s="123" t="s">
        <v>169</v>
      </c>
      <c r="M19" s="154">
        <v>1420</v>
      </c>
      <c r="N19" s="154">
        <f>SUM(M19*O19)</f>
        <v>17040</v>
      </c>
      <c r="O19" s="177">
        <v>12</v>
      </c>
    </row>
    <row r="20" spans="2:15" x14ac:dyDescent="0.25">
      <c r="B20" s="56"/>
      <c r="C20" s="59"/>
      <c r="D20" s="62">
        <f>SUM(D16:D19)</f>
        <v>26500</v>
      </c>
      <c r="E20" s="58"/>
      <c r="F20" s="276"/>
      <c r="G20" s="123" t="s">
        <v>184</v>
      </c>
      <c r="H20" s="137">
        <v>10000</v>
      </c>
      <c r="I20" s="135">
        <f t="shared" si="6"/>
        <v>10000</v>
      </c>
      <c r="J20" s="124">
        <v>1</v>
      </c>
      <c r="L20" s="123" t="s">
        <v>173</v>
      </c>
      <c r="M20" s="154">
        <v>300</v>
      </c>
      <c r="N20" s="154">
        <f t="shared" si="5"/>
        <v>300</v>
      </c>
      <c r="O20" s="124">
        <v>1</v>
      </c>
    </row>
    <row r="21" spans="2:15" x14ac:dyDescent="0.25">
      <c r="B21" s="302" t="s">
        <v>185</v>
      </c>
      <c r="C21" s="303"/>
      <c r="D21" s="303"/>
      <c r="E21" s="304"/>
      <c r="F21" s="276"/>
      <c r="G21" s="123" t="s">
        <v>186</v>
      </c>
      <c r="H21" s="137">
        <v>1500</v>
      </c>
      <c r="I21" s="135">
        <f t="shared" si="6"/>
        <v>1500</v>
      </c>
      <c r="J21" s="124">
        <v>1</v>
      </c>
      <c r="L21" s="125" t="s">
        <v>187</v>
      </c>
      <c r="M21" s="154">
        <v>3960</v>
      </c>
      <c r="N21" s="154">
        <f>SUM(M21*O21)</f>
        <v>47520</v>
      </c>
      <c r="O21" s="124">
        <v>12</v>
      </c>
    </row>
    <row r="22" spans="2:15" x14ac:dyDescent="0.25">
      <c r="B22" s="122" t="s">
        <v>181</v>
      </c>
      <c r="C22" s="156">
        <v>3500</v>
      </c>
      <c r="D22" s="174">
        <f>C22*E22</f>
        <v>42000</v>
      </c>
      <c r="E22" s="157">
        <v>12</v>
      </c>
      <c r="F22" s="276"/>
      <c r="G22" s="125" t="s">
        <v>188</v>
      </c>
      <c r="H22" s="137">
        <v>15000</v>
      </c>
      <c r="I22" s="135">
        <f t="shared" si="6"/>
        <v>15000</v>
      </c>
      <c r="J22" s="124">
        <v>1</v>
      </c>
      <c r="L22" s="125"/>
      <c r="M22" s="154"/>
      <c r="N22" s="154"/>
      <c r="O22" s="124"/>
    </row>
    <row r="23" spans="2:15" x14ac:dyDescent="0.25">
      <c r="B23" s="126"/>
      <c r="C23" s="57"/>
      <c r="D23" s="57"/>
      <c r="E23" s="124"/>
      <c r="F23" s="276"/>
      <c r="G23" s="123" t="s">
        <v>189</v>
      </c>
      <c r="H23" s="138">
        <v>3000</v>
      </c>
      <c r="I23" s="135">
        <f t="shared" si="6"/>
        <v>3000</v>
      </c>
      <c r="J23" s="124">
        <v>1</v>
      </c>
      <c r="L23" s="123"/>
      <c r="M23" s="57"/>
      <c r="N23" s="57"/>
      <c r="O23" s="124"/>
    </row>
    <row r="24" spans="2:15" x14ac:dyDescent="0.25">
      <c r="B24" s="126"/>
      <c r="C24" s="57"/>
      <c r="D24" s="57"/>
      <c r="E24" s="124"/>
      <c r="F24" s="276"/>
      <c r="G24" s="123"/>
      <c r="H24" s="59"/>
      <c r="I24" s="57"/>
      <c r="J24" s="124"/>
      <c r="L24" s="123"/>
      <c r="M24" s="57"/>
      <c r="N24" s="57"/>
      <c r="O24" s="124"/>
    </row>
    <row r="25" spans="2:15" x14ac:dyDescent="0.25">
      <c r="B25" s="127"/>
      <c r="C25" s="173"/>
      <c r="D25" s="158">
        <f>SUM(D22:D24)</f>
        <v>42000</v>
      </c>
      <c r="E25" s="128"/>
      <c r="F25" s="295"/>
      <c r="G25" s="127"/>
      <c r="H25" s="173"/>
      <c r="I25" s="158">
        <f>SUM(I16:I24)</f>
        <v>106500</v>
      </c>
      <c r="J25" s="128"/>
      <c r="L25" s="127"/>
      <c r="M25" s="173"/>
      <c r="N25" s="158">
        <f>SUM(N16:N24)</f>
        <v>110460</v>
      </c>
      <c r="O25" s="128"/>
    </row>
    <row r="26" spans="2:15" x14ac:dyDescent="0.25">
      <c r="C26" s="57"/>
      <c r="D26" s="66"/>
      <c r="F26" s="52"/>
      <c r="H26" s="57"/>
      <c r="I26" s="66"/>
      <c r="M26" s="57"/>
      <c r="N26" s="66"/>
    </row>
    <row r="27" spans="2:15" x14ac:dyDescent="0.25">
      <c r="C27" s="57"/>
      <c r="D27" s="66"/>
      <c r="F27" s="52"/>
      <c r="H27" s="57"/>
      <c r="I27" s="66"/>
      <c r="L27" s="289" t="s">
        <v>8</v>
      </c>
      <c r="M27" s="290"/>
      <c r="N27" s="290"/>
      <c r="O27" s="291"/>
    </row>
    <row r="28" spans="2:15" ht="15" customHeight="1" x14ac:dyDescent="0.25">
      <c r="B28" s="307" t="s">
        <v>12</v>
      </c>
      <c r="C28" s="308"/>
      <c r="D28" s="148" t="s">
        <v>190</v>
      </c>
      <c r="G28" s="305" t="s">
        <v>13</v>
      </c>
      <c r="H28" s="306"/>
      <c r="I28" s="133" t="s">
        <v>190</v>
      </c>
      <c r="L28" s="178" t="s">
        <v>191</v>
      </c>
      <c r="M28" s="171">
        <v>1500</v>
      </c>
      <c r="N28" s="162">
        <f>SUM(M28*O28)</f>
        <v>18000</v>
      </c>
      <c r="O28" s="167">
        <v>12</v>
      </c>
    </row>
    <row r="29" spans="2:15" ht="15" x14ac:dyDescent="0.25">
      <c r="B29" s="67" t="s">
        <v>192</v>
      </c>
      <c r="C29" s="143" t="s">
        <v>193</v>
      </c>
      <c r="D29" s="140"/>
      <c r="G29" s="122" t="s">
        <v>194</v>
      </c>
      <c r="H29" s="181">
        <f>I13</f>
        <v>89580</v>
      </c>
      <c r="I29" s="130">
        <f>H29/H$39</f>
        <v>7.0390218604139493E-2</v>
      </c>
      <c r="L29" s="179" t="s">
        <v>195</v>
      </c>
      <c r="M29" s="161">
        <v>1400</v>
      </c>
      <c r="N29" s="163">
        <f>SUM(M29*O29)</f>
        <v>16800</v>
      </c>
      <c r="O29" s="168">
        <v>12</v>
      </c>
    </row>
    <row r="30" spans="2:15" ht="15" x14ac:dyDescent="0.25">
      <c r="B30" s="68" t="s">
        <v>196</v>
      </c>
      <c r="C30" s="144">
        <f>ADM!O22</f>
        <v>66000</v>
      </c>
      <c r="D30" s="141">
        <f ca="1">C30/C$39</f>
        <v>0.34904936933125313</v>
      </c>
      <c r="G30" s="126" t="s">
        <v>0</v>
      </c>
      <c r="H30" s="160">
        <f>D13</f>
        <v>98060</v>
      </c>
      <c r="I30" s="131">
        <f t="shared" ref="I30:I39" si="7">H30/H$39</f>
        <v>7.7053637378007578E-2</v>
      </c>
      <c r="L30" s="179" t="s">
        <v>197</v>
      </c>
      <c r="M30" s="161">
        <v>1400</v>
      </c>
      <c r="N30" s="163">
        <f>SUM(M30*O30)</f>
        <v>16800</v>
      </c>
      <c r="O30" s="168">
        <v>12</v>
      </c>
    </row>
    <row r="31" spans="2:15" ht="15" x14ac:dyDescent="0.25">
      <c r="B31" s="67" t="s">
        <v>198</v>
      </c>
      <c r="C31" s="143">
        <f>ADM!O28</f>
        <v>0</v>
      </c>
      <c r="D31" s="141">
        <f t="shared" ref="D31:D34" ca="1" si="8">C31/C$39</f>
        <v>0</v>
      </c>
      <c r="G31" s="126" t="s">
        <v>8</v>
      </c>
      <c r="H31" s="180">
        <f>N48</f>
        <v>250440</v>
      </c>
      <c r="I31" s="131">
        <f t="shared" si="7"/>
        <v>0.19679087237352863</v>
      </c>
      <c r="L31" s="179" t="s">
        <v>199</v>
      </c>
      <c r="M31" s="161">
        <v>3600</v>
      </c>
      <c r="N31" s="163">
        <f t="shared" ref="N31" si="9">SUM(M31*O31)</f>
        <v>43200</v>
      </c>
      <c r="O31" s="168">
        <v>12</v>
      </c>
    </row>
    <row r="32" spans="2:15" ht="15" x14ac:dyDescent="0.25">
      <c r="B32" s="67" t="s">
        <v>200</v>
      </c>
      <c r="C32" s="145">
        <f>ADM!O37</f>
        <v>0</v>
      </c>
      <c r="D32" s="141">
        <f t="shared" ca="1" si="8"/>
        <v>0</v>
      </c>
      <c r="G32" s="126" t="s">
        <v>7</v>
      </c>
      <c r="H32" s="160">
        <f>D20</f>
        <v>26500</v>
      </c>
      <c r="I32" s="131">
        <f t="shared" si="7"/>
        <v>2.0823183668337759E-2</v>
      </c>
      <c r="L32" s="179" t="s">
        <v>201</v>
      </c>
      <c r="M32" s="161">
        <v>900</v>
      </c>
      <c r="N32" s="163">
        <f>SUM(M32*O32)</f>
        <v>10800</v>
      </c>
      <c r="O32" s="168">
        <v>12</v>
      </c>
    </row>
    <row r="33" spans="2:15" ht="15" x14ac:dyDescent="0.25">
      <c r="B33" s="67" t="s">
        <v>202</v>
      </c>
      <c r="C33" s="146">
        <f ca="1">ADM!O40</f>
        <v>63085</v>
      </c>
      <c r="D33" s="141">
        <f t="shared" ca="1" si="8"/>
        <v>0.33363302218578944</v>
      </c>
      <c r="G33" s="126" t="s">
        <v>10</v>
      </c>
      <c r="H33" s="160">
        <f>I25</f>
        <v>106500</v>
      </c>
      <c r="I33" s="131">
        <f t="shared" si="7"/>
        <v>8.3685624931244207E-2</v>
      </c>
      <c r="L33" s="179" t="s">
        <v>203</v>
      </c>
      <c r="M33" s="161">
        <v>600</v>
      </c>
      <c r="N33" s="163">
        <f t="shared" ref="N33:N39" si="10">SUM(M33*O33)</f>
        <v>7200</v>
      </c>
      <c r="O33" s="168">
        <v>12</v>
      </c>
    </row>
    <row r="34" spans="2:15" ht="15" x14ac:dyDescent="0.25">
      <c r="B34" s="69" t="s">
        <v>204</v>
      </c>
      <c r="C34" s="146">
        <f>ADM!O43</f>
        <v>60000</v>
      </c>
      <c r="D34" s="141">
        <f t="shared" ca="1" si="8"/>
        <v>0.31731760848295743</v>
      </c>
      <c r="G34" s="126" t="s">
        <v>205</v>
      </c>
      <c r="H34" s="160">
        <v>485000</v>
      </c>
      <c r="I34" s="131">
        <f t="shared" si="7"/>
        <v>0.38110355015637032</v>
      </c>
      <c r="L34" s="179" t="s">
        <v>206</v>
      </c>
      <c r="M34" s="161">
        <v>960</v>
      </c>
      <c r="N34" s="163">
        <f>SUM(M34*O34)</f>
        <v>11520</v>
      </c>
      <c r="O34" s="168">
        <v>12</v>
      </c>
    </row>
    <row r="35" spans="2:15" ht="15" x14ac:dyDescent="0.25">
      <c r="B35" s="67" t="s">
        <v>207</v>
      </c>
      <c r="C35" s="146">
        <f>ADM!O33</f>
        <v>0</v>
      </c>
      <c r="D35" s="141"/>
      <c r="G35" s="126" t="s">
        <v>2</v>
      </c>
      <c r="H35" s="160">
        <f>N13</f>
        <v>64080</v>
      </c>
      <c r="I35" s="131">
        <f t="shared" si="7"/>
        <v>5.0352815451588061E-2</v>
      </c>
      <c r="L35" s="179" t="s">
        <v>208</v>
      </c>
      <c r="M35" s="161">
        <v>960</v>
      </c>
      <c r="N35" s="163">
        <f t="shared" si="10"/>
        <v>11520</v>
      </c>
      <c r="O35" s="168">
        <v>12</v>
      </c>
    </row>
    <row r="36" spans="2:15" ht="15" x14ac:dyDescent="0.25">
      <c r="B36" s="67"/>
      <c r="C36" s="146"/>
      <c r="D36" s="141"/>
      <c r="G36" s="126" t="s">
        <v>9</v>
      </c>
      <c r="H36" s="160">
        <f>N25</f>
        <v>110460</v>
      </c>
      <c r="I36" s="131">
        <f t="shared" si="7"/>
        <v>8.6797315773758071E-2</v>
      </c>
      <c r="L36" s="179" t="s">
        <v>209</v>
      </c>
      <c r="M36" s="161">
        <v>180</v>
      </c>
      <c r="N36" s="163">
        <f t="shared" si="10"/>
        <v>2160</v>
      </c>
      <c r="O36" s="168">
        <v>12</v>
      </c>
    </row>
    <row r="37" spans="2:15" ht="15" x14ac:dyDescent="0.25">
      <c r="B37" s="67"/>
      <c r="C37" s="146"/>
      <c r="D37" s="141"/>
      <c r="G37" s="129" t="s">
        <v>185</v>
      </c>
      <c r="H37" s="160">
        <f>D25</f>
        <v>42000</v>
      </c>
      <c r="I37" s="131">
        <f t="shared" si="7"/>
        <v>3.3002781663025886E-2</v>
      </c>
      <c r="L37" s="179" t="s">
        <v>93</v>
      </c>
      <c r="M37" s="161">
        <v>3500</v>
      </c>
      <c r="N37" s="163">
        <f t="shared" si="10"/>
        <v>38500</v>
      </c>
      <c r="O37" s="168">
        <v>11</v>
      </c>
    </row>
    <row r="38" spans="2:15" ht="15" x14ac:dyDescent="0.25">
      <c r="B38" s="67"/>
      <c r="C38" s="146"/>
      <c r="D38" s="141"/>
      <c r="G38" s="126"/>
      <c r="H38" s="182"/>
      <c r="I38" s="131"/>
      <c r="L38" s="179" t="s">
        <v>210</v>
      </c>
      <c r="M38" s="161">
        <v>200</v>
      </c>
      <c r="N38" s="163">
        <f t="shared" si="10"/>
        <v>2200</v>
      </c>
      <c r="O38" s="168">
        <v>11</v>
      </c>
    </row>
    <row r="39" spans="2:15" ht="15" x14ac:dyDescent="0.25">
      <c r="B39" s="70"/>
      <c r="C39" s="147">
        <f ca="1">SUM(C29:C38)</f>
        <v>189085</v>
      </c>
      <c r="D39" s="142">
        <f ca="1">C39/C$39</f>
        <v>1</v>
      </c>
      <c r="G39" s="127"/>
      <c r="H39" s="183">
        <f>SUM(H29:H37)</f>
        <v>1272620</v>
      </c>
      <c r="I39" s="132">
        <f t="shared" si="7"/>
        <v>1</v>
      </c>
      <c r="L39" s="179" t="s">
        <v>63</v>
      </c>
      <c r="M39" s="165">
        <v>3000</v>
      </c>
      <c r="N39" s="163">
        <f t="shared" si="10"/>
        <v>12000</v>
      </c>
      <c r="O39" s="168">
        <v>4</v>
      </c>
    </row>
    <row r="40" spans="2:15" ht="15" x14ac:dyDescent="0.25">
      <c r="B40" s="71"/>
      <c r="C40" s="72"/>
      <c r="D40" s="134"/>
      <c r="H40" s="73"/>
      <c r="I40" s="57"/>
      <c r="L40" s="179" t="s">
        <v>211</v>
      </c>
      <c r="M40" s="166"/>
      <c r="N40" s="164">
        <v>5000</v>
      </c>
      <c r="O40" s="168"/>
    </row>
    <row r="41" spans="2:15" ht="15" x14ac:dyDescent="0.25">
      <c r="B41" s="71"/>
      <c r="C41" s="72"/>
      <c r="D41" s="134"/>
      <c r="H41" s="73"/>
      <c r="I41" s="57"/>
      <c r="L41" s="179" t="s">
        <v>212</v>
      </c>
      <c r="M41" s="166"/>
      <c r="N41" s="164">
        <v>25000</v>
      </c>
      <c r="O41" s="168"/>
    </row>
    <row r="42" spans="2:15" ht="15" x14ac:dyDescent="0.25">
      <c r="B42" s="71"/>
      <c r="C42" s="72"/>
      <c r="D42" s="134"/>
      <c r="H42" s="73"/>
      <c r="I42" s="57"/>
      <c r="L42" s="179" t="s">
        <v>213</v>
      </c>
      <c r="M42" s="166">
        <v>200</v>
      </c>
      <c r="N42" s="163">
        <f t="shared" ref="N42:N46" si="11">SUM(M42*O42)</f>
        <v>2200</v>
      </c>
      <c r="O42" s="168">
        <v>11</v>
      </c>
    </row>
    <row r="43" spans="2:15" ht="15" x14ac:dyDescent="0.25">
      <c r="B43" s="71"/>
      <c r="C43" s="72"/>
      <c r="D43" s="134"/>
      <c r="H43" s="73"/>
      <c r="I43" s="57"/>
      <c r="L43" s="179" t="s">
        <v>214</v>
      </c>
      <c r="M43" s="166">
        <v>1500</v>
      </c>
      <c r="N43" s="163">
        <f t="shared" si="11"/>
        <v>18000</v>
      </c>
      <c r="O43" s="168">
        <v>12</v>
      </c>
    </row>
    <row r="44" spans="2:15" ht="15" x14ac:dyDescent="0.25">
      <c r="B44" s="71"/>
      <c r="C44" s="72"/>
      <c r="D44" s="134"/>
      <c r="H44" s="73"/>
      <c r="I44" s="57"/>
      <c r="L44" s="179" t="s">
        <v>215</v>
      </c>
      <c r="M44" s="166">
        <v>250</v>
      </c>
      <c r="N44" s="163">
        <f t="shared" si="11"/>
        <v>3000</v>
      </c>
      <c r="O44" s="168">
        <v>12</v>
      </c>
    </row>
    <row r="45" spans="2:15" ht="15" x14ac:dyDescent="0.25">
      <c r="B45" s="71"/>
      <c r="C45" s="72"/>
      <c r="D45" s="134"/>
      <c r="H45" s="73"/>
      <c r="I45" s="57"/>
      <c r="L45" s="179" t="s">
        <v>216</v>
      </c>
      <c r="M45" s="166">
        <v>350</v>
      </c>
      <c r="N45" s="163">
        <f t="shared" si="11"/>
        <v>4200</v>
      </c>
      <c r="O45" s="168">
        <v>12</v>
      </c>
    </row>
    <row r="46" spans="2:15" ht="15" x14ac:dyDescent="0.25">
      <c r="B46" s="71"/>
      <c r="C46" s="72"/>
      <c r="D46" s="134"/>
      <c r="H46" s="73"/>
      <c r="I46" s="57"/>
      <c r="L46" s="179" t="s">
        <v>217</v>
      </c>
      <c r="M46" s="166">
        <v>195</v>
      </c>
      <c r="N46" s="163">
        <f t="shared" si="11"/>
        <v>2340</v>
      </c>
      <c r="O46" s="168">
        <v>12</v>
      </c>
    </row>
    <row r="47" spans="2:15" x14ac:dyDescent="0.2">
      <c r="B47" s="71"/>
      <c r="C47" s="72"/>
      <c r="D47" s="134"/>
      <c r="H47" s="73"/>
      <c r="I47" s="57"/>
      <c r="L47" s="126"/>
      <c r="O47" s="169"/>
    </row>
    <row r="48" spans="2:15" x14ac:dyDescent="0.2">
      <c r="B48" s="71"/>
      <c r="C48" s="72"/>
      <c r="D48" s="134"/>
      <c r="H48" s="73"/>
      <c r="I48" s="57"/>
      <c r="L48" s="127"/>
      <c r="M48" s="159"/>
      <c r="N48" s="158">
        <f>SUM(N28:N46)</f>
        <v>250440</v>
      </c>
      <c r="O48" s="170"/>
    </row>
    <row r="49" spans="1:27" x14ac:dyDescent="0.2">
      <c r="B49" s="71"/>
      <c r="C49" s="72"/>
      <c r="D49" s="134"/>
      <c r="H49" s="73"/>
      <c r="I49" s="57"/>
    </row>
    <row r="50" spans="1:27" x14ac:dyDescent="0.2">
      <c r="B50" s="71"/>
      <c r="C50" s="72"/>
      <c r="D50" s="134"/>
      <c r="H50" s="73"/>
      <c r="I50" s="57"/>
    </row>
    <row r="51" spans="1:27" x14ac:dyDescent="0.2">
      <c r="B51" s="71"/>
      <c r="C51" s="72"/>
      <c r="D51" s="134"/>
      <c r="H51" s="73"/>
      <c r="I51" s="57"/>
    </row>
    <row r="52" spans="1:27" x14ac:dyDescent="0.2">
      <c r="B52" s="71"/>
      <c r="C52" s="72"/>
      <c r="D52" s="134"/>
      <c r="H52" s="73"/>
      <c r="I52" s="57"/>
    </row>
    <row r="53" spans="1:27" x14ac:dyDescent="0.2">
      <c r="B53" s="71"/>
      <c r="C53" s="72"/>
      <c r="D53" s="134"/>
      <c r="H53" s="73"/>
      <c r="I53" s="57"/>
    </row>
    <row r="54" spans="1:27" x14ac:dyDescent="0.2">
      <c r="B54" s="71"/>
      <c r="C54" s="72"/>
      <c r="D54" s="134"/>
      <c r="H54" s="73"/>
      <c r="I54" s="57"/>
    </row>
    <row r="55" spans="1:27" x14ac:dyDescent="0.2">
      <c r="B55" s="71"/>
      <c r="C55" s="72"/>
      <c r="D55" s="134"/>
      <c r="H55" s="73"/>
      <c r="I55" s="57"/>
    </row>
    <row r="57" spans="1:27" ht="19.5" thickBot="1" x14ac:dyDescent="0.3">
      <c r="A57" s="292" t="s">
        <v>218</v>
      </c>
      <c r="B57" s="293"/>
      <c r="C57" s="293"/>
      <c r="D57" s="293"/>
      <c r="E57" s="293"/>
      <c r="F57" s="293"/>
      <c r="G57" s="294"/>
      <c r="I57" s="292" t="s">
        <v>219</v>
      </c>
      <c r="J57" s="293"/>
      <c r="K57" s="293"/>
      <c r="L57" s="293"/>
      <c r="M57" s="293"/>
      <c r="N57" s="293"/>
      <c r="O57" s="294"/>
      <c r="AA57" s="52"/>
    </row>
    <row r="58" spans="1:27" ht="19.5" thickBot="1" x14ac:dyDescent="0.3">
      <c r="A58" s="77" t="s">
        <v>220</v>
      </c>
      <c r="B58" s="78"/>
      <c r="C58" s="78" t="s">
        <v>221</v>
      </c>
      <c r="D58" s="78" t="s">
        <v>221</v>
      </c>
      <c r="E58" s="78" t="s">
        <v>222</v>
      </c>
      <c r="F58" s="78" t="s">
        <v>222</v>
      </c>
      <c r="G58" s="79" t="s">
        <v>223</v>
      </c>
      <c r="H58" s="52"/>
      <c r="I58" s="77" t="s">
        <v>220</v>
      </c>
      <c r="J58" s="78"/>
      <c r="K58" s="78" t="s">
        <v>221</v>
      </c>
      <c r="L58" s="78" t="s">
        <v>221</v>
      </c>
      <c r="M58" s="78" t="s">
        <v>222</v>
      </c>
      <c r="N58" s="78" t="s">
        <v>222</v>
      </c>
      <c r="O58" s="79" t="s">
        <v>223</v>
      </c>
      <c r="AA58" s="52"/>
    </row>
    <row r="59" spans="1:27" ht="13.5" thickBot="1" x14ac:dyDescent="0.3">
      <c r="A59" s="52"/>
      <c r="B59" s="52"/>
      <c r="C59" s="52"/>
      <c r="D59" s="52"/>
      <c r="E59" s="52"/>
      <c r="F59" s="80"/>
      <c r="G59" s="52"/>
      <c r="H59" s="52"/>
      <c r="I59" s="52"/>
      <c r="J59" s="52"/>
      <c r="K59" s="52"/>
      <c r="L59" s="52"/>
      <c r="M59" s="52"/>
      <c r="N59" s="80"/>
      <c r="O59" s="52"/>
      <c r="AA59" s="52"/>
    </row>
    <row r="60" spans="1:27" ht="18.75" x14ac:dyDescent="0.25">
      <c r="A60" s="81" t="s">
        <v>224</v>
      </c>
      <c r="B60" s="82">
        <v>226200</v>
      </c>
      <c r="C60" s="83">
        <v>20300</v>
      </c>
      <c r="D60" s="84">
        <f>C60/B60</f>
        <v>8.9743589743589744E-2</v>
      </c>
      <c r="E60" s="85">
        <v>21300</v>
      </c>
      <c r="F60" s="84">
        <f>E60/B60</f>
        <v>9.4164456233421748E-2</v>
      </c>
      <c r="G60" s="86">
        <f>F60-D60</f>
        <v>4.4208664898320038E-3</v>
      </c>
      <c r="H60" s="87"/>
      <c r="I60" s="81" t="s">
        <v>194</v>
      </c>
      <c r="J60" s="88">
        <f>H29</f>
        <v>89580</v>
      </c>
      <c r="K60" s="89">
        <v>7918.34</v>
      </c>
      <c r="L60" s="84">
        <f>K60/J60</f>
        <v>8.8394061174369279E-2</v>
      </c>
      <c r="M60" s="89">
        <v>5627.16</v>
      </c>
      <c r="N60" s="84">
        <f>M60/J60</f>
        <v>6.28171466845278E-2</v>
      </c>
      <c r="O60" s="90">
        <f t="shared" ref="O60:O66" si="12">L60-N60</f>
        <v>2.5576914489841479E-2</v>
      </c>
      <c r="AA60" s="52"/>
    </row>
    <row r="61" spans="1:27" ht="18.75" x14ac:dyDescent="0.25">
      <c r="A61" s="91" t="s">
        <v>225</v>
      </c>
      <c r="B61" s="92">
        <v>59400</v>
      </c>
      <c r="C61" s="93">
        <v>4950</v>
      </c>
      <c r="D61" s="94">
        <f>C61/B61</f>
        <v>8.3333333333333329E-2</v>
      </c>
      <c r="E61" s="93">
        <v>4910.6400000000003</v>
      </c>
      <c r="F61" s="94">
        <f>E61/B61</f>
        <v>8.2670707070707075E-2</v>
      </c>
      <c r="G61" s="95">
        <f>F61-D61</f>
        <v>-6.6262626262625357E-4</v>
      </c>
      <c r="H61" s="87"/>
      <c r="I61" s="91" t="s">
        <v>0</v>
      </c>
      <c r="J61" s="96">
        <f>H30</f>
        <v>98060</v>
      </c>
      <c r="K61" s="97">
        <v>14800.37</v>
      </c>
      <c r="L61" s="94">
        <f>K61/J61</f>
        <v>0.15093177646338976</v>
      </c>
      <c r="M61" s="97">
        <v>13318.18</v>
      </c>
      <c r="N61" s="94">
        <f>M61/J61</f>
        <v>0.13581664287171119</v>
      </c>
      <c r="O61" s="98">
        <f>L61-N61</f>
        <v>1.511513359167857E-2</v>
      </c>
      <c r="AA61" s="52"/>
    </row>
    <row r="62" spans="1:27" ht="18.75" x14ac:dyDescent="0.25">
      <c r="A62" s="91" t="s">
        <v>226</v>
      </c>
      <c r="B62" s="92">
        <v>73000</v>
      </c>
      <c r="C62" s="93">
        <v>6083.33</v>
      </c>
      <c r="D62" s="94">
        <f t="shared" ref="D62:D68" si="13">C62/B62</f>
        <v>8.3333287671232881E-2</v>
      </c>
      <c r="E62" s="93">
        <v>842.61</v>
      </c>
      <c r="F62" s="94">
        <f>E62/B62</f>
        <v>1.1542602739726028E-2</v>
      </c>
      <c r="G62" s="95">
        <f t="shared" ref="G62:G68" si="14">F62-D62</f>
        <v>-7.1790684931506851E-2</v>
      </c>
      <c r="H62" s="87"/>
      <c r="I62" s="91" t="s">
        <v>227</v>
      </c>
      <c r="J62" s="96">
        <f>H32</f>
        <v>26500</v>
      </c>
      <c r="K62" s="97">
        <v>11225</v>
      </c>
      <c r="L62" s="94">
        <f t="shared" ref="L62:L66" si="15">K62/J62</f>
        <v>0.42358490566037738</v>
      </c>
      <c r="M62" s="97">
        <v>6100.71</v>
      </c>
      <c r="N62" s="94">
        <f>M62/J62</f>
        <v>0.23021547169811321</v>
      </c>
      <c r="O62" s="98">
        <f t="shared" si="12"/>
        <v>0.19336943396226416</v>
      </c>
      <c r="AA62" s="52"/>
    </row>
    <row r="63" spans="1:27" ht="18.75" x14ac:dyDescent="0.25">
      <c r="A63" s="91" t="s">
        <v>2</v>
      </c>
      <c r="B63" s="92">
        <v>84000</v>
      </c>
      <c r="C63" s="93">
        <v>7000</v>
      </c>
      <c r="D63" s="94">
        <f t="shared" si="13"/>
        <v>8.3333333333333329E-2</v>
      </c>
      <c r="E63" s="93">
        <v>5593.53</v>
      </c>
      <c r="F63" s="94">
        <f t="shared" ref="F63:F68" si="16">E63/B63</f>
        <v>6.6589642857142847E-2</v>
      </c>
      <c r="G63" s="99">
        <f t="shared" si="14"/>
        <v>-1.6743690476190481E-2</v>
      </c>
      <c r="H63" s="87"/>
      <c r="I63" s="91" t="s">
        <v>10</v>
      </c>
      <c r="J63" s="96">
        <f>H33</f>
        <v>106500</v>
      </c>
      <c r="K63" s="97">
        <v>3982.81</v>
      </c>
      <c r="L63" s="94">
        <f t="shared" si="15"/>
        <v>3.7397276995305165E-2</v>
      </c>
      <c r="M63" s="97">
        <v>3144.6</v>
      </c>
      <c r="N63" s="94">
        <f t="shared" ref="N63:N66" si="17">M63/J63</f>
        <v>2.9526760563380283E-2</v>
      </c>
      <c r="O63" s="98">
        <f t="shared" si="12"/>
        <v>7.8705164319248823E-3</v>
      </c>
      <c r="AA63" s="52"/>
    </row>
    <row r="64" spans="1:27" ht="18.75" x14ac:dyDescent="0.25">
      <c r="A64" s="91" t="s">
        <v>202</v>
      </c>
      <c r="B64" s="92">
        <v>257500</v>
      </c>
      <c r="C64" s="93">
        <v>0</v>
      </c>
      <c r="D64" s="94">
        <f t="shared" si="13"/>
        <v>0</v>
      </c>
      <c r="E64" s="100">
        <v>0</v>
      </c>
      <c r="F64" s="94">
        <f t="shared" si="16"/>
        <v>0</v>
      </c>
      <c r="G64" s="99">
        <f t="shared" si="14"/>
        <v>0</v>
      </c>
      <c r="H64" s="87"/>
      <c r="I64" s="91" t="s">
        <v>205</v>
      </c>
      <c r="J64" s="96">
        <f>H34</f>
        <v>485000</v>
      </c>
      <c r="K64" s="97">
        <v>19683.63</v>
      </c>
      <c r="L64" s="94">
        <f t="shared" si="15"/>
        <v>4.0584804123711342E-2</v>
      </c>
      <c r="M64" s="97">
        <v>30897.21</v>
      </c>
      <c r="N64" s="94">
        <f t="shared" si="17"/>
        <v>6.3705587628865981E-2</v>
      </c>
      <c r="O64" s="98">
        <f>L64-N64</f>
        <v>-2.3120783505154639E-2</v>
      </c>
      <c r="AA64" s="52"/>
    </row>
    <row r="65" spans="1:27" ht="18.75" x14ac:dyDescent="0.25">
      <c r="A65" s="91" t="s">
        <v>9</v>
      </c>
      <c r="B65" s="97">
        <v>52000</v>
      </c>
      <c r="C65" s="93">
        <v>0</v>
      </c>
      <c r="D65" s="94">
        <f t="shared" si="13"/>
        <v>0</v>
      </c>
      <c r="E65" s="100">
        <v>0</v>
      </c>
      <c r="F65" s="94">
        <f t="shared" si="16"/>
        <v>0</v>
      </c>
      <c r="G65" s="99">
        <f t="shared" si="14"/>
        <v>0</v>
      </c>
      <c r="H65" s="87"/>
      <c r="I65" s="91" t="s">
        <v>2</v>
      </c>
      <c r="J65" s="96">
        <f>H35</f>
        <v>64080</v>
      </c>
      <c r="K65" s="97">
        <v>2879</v>
      </c>
      <c r="L65" s="94">
        <f t="shared" si="15"/>
        <v>4.4928214731585515E-2</v>
      </c>
      <c r="M65" s="97">
        <v>3341.63</v>
      </c>
      <c r="N65" s="94">
        <f t="shared" si="17"/>
        <v>5.2147784019975031E-2</v>
      </c>
      <c r="O65" s="98">
        <f t="shared" si="12"/>
        <v>-7.2195692883895157E-3</v>
      </c>
      <c r="AA65" s="52"/>
    </row>
    <row r="66" spans="1:27" ht="18.75" x14ac:dyDescent="0.25">
      <c r="A66" s="91" t="s">
        <v>0</v>
      </c>
      <c r="B66" s="101">
        <v>12717.16</v>
      </c>
      <c r="C66" s="93">
        <v>1271.72</v>
      </c>
      <c r="D66" s="94">
        <f t="shared" si="13"/>
        <v>0.10000031453563532</v>
      </c>
      <c r="E66" s="100">
        <v>0</v>
      </c>
      <c r="F66" s="94">
        <f t="shared" si="16"/>
        <v>0</v>
      </c>
      <c r="G66" s="95">
        <f t="shared" si="14"/>
        <v>-0.10000031453563532</v>
      </c>
      <c r="H66" s="87"/>
      <c r="I66" s="91" t="s">
        <v>9</v>
      </c>
      <c r="J66" s="96">
        <f>H36</f>
        <v>110460</v>
      </c>
      <c r="K66" s="97">
        <v>1126.67</v>
      </c>
      <c r="L66" s="94">
        <f t="shared" si="15"/>
        <v>1.0199800832880681E-2</v>
      </c>
      <c r="M66" s="97">
        <v>5627.16</v>
      </c>
      <c r="N66" s="94">
        <f t="shared" si="17"/>
        <v>5.0942965779467678E-2</v>
      </c>
      <c r="O66" s="98">
        <f t="shared" si="12"/>
        <v>-4.0743164946586995E-2</v>
      </c>
      <c r="AA66" s="52"/>
    </row>
    <row r="67" spans="1:27" ht="18.75" x14ac:dyDescent="0.25">
      <c r="A67" s="91" t="s">
        <v>228</v>
      </c>
      <c r="B67" s="101">
        <v>8580</v>
      </c>
      <c r="C67" s="93">
        <v>858</v>
      </c>
      <c r="D67" s="94">
        <f t="shared" si="13"/>
        <v>0.1</v>
      </c>
      <c r="E67" s="100">
        <v>0</v>
      </c>
      <c r="F67" s="94">
        <f t="shared" si="16"/>
        <v>0</v>
      </c>
      <c r="G67" s="95">
        <f t="shared" si="14"/>
        <v>-0.1</v>
      </c>
      <c r="H67" s="87"/>
      <c r="I67" s="102"/>
      <c r="J67" s="103"/>
      <c r="K67" s="87"/>
      <c r="L67" s="104"/>
      <c r="M67" s="87"/>
      <c r="N67" s="104"/>
      <c r="O67" s="98"/>
      <c r="AA67" s="52"/>
    </row>
    <row r="68" spans="1:27" ht="19.5" thickBot="1" x14ac:dyDescent="0.3">
      <c r="A68" s="105" t="s">
        <v>227</v>
      </c>
      <c r="B68" s="106">
        <v>800</v>
      </c>
      <c r="C68" s="107">
        <v>80</v>
      </c>
      <c r="D68" s="108">
        <f t="shared" si="13"/>
        <v>0.1</v>
      </c>
      <c r="E68" s="109">
        <v>0</v>
      </c>
      <c r="F68" s="108">
        <f t="shared" si="16"/>
        <v>0</v>
      </c>
      <c r="G68" s="110">
        <f t="shared" si="14"/>
        <v>-0.1</v>
      </c>
      <c r="H68" s="87"/>
      <c r="I68" s="111"/>
      <c r="J68" s="112"/>
      <c r="K68" s="113">
        <f>SUM(K60:K66)</f>
        <v>61615.819999999992</v>
      </c>
      <c r="L68" s="114">
        <f t="shared" ref="L68:O68" si="18">SUM(L60:L66)</f>
        <v>0.7960208399816191</v>
      </c>
      <c r="M68" s="113">
        <f t="shared" si="18"/>
        <v>68056.649999999994</v>
      </c>
      <c r="N68" s="114">
        <f t="shared" si="18"/>
        <v>0.62517235924604109</v>
      </c>
      <c r="O68" s="114">
        <f t="shared" si="18"/>
        <v>0.17084848073557793</v>
      </c>
      <c r="AA68" s="52"/>
    </row>
    <row r="69" spans="1:27" ht="35.25" customHeight="1" thickBot="1" x14ac:dyDescent="0.3">
      <c r="A69" s="87"/>
      <c r="B69" s="87"/>
      <c r="C69" s="87"/>
      <c r="D69" s="87"/>
      <c r="E69" s="87"/>
      <c r="F69" s="115"/>
      <c r="G69" s="87"/>
      <c r="H69" s="87"/>
      <c r="I69" s="52"/>
      <c r="J69" s="52"/>
      <c r="K69" s="52"/>
      <c r="L69" s="52"/>
      <c r="M69" s="52"/>
      <c r="N69" s="52"/>
      <c r="O69" s="52"/>
      <c r="AA69" s="52"/>
    </row>
    <row r="70" spans="1:27" ht="19.5" thickBot="1" x14ac:dyDescent="0.3">
      <c r="A70" s="87"/>
      <c r="B70" s="87"/>
      <c r="C70" s="100">
        <f>SUM(C60:C68)</f>
        <v>40543.050000000003</v>
      </c>
      <c r="D70" s="116">
        <f t="shared" ref="D70:G70" si="19">SUM(D60:D68)</f>
        <v>0.63974385861712457</v>
      </c>
      <c r="E70" s="100">
        <f t="shared" si="19"/>
        <v>32646.78</v>
      </c>
      <c r="F70" s="116">
        <f t="shared" si="19"/>
        <v>0.25496740890099767</v>
      </c>
      <c r="G70" s="116">
        <f t="shared" si="19"/>
        <v>-0.3847764497161269</v>
      </c>
      <c r="H70" s="87"/>
      <c r="I70" s="74" t="s">
        <v>229</v>
      </c>
      <c r="J70" s="75"/>
      <c r="K70" s="75"/>
      <c r="L70" s="75"/>
      <c r="M70" s="75"/>
      <c r="N70" s="75"/>
      <c r="O70" s="76"/>
      <c r="AA70" s="52"/>
    </row>
    <row r="71" spans="1:27" ht="19.5" thickBot="1" x14ac:dyDescent="0.3">
      <c r="A71" s="52"/>
      <c r="B71" s="52"/>
      <c r="C71" s="52"/>
      <c r="D71" s="117"/>
      <c r="E71" s="52"/>
      <c r="F71" s="52"/>
      <c r="G71" s="52"/>
      <c r="H71" s="52"/>
      <c r="I71" s="77" t="s">
        <v>230</v>
      </c>
      <c r="J71" s="78"/>
      <c r="K71" s="78" t="s">
        <v>221</v>
      </c>
      <c r="L71" s="78" t="s">
        <v>221</v>
      </c>
      <c r="M71" s="78" t="s">
        <v>222</v>
      </c>
      <c r="N71" s="78" t="s">
        <v>222</v>
      </c>
      <c r="O71" s="79" t="s">
        <v>223</v>
      </c>
      <c r="AA71" s="52"/>
    </row>
    <row r="72" spans="1:27" ht="23.25" customHeight="1" thickBot="1" x14ac:dyDescent="0.3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80"/>
      <c r="O72" s="52"/>
      <c r="AA72" s="52"/>
    </row>
    <row r="73" spans="1:27" ht="19.5" thickBot="1" x14ac:dyDescent="0.3">
      <c r="A73" s="52"/>
      <c r="B73" s="52"/>
      <c r="C73" s="52"/>
      <c r="D73" s="117">
        <f>SUM(M68/E70)</f>
        <v>2.084635912025627</v>
      </c>
      <c r="E73" s="52"/>
      <c r="F73" s="52"/>
      <c r="G73" s="52"/>
      <c r="H73" s="52"/>
      <c r="I73" s="77" t="s">
        <v>231</v>
      </c>
      <c r="J73" s="118">
        <v>72875.8</v>
      </c>
      <c r="K73" s="118">
        <v>116691.85</v>
      </c>
      <c r="L73" s="119">
        <f>SUM(J73/K73)-100%</f>
        <v>-0.37548509171805911</v>
      </c>
      <c r="M73" s="78"/>
      <c r="N73" s="120"/>
      <c r="O73" s="121"/>
      <c r="P73" s="52"/>
      <c r="Q73" s="52"/>
      <c r="R73" s="52"/>
      <c r="S73" s="52"/>
      <c r="T73" s="87"/>
      <c r="U73" s="96"/>
      <c r="V73" s="87"/>
      <c r="W73" s="104"/>
      <c r="X73" s="87"/>
      <c r="Y73" s="104"/>
      <c r="Z73" s="115"/>
      <c r="AA73" s="52"/>
    </row>
    <row r="74" spans="1:27" x14ac:dyDescent="0.25"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</row>
    <row r="75" spans="1:27" x14ac:dyDescent="0.25"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</row>
    <row r="76" spans="1:27" x14ac:dyDescent="0.25"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</row>
    <row r="77" spans="1:27" x14ac:dyDescent="0.25"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</row>
    <row r="78" spans="1:27" x14ac:dyDescent="0.25"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</row>
  </sheetData>
  <mergeCells count="13">
    <mergeCell ref="L27:O27"/>
    <mergeCell ref="A57:G57"/>
    <mergeCell ref="I57:O57"/>
    <mergeCell ref="F1:F25"/>
    <mergeCell ref="B2:E2"/>
    <mergeCell ref="G2:J2"/>
    <mergeCell ref="L2:O2"/>
    <mergeCell ref="B15:E15"/>
    <mergeCell ref="G15:J15"/>
    <mergeCell ref="L15:O15"/>
    <mergeCell ref="B21:E21"/>
    <mergeCell ref="G28:H28"/>
    <mergeCell ref="B28:C28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F168"/>
  <sheetViews>
    <sheetView showGridLines="0" workbookViewId="0">
      <selection activeCell="D7" sqref="A7:D7"/>
    </sheetView>
  </sheetViews>
  <sheetFormatPr defaultRowHeight="15" x14ac:dyDescent="0.25"/>
  <cols>
    <col min="1" max="1" width="5.7109375" customWidth="1"/>
    <col min="2" max="2" width="40.85546875" bestFit="1" customWidth="1"/>
    <col min="3" max="5" width="14.7109375" customWidth="1"/>
    <col min="6" max="6" width="35.5703125" style="26" customWidth="1"/>
  </cols>
  <sheetData>
    <row r="1" spans="2:6" ht="68.25" customHeight="1" x14ac:dyDescent="0.25">
      <c r="C1" s="309" t="s">
        <v>14</v>
      </c>
      <c r="D1" s="309"/>
      <c r="E1" s="309"/>
      <c r="F1" s="309"/>
    </row>
    <row r="2" spans="2:6" ht="24.95" customHeight="1" x14ac:dyDescent="0.25">
      <c r="D2" s="310" t="s">
        <v>232</v>
      </c>
      <c r="E2" s="311"/>
      <c r="F2" s="311"/>
    </row>
    <row r="3" spans="2:6" ht="43.5" customHeight="1" x14ac:dyDescent="0.25">
      <c r="B3" s="27" t="s">
        <v>16</v>
      </c>
      <c r="C3" s="28" t="s">
        <v>233</v>
      </c>
      <c r="D3" s="29" t="s">
        <v>234</v>
      </c>
      <c r="E3" s="28" t="s">
        <v>235</v>
      </c>
      <c r="F3" s="30" t="s">
        <v>236</v>
      </c>
    </row>
    <row r="4" spans="2:6" s="9" customFormat="1" ht="19.5" x14ac:dyDescent="0.25">
      <c r="B4" s="18" t="s">
        <v>31</v>
      </c>
      <c r="C4" s="8">
        <v>0</v>
      </c>
      <c r="D4" s="8">
        <v>0</v>
      </c>
      <c r="E4" s="8">
        <v>0</v>
      </c>
      <c r="F4" s="20"/>
    </row>
    <row r="5" spans="2:6" s="9" customFormat="1" ht="19.5" x14ac:dyDescent="0.25">
      <c r="B5" s="10" t="s">
        <v>32</v>
      </c>
      <c r="C5" s="11">
        <v>0</v>
      </c>
      <c r="D5" s="11">
        <v>0</v>
      </c>
      <c r="E5" s="11">
        <v>0</v>
      </c>
      <c r="F5" s="21"/>
    </row>
    <row r="6" spans="2:6" s="9" customFormat="1" ht="15.75" x14ac:dyDescent="0.25">
      <c r="B6" s="12" t="s">
        <v>33</v>
      </c>
      <c r="C6" s="13">
        <v>0</v>
      </c>
      <c r="D6" s="13">
        <v>0</v>
      </c>
      <c r="E6" s="13">
        <v>0</v>
      </c>
      <c r="F6" s="22"/>
    </row>
    <row r="7" spans="2:6" s="9" customFormat="1" ht="15.75" x14ac:dyDescent="0.25">
      <c r="B7" s="12" t="s">
        <v>34</v>
      </c>
      <c r="C7" s="13">
        <v>0</v>
      </c>
      <c r="D7" s="13">
        <v>0</v>
      </c>
      <c r="E7" s="13">
        <v>0</v>
      </c>
      <c r="F7" s="22"/>
    </row>
    <row r="8" spans="2:6" s="9" customFormat="1" ht="15.75" x14ac:dyDescent="0.25">
      <c r="B8" s="12" t="s">
        <v>35</v>
      </c>
      <c r="C8" s="13">
        <v>0</v>
      </c>
      <c r="D8" s="13">
        <v>0</v>
      </c>
      <c r="E8" s="13">
        <v>0</v>
      </c>
      <c r="F8" s="22"/>
    </row>
    <row r="9" spans="2:6" s="9" customFormat="1" ht="15.75" x14ac:dyDescent="0.25">
      <c r="B9" s="12" t="s">
        <v>36</v>
      </c>
      <c r="C9" s="13">
        <v>0</v>
      </c>
      <c r="D9" s="13">
        <v>0</v>
      </c>
      <c r="E9" s="13">
        <v>0</v>
      </c>
      <c r="F9" s="22"/>
    </row>
    <row r="10" spans="2:6" s="9" customFormat="1" ht="15.75" x14ac:dyDescent="0.25">
      <c r="B10" s="12" t="s">
        <v>37</v>
      </c>
      <c r="C10" s="13">
        <v>0</v>
      </c>
      <c r="D10" s="13">
        <v>0</v>
      </c>
      <c r="E10" s="13">
        <v>0</v>
      </c>
      <c r="F10" s="22"/>
    </row>
    <row r="11" spans="2:6" s="9" customFormat="1" ht="15.75" x14ac:dyDescent="0.25">
      <c r="B11" s="12" t="s">
        <v>38</v>
      </c>
      <c r="C11" s="13">
        <v>0</v>
      </c>
      <c r="D11" s="13">
        <v>0</v>
      </c>
      <c r="E11" s="13">
        <v>0</v>
      </c>
      <c r="F11" s="22"/>
    </row>
    <row r="12" spans="2:6" s="9" customFormat="1" ht="19.5" x14ac:dyDescent="0.25">
      <c r="B12" s="10" t="s">
        <v>39</v>
      </c>
      <c r="C12" s="11">
        <v>0</v>
      </c>
      <c r="D12" s="11">
        <v>0</v>
      </c>
      <c r="E12" s="11">
        <v>0</v>
      </c>
      <c r="F12" s="21"/>
    </row>
    <row r="13" spans="2:6" s="9" customFormat="1" ht="15.75" x14ac:dyDescent="0.25">
      <c r="B13" s="12" t="s">
        <v>40</v>
      </c>
      <c r="C13" s="13">
        <v>0</v>
      </c>
      <c r="D13" s="13">
        <v>0</v>
      </c>
      <c r="E13" s="13">
        <v>0</v>
      </c>
      <c r="F13" s="22"/>
    </row>
    <row r="14" spans="2:6" s="9" customFormat="1" ht="15.75" x14ac:dyDescent="0.25">
      <c r="B14" s="12" t="s">
        <v>41</v>
      </c>
      <c r="C14" s="13">
        <v>0</v>
      </c>
      <c r="D14" s="13">
        <v>0</v>
      </c>
      <c r="E14" s="13">
        <v>0</v>
      </c>
      <c r="F14" s="22"/>
    </row>
    <row r="15" spans="2:6" s="9" customFormat="1" ht="15.75" x14ac:dyDescent="0.25">
      <c r="B15" s="12" t="s">
        <v>42</v>
      </c>
      <c r="C15" s="13">
        <v>0</v>
      </c>
      <c r="D15" s="13">
        <v>0</v>
      </c>
      <c r="E15" s="13">
        <v>0</v>
      </c>
      <c r="F15" s="22"/>
    </row>
    <row r="16" spans="2:6" s="9" customFormat="1" ht="15.75" x14ac:dyDescent="0.25">
      <c r="B16" s="12" t="s">
        <v>43</v>
      </c>
      <c r="C16" s="13">
        <v>0</v>
      </c>
      <c r="D16" s="13">
        <v>0</v>
      </c>
      <c r="E16" s="13">
        <v>0</v>
      </c>
      <c r="F16" s="22"/>
    </row>
    <row r="17" spans="2:6" s="9" customFormat="1" ht="15.75" x14ac:dyDescent="0.25">
      <c r="B17" s="12" t="s">
        <v>44</v>
      </c>
      <c r="C17" s="13">
        <v>0</v>
      </c>
      <c r="D17" s="13">
        <v>0</v>
      </c>
      <c r="E17" s="13">
        <v>0</v>
      </c>
      <c r="F17" s="22"/>
    </row>
    <row r="18" spans="2:6" s="9" customFormat="1" ht="19.5" x14ac:dyDescent="0.25">
      <c r="B18" s="10" t="s">
        <v>45</v>
      </c>
      <c r="C18" s="11">
        <v>0</v>
      </c>
      <c r="D18" s="11">
        <v>0</v>
      </c>
      <c r="E18" s="11">
        <v>0</v>
      </c>
      <c r="F18" s="21"/>
    </row>
    <row r="19" spans="2:6" s="9" customFormat="1" ht="15.75" x14ac:dyDescent="0.25">
      <c r="B19" s="12" t="s">
        <v>46</v>
      </c>
      <c r="C19" s="13">
        <v>0</v>
      </c>
      <c r="D19" s="13">
        <v>0</v>
      </c>
      <c r="E19" s="13">
        <v>0</v>
      </c>
      <c r="F19" s="22"/>
    </row>
    <row r="20" spans="2:6" s="9" customFormat="1" ht="15.75" x14ac:dyDescent="0.25">
      <c r="B20" s="12" t="s">
        <v>47</v>
      </c>
      <c r="C20" s="13">
        <v>0</v>
      </c>
      <c r="D20" s="13">
        <v>0</v>
      </c>
      <c r="E20" s="13">
        <v>0</v>
      </c>
      <c r="F20" s="22"/>
    </row>
    <row r="21" spans="2:6" s="9" customFormat="1" ht="15.75" x14ac:dyDescent="0.25">
      <c r="B21" s="12" t="s">
        <v>48</v>
      </c>
      <c r="C21" s="13">
        <v>0</v>
      </c>
      <c r="D21" s="13">
        <v>0</v>
      </c>
      <c r="E21" s="13">
        <v>0</v>
      </c>
      <c r="F21" s="22"/>
    </row>
    <row r="22" spans="2:6" s="9" customFormat="1" ht="15.75" x14ac:dyDescent="0.25">
      <c r="B22" s="12" t="s">
        <v>49</v>
      </c>
      <c r="C22" s="13">
        <v>0</v>
      </c>
      <c r="D22" s="13">
        <v>0</v>
      </c>
      <c r="E22" s="13">
        <v>0</v>
      </c>
      <c r="F22" s="22"/>
    </row>
    <row r="23" spans="2:6" s="9" customFormat="1" ht="15.75" x14ac:dyDescent="0.25">
      <c r="B23" s="12" t="s">
        <v>50</v>
      </c>
      <c r="C23" s="13">
        <v>0</v>
      </c>
      <c r="D23" s="13">
        <v>0</v>
      </c>
      <c r="E23" s="13">
        <v>0</v>
      </c>
      <c r="F23" s="22"/>
    </row>
    <row r="24" spans="2:6" s="9" customFormat="1" ht="19.5" x14ac:dyDescent="0.25">
      <c r="B24" s="10" t="s">
        <v>51</v>
      </c>
      <c r="C24" s="11">
        <v>0</v>
      </c>
      <c r="D24" s="11">
        <v>0</v>
      </c>
      <c r="E24" s="11">
        <v>0</v>
      </c>
      <c r="F24" s="21"/>
    </row>
    <row r="25" spans="2:6" s="9" customFormat="1" ht="15.75" x14ac:dyDescent="0.25">
      <c r="B25" s="12" t="s">
        <v>52</v>
      </c>
      <c r="C25" s="13">
        <v>0</v>
      </c>
      <c r="D25" s="13">
        <v>0</v>
      </c>
      <c r="E25" s="13">
        <v>0</v>
      </c>
      <c r="F25" s="22"/>
    </row>
    <row r="26" spans="2:6" s="9" customFormat="1" ht="15.75" x14ac:dyDescent="0.25">
      <c r="B26" s="12" t="s">
        <v>53</v>
      </c>
      <c r="C26" s="13">
        <v>0</v>
      </c>
      <c r="D26" s="13">
        <v>0</v>
      </c>
      <c r="E26" s="13">
        <v>0</v>
      </c>
      <c r="F26" s="22"/>
    </row>
    <row r="27" spans="2:6" s="9" customFormat="1" ht="15.75" x14ac:dyDescent="0.25">
      <c r="B27" s="12" t="s">
        <v>54</v>
      </c>
      <c r="C27" s="13">
        <v>0</v>
      </c>
      <c r="D27" s="13">
        <v>0</v>
      </c>
      <c r="E27" s="13">
        <v>0</v>
      </c>
      <c r="F27" s="22"/>
    </row>
    <row r="28" spans="2:6" s="9" customFormat="1" ht="19.5" x14ac:dyDescent="0.25">
      <c r="B28" s="10" t="s">
        <v>56</v>
      </c>
      <c r="C28" s="11">
        <v>0</v>
      </c>
      <c r="D28" s="11">
        <v>0</v>
      </c>
      <c r="E28" s="11">
        <v>0</v>
      </c>
      <c r="F28" s="21"/>
    </row>
    <row r="29" spans="2:6" s="9" customFormat="1" ht="15.75" x14ac:dyDescent="0.25">
      <c r="B29" s="12" t="s">
        <v>57</v>
      </c>
      <c r="C29" s="13">
        <v>0</v>
      </c>
      <c r="D29" s="13">
        <v>0</v>
      </c>
      <c r="E29" s="13">
        <v>0</v>
      </c>
      <c r="F29" s="22"/>
    </row>
    <row r="30" spans="2:6" s="9" customFormat="1" ht="15.75" x14ac:dyDescent="0.25">
      <c r="B30" s="12" t="s">
        <v>58</v>
      </c>
      <c r="C30" s="13">
        <v>0</v>
      </c>
      <c r="D30" s="13">
        <v>0</v>
      </c>
      <c r="E30" s="13">
        <v>0</v>
      </c>
      <c r="F30" s="22"/>
    </row>
    <row r="31" spans="2:6" s="9" customFormat="1" ht="15.75" x14ac:dyDescent="0.25">
      <c r="B31" s="12" t="s">
        <v>59</v>
      </c>
      <c r="C31" s="13">
        <v>0</v>
      </c>
      <c r="D31" s="13">
        <v>0</v>
      </c>
      <c r="E31" s="13">
        <v>0</v>
      </c>
      <c r="F31" s="22"/>
    </row>
    <row r="32" spans="2:6" s="9" customFormat="1" ht="19.5" x14ac:dyDescent="0.25">
      <c r="B32" s="10" t="s">
        <v>60</v>
      </c>
      <c r="C32" s="11">
        <v>0</v>
      </c>
      <c r="D32" s="11">
        <v>0</v>
      </c>
      <c r="E32" s="11">
        <v>0</v>
      </c>
      <c r="F32" s="21"/>
    </row>
    <row r="33" spans="2:6" s="9" customFormat="1" ht="15.75" x14ac:dyDescent="0.25">
      <c r="B33" s="12" t="s">
        <v>61</v>
      </c>
      <c r="C33" s="13">
        <v>0</v>
      </c>
      <c r="D33" s="13">
        <v>0</v>
      </c>
      <c r="E33" s="13">
        <v>0</v>
      </c>
      <c r="F33" s="22"/>
    </row>
    <row r="34" spans="2:6" s="9" customFormat="1" ht="15.75" x14ac:dyDescent="0.25">
      <c r="B34" s="12" t="s">
        <v>62</v>
      </c>
      <c r="C34" s="13">
        <v>0</v>
      </c>
      <c r="D34" s="13">
        <v>0</v>
      </c>
      <c r="E34" s="13">
        <v>0</v>
      </c>
      <c r="F34" s="22"/>
    </row>
    <row r="35" spans="2:6" s="9" customFormat="1" ht="19.5" x14ac:dyDescent="0.25">
      <c r="B35" s="10" t="s">
        <v>63</v>
      </c>
      <c r="C35" s="11">
        <v>0</v>
      </c>
      <c r="D35" s="11">
        <v>0</v>
      </c>
      <c r="E35" s="11">
        <v>0</v>
      </c>
      <c r="F35" s="21"/>
    </row>
    <row r="36" spans="2:6" s="9" customFormat="1" ht="15.75" x14ac:dyDescent="0.25">
      <c r="B36" s="12" t="s">
        <v>64</v>
      </c>
      <c r="C36" s="13">
        <v>0</v>
      </c>
      <c r="D36" s="13">
        <v>0</v>
      </c>
      <c r="E36" s="13">
        <v>0</v>
      </c>
      <c r="F36" s="22"/>
    </row>
    <row r="37" spans="2:6" s="9" customFormat="1" ht="15.75" x14ac:dyDescent="0.25">
      <c r="B37" s="12" t="s">
        <v>65</v>
      </c>
      <c r="C37" s="13">
        <v>0</v>
      </c>
      <c r="D37" s="13">
        <v>0</v>
      </c>
      <c r="E37" s="13">
        <v>0</v>
      </c>
      <c r="F37" s="22"/>
    </row>
    <row r="38" spans="2:6" s="9" customFormat="1" ht="19.5" x14ac:dyDescent="0.25">
      <c r="B38" s="10" t="s">
        <v>66</v>
      </c>
      <c r="C38" s="11">
        <v>0</v>
      </c>
      <c r="D38" s="11">
        <v>0</v>
      </c>
      <c r="E38" s="11">
        <v>0</v>
      </c>
      <c r="F38" s="21"/>
    </row>
    <row r="39" spans="2:6" s="9" customFormat="1" ht="15.75" x14ac:dyDescent="0.25">
      <c r="B39" s="12" t="s">
        <v>237</v>
      </c>
      <c r="C39" s="13">
        <v>0</v>
      </c>
      <c r="D39" s="13">
        <v>0</v>
      </c>
      <c r="E39" s="13">
        <v>0</v>
      </c>
      <c r="F39" s="22"/>
    </row>
    <row r="40" spans="2:6" s="9" customFormat="1" ht="15.75" x14ac:dyDescent="0.25">
      <c r="B40" s="12" t="s">
        <v>68</v>
      </c>
      <c r="C40" s="13">
        <v>0</v>
      </c>
      <c r="D40" s="13">
        <v>0</v>
      </c>
      <c r="E40" s="13">
        <v>0</v>
      </c>
      <c r="F40" s="22"/>
    </row>
    <row r="41" spans="2:6" s="9" customFormat="1" ht="15.75" x14ac:dyDescent="0.25">
      <c r="B41" s="12"/>
      <c r="C41" s="13"/>
      <c r="D41" s="13"/>
      <c r="E41" s="13"/>
      <c r="F41" s="22"/>
    </row>
    <row r="42" spans="2:6" s="9" customFormat="1" ht="19.5" x14ac:dyDescent="0.25">
      <c r="B42" s="19" t="s">
        <v>69</v>
      </c>
      <c r="C42" s="14">
        <v>0</v>
      </c>
      <c r="D42" s="14">
        <v>0</v>
      </c>
      <c r="E42" s="14">
        <v>0</v>
      </c>
      <c r="F42" s="23"/>
    </row>
    <row r="43" spans="2:6" s="9" customFormat="1" ht="19.5" x14ac:dyDescent="0.25">
      <c r="B43" s="15" t="s">
        <v>70</v>
      </c>
      <c r="C43" s="16">
        <v>0</v>
      </c>
      <c r="D43" s="16">
        <v>0</v>
      </c>
      <c r="E43" s="16">
        <v>0</v>
      </c>
      <c r="F43" s="24"/>
    </row>
    <row r="44" spans="2:6" s="9" customFormat="1" ht="15.75" x14ac:dyDescent="0.25">
      <c r="B44" s="12" t="s">
        <v>71</v>
      </c>
      <c r="C44" s="13">
        <v>0</v>
      </c>
      <c r="D44" s="13">
        <v>0</v>
      </c>
      <c r="E44" s="13">
        <v>0</v>
      </c>
      <c r="F44" s="22"/>
    </row>
    <row r="45" spans="2:6" s="9" customFormat="1" ht="19.5" x14ac:dyDescent="0.25">
      <c r="B45" s="15" t="s">
        <v>72</v>
      </c>
      <c r="C45" s="16">
        <v>0</v>
      </c>
      <c r="D45" s="16">
        <v>0</v>
      </c>
      <c r="E45" s="16">
        <v>0</v>
      </c>
      <c r="F45" s="24"/>
    </row>
    <row r="46" spans="2:6" s="9" customFormat="1" ht="15.75" x14ac:dyDescent="0.25">
      <c r="B46" s="12" t="s">
        <v>73</v>
      </c>
      <c r="C46" s="13">
        <v>0</v>
      </c>
      <c r="D46" s="13">
        <v>0</v>
      </c>
      <c r="E46" s="13">
        <v>0</v>
      </c>
      <c r="F46" s="22"/>
    </row>
    <row r="47" spans="2:6" s="9" customFormat="1" ht="15.75" x14ac:dyDescent="0.25">
      <c r="B47" s="12" t="s">
        <v>74</v>
      </c>
      <c r="C47" s="13">
        <v>0</v>
      </c>
      <c r="D47" s="13">
        <v>0</v>
      </c>
      <c r="E47" s="13">
        <v>0</v>
      </c>
      <c r="F47" s="22"/>
    </row>
    <row r="48" spans="2:6" s="9" customFormat="1" ht="19.5" x14ac:dyDescent="0.25">
      <c r="B48" s="15" t="s">
        <v>75</v>
      </c>
      <c r="C48" s="16">
        <v>0</v>
      </c>
      <c r="D48" s="16">
        <v>0</v>
      </c>
      <c r="E48" s="16">
        <v>0</v>
      </c>
      <c r="F48" s="24"/>
    </row>
    <row r="49" spans="2:6" s="9" customFormat="1" ht="15.75" x14ac:dyDescent="0.25">
      <c r="B49" s="12" t="s">
        <v>76</v>
      </c>
      <c r="C49" s="13">
        <v>0</v>
      </c>
      <c r="D49" s="13">
        <v>0</v>
      </c>
      <c r="E49" s="13">
        <v>0</v>
      </c>
      <c r="F49" s="22"/>
    </row>
    <row r="50" spans="2:6" s="9" customFormat="1" ht="15.75" x14ac:dyDescent="0.25">
      <c r="B50" s="12" t="s">
        <v>238</v>
      </c>
      <c r="C50" s="13">
        <v>0</v>
      </c>
      <c r="D50" s="13">
        <v>0</v>
      </c>
      <c r="E50" s="13">
        <v>0</v>
      </c>
      <c r="F50" s="22"/>
    </row>
    <row r="51" spans="2:6" s="9" customFormat="1" ht="15.75" x14ac:dyDescent="0.25">
      <c r="B51" s="12" t="s">
        <v>77</v>
      </c>
      <c r="C51" s="13">
        <v>0</v>
      </c>
      <c r="D51" s="13">
        <v>0</v>
      </c>
      <c r="E51" s="13">
        <v>0</v>
      </c>
      <c r="F51" s="22"/>
    </row>
    <row r="52" spans="2:6" s="9" customFormat="1" ht="15.75" x14ac:dyDescent="0.25">
      <c r="B52" s="12" t="s">
        <v>78</v>
      </c>
      <c r="C52" s="13">
        <v>0</v>
      </c>
      <c r="D52" s="13">
        <v>0</v>
      </c>
      <c r="E52" s="13">
        <v>0</v>
      </c>
      <c r="F52" s="22"/>
    </row>
    <row r="53" spans="2:6" s="9" customFormat="1" ht="15.75" x14ac:dyDescent="0.25">
      <c r="B53" s="12" t="s">
        <v>79</v>
      </c>
      <c r="C53" s="13">
        <v>0</v>
      </c>
      <c r="D53" s="13">
        <v>0</v>
      </c>
      <c r="E53" s="13">
        <v>0</v>
      </c>
      <c r="F53" s="22"/>
    </row>
    <row r="54" spans="2:6" s="9" customFormat="1" ht="15.75" x14ac:dyDescent="0.25">
      <c r="B54" s="12" t="s">
        <v>80</v>
      </c>
      <c r="C54" s="13">
        <v>0</v>
      </c>
      <c r="D54" s="13">
        <v>0</v>
      </c>
      <c r="E54" s="13">
        <v>0</v>
      </c>
      <c r="F54" s="22"/>
    </row>
    <row r="55" spans="2:6" s="9" customFormat="1" ht="15.75" x14ac:dyDescent="0.25">
      <c r="B55" s="12" t="s">
        <v>81</v>
      </c>
      <c r="C55" s="13">
        <v>0</v>
      </c>
      <c r="D55" s="13">
        <v>0</v>
      </c>
      <c r="E55" s="13">
        <v>0</v>
      </c>
      <c r="F55" s="22"/>
    </row>
    <row r="56" spans="2:6" s="9" customFormat="1" ht="15.75" x14ac:dyDescent="0.25">
      <c r="B56" s="12" t="s">
        <v>82</v>
      </c>
      <c r="C56" s="13">
        <v>0</v>
      </c>
      <c r="D56" s="13">
        <v>0</v>
      </c>
      <c r="E56" s="13">
        <v>0</v>
      </c>
      <c r="F56" s="22"/>
    </row>
    <row r="57" spans="2:6" s="9" customFormat="1" ht="15.75" x14ac:dyDescent="0.25">
      <c r="B57" s="12" t="s">
        <v>83</v>
      </c>
      <c r="C57" s="13">
        <v>0</v>
      </c>
      <c r="D57" s="13">
        <v>0</v>
      </c>
      <c r="E57" s="13">
        <v>0</v>
      </c>
      <c r="F57" s="22"/>
    </row>
    <row r="58" spans="2:6" s="9" customFormat="1" ht="15.75" x14ac:dyDescent="0.25">
      <c r="B58" s="12" t="s">
        <v>84</v>
      </c>
      <c r="C58" s="13">
        <v>0</v>
      </c>
      <c r="D58" s="13">
        <v>0</v>
      </c>
      <c r="E58" s="13">
        <v>0</v>
      </c>
      <c r="F58" s="22"/>
    </row>
    <row r="59" spans="2:6" s="9" customFormat="1" ht="15.75" x14ac:dyDescent="0.25">
      <c r="B59" s="12" t="s">
        <v>85</v>
      </c>
      <c r="C59" s="13">
        <v>0</v>
      </c>
      <c r="D59" s="13">
        <v>0</v>
      </c>
      <c r="E59" s="13">
        <v>0</v>
      </c>
      <c r="F59" s="22"/>
    </row>
    <row r="60" spans="2:6" s="9" customFormat="1" ht="15.75" x14ac:dyDescent="0.25">
      <c r="B60" s="12" t="s">
        <v>86</v>
      </c>
      <c r="C60" s="13">
        <v>0</v>
      </c>
      <c r="D60" s="13">
        <v>0</v>
      </c>
      <c r="E60" s="13">
        <v>0</v>
      </c>
      <c r="F60" s="22"/>
    </row>
    <row r="61" spans="2:6" s="9" customFormat="1" ht="15.75" x14ac:dyDescent="0.25">
      <c r="B61" s="12" t="s">
        <v>87</v>
      </c>
      <c r="C61" s="13">
        <v>0</v>
      </c>
      <c r="D61" s="13">
        <v>0</v>
      </c>
      <c r="E61" s="13">
        <v>0</v>
      </c>
      <c r="F61" s="22"/>
    </row>
    <row r="62" spans="2:6" s="9" customFormat="1" ht="15.75" x14ac:dyDescent="0.25">
      <c r="B62" s="12" t="s">
        <v>88</v>
      </c>
      <c r="C62" s="13">
        <v>0</v>
      </c>
      <c r="D62" s="13">
        <v>0</v>
      </c>
      <c r="E62" s="13">
        <v>0</v>
      </c>
      <c r="F62" s="22"/>
    </row>
    <row r="63" spans="2:6" s="9" customFormat="1" ht="15.75" x14ac:dyDescent="0.25">
      <c r="B63" s="12" t="s">
        <v>89</v>
      </c>
      <c r="C63" s="13">
        <v>0</v>
      </c>
      <c r="D63" s="13">
        <v>0</v>
      </c>
      <c r="E63" s="13">
        <v>0</v>
      </c>
      <c r="F63" s="22"/>
    </row>
    <row r="64" spans="2:6" s="9" customFormat="1" ht="15.75" x14ac:dyDescent="0.25">
      <c r="B64" s="12" t="s">
        <v>90</v>
      </c>
      <c r="C64" s="13">
        <v>0</v>
      </c>
      <c r="D64" s="13">
        <v>0</v>
      </c>
      <c r="E64" s="13">
        <v>0</v>
      </c>
      <c r="F64" s="22"/>
    </row>
    <row r="65" spans="2:6" s="9" customFormat="1" ht="15.75" x14ac:dyDescent="0.25">
      <c r="B65" s="12" t="s">
        <v>91</v>
      </c>
      <c r="C65" s="13">
        <v>0</v>
      </c>
      <c r="D65" s="13">
        <v>0</v>
      </c>
      <c r="E65" s="13">
        <v>0</v>
      </c>
      <c r="F65" s="22"/>
    </row>
    <row r="66" spans="2:6" s="9" customFormat="1" ht="15.75" x14ac:dyDescent="0.25">
      <c r="B66" s="12" t="s">
        <v>92</v>
      </c>
      <c r="C66" s="13">
        <v>0</v>
      </c>
      <c r="D66" s="13">
        <v>0</v>
      </c>
      <c r="E66" s="13">
        <v>0</v>
      </c>
      <c r="F66" s="22"/>
    </row>
    <row r="67" spans="2:6" s="9" customFormat="1" ht="15.75" x14ac:dyDescent="0.25">
      <c r="B67" s="12" t="s">
        <v>93</v>
      </c>
      <c r="C67" s="13">
        <v>0</v>
      </c>
      <c r="D67" s="13">
        <v>0</v>
      </c>
      <c r="E67" s="13">
        <v>0</v>
      </c>
      <c r="F67" s="22"/>
    </row>
    <row r="68" spans="2:6" s="9" customFormat="1" ht="15.75" x14ac:dyDescent="0.25">
      <c r="B68" s="12" t="s">
        <v>94</v>
      </c>
      <c r="C68" s="13">
        <v>0</v>
      </c>
      <c r="D68" s="13">
        <v>0</v>
      </c>
      <c r="E68" s="13">
        <v>0</v>
      </c>
      <c r="F68" s="22"/>
    </row>
    <row r="69" spans="2:6" s="9" customFormat="1" ht="15.75" x14ac:dyDescent="0.25">
      <c r="B69" s="12" t="s">
        <v>95</v>
      </c>
      <c r="C69" s="13">
        <v>0</v>
      </c>
      <c r="D69" s="13">
        <v>0</v>
      </c>
      <c r="E69" s="13">
        <v>0</v>
      </c>
      <c r="F69" s="22"/>
    </row>
    <row r="70" spans="2:6" s="9" customFormat="1" ht="19.5" x14ac:dyDescent="0.25">
      <c r="B70" s="15" t="s">
        <v>97</v>
      </c>
      <c r="C70" s="16">
        <v>0</v>
      </c>
      <c r="D70" s="16">
        <v>0</v>
      </c>
      <c r="E70" s="16">
        <v>0</v>
      </c>
      <c r="F70" s="24"/>
    </row>
    <row r="71" spans="2:6" s="9" customFormat="1" ht="15.75" x14ac:dyDescent="0.25">
      <c r="B71" s="12" t="s">
        <v>239</v>
      </c>
      <c r="C71" s="13">
        <v>0</v>
      </c>
      <c r="D71" s="13">
        <v>0</v>
      </c>
      <c r="E71" s="13">
        <v>0</v>
      </c>
      <c r="F71" s="22"/>
    </row>
    <row r="72" spans="2:6" s="9" customFormat="1" ht="15.75" x14ac:dyDescent="0.25">
      <c r="B72" s="12" t="s">
        <v>240</v>
      </c>
      <c r="C72" s="13">
        <v>0</v>
      </c>
      <c r="D72" s="13">
        <v>0</v>
      </c>
      <c r="E72" s="13">
        <v>0</v>
      </c>
      <c r="F72" s="22"/>
    </row>
    <row r="73" spans="2:6" s="9" customFormat="1" ht="15.75" x14ac:dyDescent="0.25">
      <c r="B73" s="12" t="s">
        <v>100</v>
      </c>
      <c r="C73" s="13">
        <v>0</v>
      </c>
      <c r="D73" s="13">
        <v>0</v>
      </c>
      <c r="E73" s="13">
        <v>0</v>
      </c>
      <c r="F73" s="22"/>
    </row>
    <row r="74" spans="2:6" s="9" customFormat="1" ht="15.75" x14ac:dyDescent="0.25">
      <c r="B74" s="12" t="s">
        <v>101</v>
      </c>
      <c r="C74" s="13">
        <v>0</v>
      </c>
      <c r="D74" s="13">
        <v>0</v>
      </c>
      <c r="E74" s="13">
        <v>0</v>
      </c>
      <c r="F74" s="22"/>
    </row>
    <row r="75" spans="2:6" s="9" customFormat="1" ht="15.75" x14ac:dyDescent="0.25">
      <c r="B75" s="12" t="s">
        <v>102</v>
      </c>
      <c r="C75" s="13">
        <v>0</v>
      </c>
      <c r="D75" s="13">
        <v>0</v>
      </c>
      <c r="E75" s="13">
        <v>0</v>
      </c>
      <c r="F75" s="22"/>
    </row>
    <row r="76" spans="2:6" s="9" customFormat="1" ht="15.75" x14ac:dyDescent="0.25">
      <c r="B76" s="12" t="s">
        <v>103</v>
      </c>
      <c r="C76" s="13">
        <v>0</v>
      </c>
      <c r="D76" s="13">
        <v>0</v>
      </c>
      <c r="E76" s="13">
        <v>0</v>
      </c>
      <c r="F76" s="22"/>
    </row>
    <row r="77" spans="2:6" s="9" customFormat="1" ht="15.75" x14ac:dyDescent="0.25">
      <c r="B77" s="12" t="s">
        <v>104</v>
      </c>
      <c r="C77" s="13">
        <v>0</v>
      </c>
      <c r="D77" s="13">
        <v>0</v>
      </c>
      <c r="E77" s="13">
        <v>0</v>
      </c>
      <c r="F77" s="22"/>
    </row>
    <row r="78" spans="2:6" s="9" customFormat="1" ht="15.75" x14ac:dyDescent="0.25">
      <c r="B78" s="12" t="s">
        <v>105</v>
      </c>
      <c r="C78" s="13">
        <v>0</v>
      </c>
      <c r="D78" s="13">
        <v>0</v>
      </c>
      <c r="E78" s="13">
        <v>0</v>
      </c>
      <c r="F78" s="22"/>
    </row>
    <row r="79" spans="2:6" s="9" customFormat="1" ht="15.75" x14ac:dyDescent="0.25">
      <c r="B79" s="12" t="s">
        <v>106</v>
      </c>
      <c r="C79" s="13">
        <v>0</v>
      </c>
      <c r="D79" s="13">
        <v>0</v>
      </c>
      <c r="E79" s="13">
        <v>0</v>
      </c>
      <c r="F79" s="22"/>
    </row>
    <row r="80" spans="2:6" s="9" customFormat="1" ht="15.75" x14ac:dyDescent="0.25">
      <c r="B80" s="12" t="s">
        <v>107</v>
      </c>
      <c r="C80" s="13">
        <v>0</v>
      </c>
      <c r="D80" s="13">
        <v>0</v>
      </c>
      <c r="E80" s="13">
        <v>0</v>
      </c>
      <c r="F80" s="22"/>
    </row>
    <row r="81" spans="2:6" s="9" customFormat="1" ht="15.75" x14ac:dyDescent="0.25">
      <c r="B81" s="12" t="s">
        <v>108</v>
      </c>
      <c r="C81" s="13">
        <v>0</v>
      </c>
      <c r="D81" s="13">
        <v>0</v>
      </c>
      <c r="E81" s="13">
        <v>0</v>
      </c>
      <c r="F81" s="22"/>
    </row>
    <row r="82" spans="2:6" s="9" customFormat="1" ht="15.75" x14ac:dyDescent="0.25">
      <c r="B82" s="12" t="s">
        <v>241</v>
      </c>
      <c r="C82" s="13">
        <v>0</v>
      </c>
      <c r="D82" s="13">
        <v>0</v>
      </c>
      <c r="E82" s="13">
        <v>0</v>
      </c>
      <c r="F82" s="22"/>
    </row>
    <row r="83" spans="2:6" s="9" customFormat="1" ht="15.75" x14ac:dyDescent="0.25">
      <c r="B83" s="12" t="s">
        <v>109</v>
      </c>
      <c r="C83" s="13">
        <v>0</v>
      </c>
      <c r="D83" s="13">
        <v>0</v>
      </c>
      <c r="E83" s="13">
        <v>0</v>
      </c>
      <c r="F83" s="22"/>
    </row>
    <row r="84" spans="2:6" s="9" customFormat="1" ht="15.75" x14ac:dyDescent="0.25">
      <c r="B84" s="12" t="s">
        <v>110</v>
      </c>
      <c r="C84" s="13">
        <v>0</v>
      </c>
      <c r="D84" s="13">
        <v>0</v>
      </c>
      <c r="E84" s="13">
        <v>0</v>
      </c>
      <c r="F84" s="22"/>
    </row>
    <row r="85" spans="2:6" s="9" customFormat="1" ht="15.75" x14ac:dyDescent="0.25">
      <c r="B85" s="12" t="s">
        <v>242</v>
      </c>
      <c r="C85" s="13">
        <v>0</v>
      </c>
      <c r="D85" s="13">
        <v>0</v>
      </c>
      <c r="E85" s="13">
        <v>0</v>
      </c>
      <c r="F85" s="22"/>
    </row>
    <row r="86" spans="2:6" s="9" customFormat="1" ht="15.75" x14ac:dyDescent="0.25">
      <c r="B86" s="12" t="s">
        <v>111</v>
      </c>
      <c r="C86" s="13">
        <v>0</v>
      </c>
      <c r="D86" s="13">
        <v>0</v>
      </c>
      <c r="E86" s="13">
        <v>0</v>
      </c>
      <c r="F86" s="22"/>
    </row>
    <row r="87" spans="2:6" s="9" customFormat="1" ht="15.75" x14ac:dyDescent="0.25">
      <c r="B87" s="12" t="s">
        <v>112</v>
      </c>
      <c r="C87" s="13">
        <v>0</v>
      </c>
      <c r="D87" s="13">
        <v>0</v>
      </c>
      <c r="E87" s="13">
        <v>0</v>
      </c>
      <c r="F87" s="22"/>
    </row>
    <row r="88" spans="2:6" s="9" customFormat="1" ht="15.75" x14ac:dyDescent="0.25">
      <c r="B88" s="12" t="s">
        <v>113</v>
      </c>
      <c r="C88" s="13">
        <v>0</v>
      </c>
      <c r="D88" s="13">
        <v>0</v>
      </c>
      <c r="E88" s="13">
        <v>0</v>
      </c>
      <c r="F88" s="22"/>
    </row>
    <row r="89" spans="2:6" s="9" customFormat="1" ht="15.75" x14ac:dyDescent="0.25">
      <c r="B89" s="12" t="s">
        <v>114</v>
      </c>
      <c r="C89" s="13">
        <v>0</v>
      </c>
      <c r="D89" s="13">
        <v>0</v>
      </c>
      <c r="E89" s="13">
        <v>0</v>
      </c>
      <c r="F89" s="22"/>
    </row>
    <row r="90" spans="2:6" s="9" customFormat="1" ht="15.75" x14ac:dyDescent="0.25">
      <c r="B90" s="12" t="s">
        <v>243</v>
      </c>
      <c r="C90" s="13">
        <v>0</v>
      </c>
      <c r="D90" s="13">
        <v>0</v>
      </c>
      <c r="E90" s="13">
        <v>0</v>
      </c>
      <c r="F90" s="22"/>
    </row>
    <row r="91" spans="2:6" s="9" customFormat="1" ht="15.75" x14ac:dyDescent="0.25">
      <c r="B91" s="12" t="s">
        <v>116</v>
      </c>
      <c r="C91" s="13">
        <v>0</v>
      </c>
      <c r="D91" s="13">
        <v>0</v>
      </c>
      <c r="E91" s="13">
        <v>0</v>
      </c>
      <c r="F91" s="22"/>
    </row>
    <row r="92" spans="2:6" s="9" customFormat="1" ht="15.75" x14ac:dyDescent="0.25">
      <c r="B92" s="12" t="s">
        <v>117</v>
      </c>
      <c r="C92" s="13">
        <v>0</v>
      </c>
      <c r="D92" s="13">
        <v>0</v>
      </c>
      <c r="E92" s="13">
        <v>0</v>
      </c>
      <c r="F92" s="22"/>
    </row>
    <row r="93" spans="2:6" s="9" customFormat="1" ht="15.75" x14ac:dyDescent="0.25">
      <c r="B93" s="12" t="s">
        <v>118</v>
      </c>
      <c r="C93" s="13">
        <v>0</v>
      </c>
      <c r="D93" s="13">
        <v>0</v>
      </c>
      <c r="E93" s="13">
        <v>0</v>
      </c>
      <c r="F93" s="22"/>
    </row>
    <row r="94" spans="2:6" s="9" customFormat="1" ht="15.75" x14ac:dyDescent="0.25">
      <c r="B94" s="12" t="s">
        <v>119</v>
      </c>
      <c r="C94" s="13">
        <v>0</v>
      </c>
      <c r="D94" s="13">
        <v>0</v>
      </c>
      <c r="E94" s="13">
        <v>0</v>
      </c>
      <c r="F94" s="22"/>
    </row>
    <row r="95" spans="2:6" s="9" customFormat="1" ht="15.75" x14ac:dyDescent="0.25">
      <c r="B95" s="12" t="s">
        <v>244</v>
      </c>
      <c r="C95" s="13">
        <v>0</v>
      </c>
      <c r="D95" s="13">
        <v>0</v>
      </c>
      <c r="E95" s="13">
        <v>0</v>
      </c>
      <c r="F95" s="22"/>
    </row>
    <row r="96" spans="2:6" s="9" customFormat="1" ht="15.75" x14ac:dyDescent="0.25">
      <c r="B96" s="12" t="s">
        <v>120</v>
      </c>
      <c r="C96" s="13">
        <v>0</v>
      </c>
      <c r="D96" s="13">
        <v>0</v>
      </c>
      <c r="E96" s="13">
        <v>0</v>
      </c>
      <c r="F96" s="22"/>
    </row>
    <row r="97" spans="2:6" s="9" customFormat="1" ht="15.75" x14ac:dyDescent="0.25">
      <c r="B97" s="12" t="s">
        <v>175</v>
      </c>
      <c r="C97" s="13">
        <v>0</v>
      </c>
      <c r="D97" s="13">
        <v>0</v>
      </c>
      <c r="E97" s="13">
        <v>0</v>
      </c>
      <c r="F97" s="22"/>
    </row>
    <row r="98" spans="2:6" s="9" customFormat="1" ht="19.5" x14ac:dyDescent="0.25">
      <c r="B98" s="15" t="s">
        <v>121</v>
      </c>
      <c r="C98" s="16">
        <v>0</v>
      </c>
      <c r="D98" s="16">
        <v>0</v>
      </c>
      <c r="E98" s="16">
        <v>0</v>
      </c>
      <c r="F98" s="24"/>
    </row>
    <row r="99" spans="2:6" s="9" customFormat="1" ht="15.75" x14ac:dyDescent="0.25">
      <c r="B99" s="12" t="s">
        <v>122</v>
      </c>
      <c r="C99" s="13">
        <v>0</v>
      </c>
      <c r="D99" s="13">
        <v>0</v>
      </c>
      <c r="E99" s="13">
        <v>0</v>
      </c>
      <c r="F99" s="22"/>
    </row>
    <row r="100" spans="2:6" s="9" customFormat="1" ht="15.75" x14ac:dyDescent="0.25">
      <c r="B100" s="12" t="s">
        <v>123</v>
      </c>
      <c r="C100" s="13">
        <v>0</v>
      </c>
      <c r="D100" s="13">
        <v>0</v>
      </c>
      <c r="E100" s="13">
        <v>0</v>
      </c>
      <c r="F100" s="22"/>
    </row>
    <row r="101" spans="2:6" s="9" customFormat="1" ht="15.75" x14ac:dyDescent="0.25">
      <c r="B101" s="12" t="s">
        <v>124</v>
      </c>
      <c r="C101" s="13">
        <v>0</v>
      </c>
      <c r="D101" s="13">
        <v>0</v>
      </c>
      <c r="E101" s="13">
        <v>0</v>
      </c>
      <c r="F101" s="22"/>
    </row>
    <row r="102" spans="2:6" s="9" customFormat="1" ht="15.75" x14ac:dyDescent="0.25">
      <c r="B102" s="12" t="s">
        <v>125</v>
      </c>
      <c r="C102" s="13">
        <v>0</v>
      </c>
      <c r="D102" s="13">
        <v>0</v>
      </c>
      <c r="E102" s="13">
        <v>0</v>
      </c>
      <c r="F102" s="22"/>
    </row>
    <row r="103" spans="2:6" s="9" customFormat="1" ht="15.75" x14ac:dyDescent="0.25">
      <c r="B103" s="12" t="s">
        <v>126</v>
      </c>
      <c r="C103" s="13">
        <v>0</v>
      </c>
      <c r="D103" s="13">
        <v>0</v>
      </c>
      <c r="E103" s="13">
        <v>0</v>
      </c>
      <c r="F103" s="22"/>
    </row>
    <row r="104" spans="2:6" s="9" customFormat="1" ht="19.5" x14ac:dyDescent="0.25">
      <c r="B104" s="15" t="s">
        <v>127</v>
      </c>
      <c r="C104" s="16">
        <v>0</v>
      </c>
      <c r="D104" s="16">
        <v>0</v>
      </c>
      <c r="E104" s="16">
        <v>0</v>
      </c>
      <c r="F104" s="24"/>
    </row>
    <row r="105" spans="2:6" s="9" customFormat="1" ht="15.75" x14ac:dyDescent="0.25">
      <c r="B105" s="12" t="s">
        <v>128</v>
      </c>
      <c r="C105" s="13">
        <v>0</v>
      </c>
      <c r="D105" s="13">
        <v>0</v>
      </c>
      <c r="E105" s="13">
        <v>0</v>
      </c>
      <c r="F105" s="22"/>
    </row>
    <row r="106" spans="2:6" s="9" customFormat="1" ht="15.75" x14ac:dyDescent="0.25">
      <c r="B106" s="12" t="s">
        <v>129</v>
      </c>
      <c r="C106" s="13">
        <v>0</v>
      </c>
      <c r="D106" s="13">
        <v>0</v>
      </c>
      <c r="E106" s="13">
        <v>0</v>
      </c>
      <c r="F106" s="22"/>
    </row>
    <row r="107" spans="2:6" s="9" customFormat="1" ht="15.75" x14ac:dyDescent="0.25">
      <c r="B107" s="12" t="s">
        <v>130</v>
      </c>
      <c r="C107" s="13">
        <v>0</v>
      </c>
      <c r="D107" s="13">
        <v>0</v>
      </c>
      <c r="E107" s="13">
        <v>0</v>
      </c>
      <c r="F107" s="22"/>
    </row>
    <row r="108" spans="2:6" s="9" customFormat="1" ht="15.75" x14ac:dyDescent="0.25">
      <c r="B108" s="12" t="s">
        <v>131</v>
      </c>
      <c r="C108" s="13">
        <v>0</v>
      </c>
      <c r="D108" s="13">
        <v>0</v>
      </c>
      <c r="E108" s="13">
        <v>0</v>
      </c>
      <c r="F108" s="22"/>
    </row>
    <row r="109" spans="2:6" s="9" customFormat="1" ht="15.75" x14ac:dyDescent="0.25">
      <c r="B109" s="12" t="s">
        <v>132</v>
      </c>
      <c r="C109" s="13">
        <v>0</v>
      </c>
      <c r="D109" s="13">
        <v>0</v>
      </c>
      <c r="E109" s="13">
        <v>0</v>
      </c>
      <c r="F109" s="22"/>
    </row>
    <row r="110" spans="2:6" s="9" customFormat="1" ht="15.75" x14ac:dyDescent="0.25">
      <c r="B110" s="12" t="s">
        <v>133</v>
      </c>
      <c r="C110" s="13">
        <v>0</v>
      </c>
      <c r="D110" s="13">
        <v>0</v>
      </c>
      <c r="E110" s="13">
        <v>0</v>
      </c>
      <c r="F110" s="22"/>
    </row>
    <row r="111" spans="2:6" s="9" customFormat="1" ht="15.75" x14ac:dyDescent="0.25">
      <c r="B111" s="12" t="s">
        <v>134</v>
      </c>
      <c r="C111" s="13">
        <v>0</v>
      </c>
      <c r="D111" s="13">
        <v>0</v>
      </c>
      <c r="E111" s="13">
        <v>0</v>
      </c>
      <c r="F111" s="22"/>
    </row>
    <row r="112" spans="2:6" s="9" customFormat="1" ht="15.75" x14ac:dyDescent="0.25">
      <c r="B112" s="12" t="s">
        <v>135</v>
      </c>
      <c r="C112" s="13">
        <v>0</v>
      </c>
      <c r="D112" s="13">
        <v>0</v>
      </c>
      <c r="E112" s="13">
        <v>0</v>
      </c>
      <c r="F112" s="22"/>
    </row>
    <row r="113" spans="2:6" s="9" customFormat="1" ht="15.75" x14ac:dyDescent="0.25">
      <c r="B113" s="12" t="s">
        <v>136</v>
      </c>
      <c r="C113" s="13">
        <v>0</v>
      </c>
      <c r="D113" s="13">
        <v>0</v>
      </c>
      <c r="E113" s="13">
        <v>0</v>
      </c>
      <c r="F113" s="22"/>
    </row>
    <row r="114" spans="2:6" s="9" customFormat="1" ht="15.75" x14ac:dyDescent="0.25">
      <c r="B114" s="12" t="s">
        <v>137</v>
      </c>
      <c r="C114" s="13">
        <v>0</v>
      </c>
      <c r="D114" s="13">
        <v>0</v>
      </c>
      <c r="E114" s="13">
        <v>0</v>
      </c>
      <c r="F114" s="22"/>
    </row>
    <row r="115" spans="2:6" s="9" customFormat="1" ht="19.5" x14ac:dyDescent="0.25">
      <c r="B115" s="15" t="s">
        <v>138</v>
      </c>
      <c r="C115" s="16">
        <v>0</v>
      </c>
      <c r="D115" s="16">
        <v>0</v>
      </c>
      <c r="E115" s="16">
        <v>0</v>
      </c>
      <c r="F115" s="24"/>
    </row>
    <row r="116" spans="2:6" s="9" customFormat="1" ht="15.75" x14ac:dyDescent="0.25">
      <c r="B116" s="12" t="s">
        <v>139</v>
      </c>
      <c r="C116" s="13">
        <v>0</v>
      </c>
      <c r="D116" s="13">
        <v>0</v>
      </c>
      <c r="E116" s="13">
        <v>0</v>
      </c>
      <c r="F116" s="22"/>
    </row>
    <row r="117" spans="2:6" s="9" customFormat="1" ht="15.75" x14ac:dyDescent="0.25">
      <c r="B117" s="12" t="s">
        <v>140</v>
      </c>
      <c r="C117" s="13">
        <v>0</v>
      </c>
      <c r="D117" s="13">
        <v>0</v>
      </c>
      <c r="E117" s="13">
        <v>0</v>
      </c>
      <c r="F117" s="22"/>
    </row>
    <row r="118" spans="2:6" s="9" customFormat="1" ht="15.75" x14ac:dyDescent="0.25">
      <c r="B118" s="12" t="s">
        <v>141</v>
      </c>
      <c r="C118" s="13">
        <v>0</v>
      </c>
      <c r="D118" s="13">
        <v>0</v>
      </c>
      <c r="E118" s="13">
        <v>0</v>
      </c>
      <c r="F118" s="22"/>
    </row>
    <row r="119" spans="2:6" s="9" customFormat="1" ht="19.5" x14ac:dyDescent="0.25">
      <c r="B119" s="15" t="s">
        <v>142</v>
      </c>
      <c r="C119" s="16">
        <v>0</v>
      </c>
      <c r="D119" s="16">
        <v>0</v>
      </c>
      <c r="E119" s="16">
        <v>0</v>
      </c>
      <c r="F119" s="24"/>
    </row>
    <row r="120" spans="2:6" s="9" customFormat="1" ht="15.75" x14ac:dyDescent="0.25">
      <c r="B120" s="12" t="s">
        <v>143</v>
      </c>
      <c r="C120" s="13">
        <v>0</v>
      </c>
      <c r="D120" s="13">
        <v>0</v>
      </c>
      <c r="E120" s="13">
        <v>0</v>
      </c>
      <c r="F120" s="22"/>
    </row>
    <row r="121" spans="2:6" s="9" customFormat="1" ht="15.75" x14ac:dyDescent="0.25">
      <c r="B121" s="12" t="s">
        <v>43</v>
      </c>
      <c r="C121" s="13">
        <v>0</v>
      </c>
      <c r="D121" s="13">
        <v>0</v>
      </c>
      <c r="E121" s="13">
        <v>0</v>
      </c>
      <c r="F121" s="22"/>
    </row>
    <row r="122" spans="2:6" s="9" customFormat="1" ht="19.5" x14ac:dyDescent="0.25">
      <c r="B122" s="15" t="s">
        <v>32</v>
      </c>
      <c r="C122" s="16">
        <v>0</v>
      </c>
      <c r="D122" s="16">
        <v>0</v>
      </c>
      <c r="E122" s="16">
        <v>0</v>
      </c>
      <c r="F122" s="24"/>
    </row>
    <row r="123" spans="2:6" s="9" customFormat="1" ht="15.75" x14ac:dyDescent="0.25">
      <c r="B123" s="12" t="s">
        <v>144</v>
      </c>
      <c r="C123" s="13">
        <v>0</v>
      </c>
      <c r="D123" s="13">
        <v>0</v>
      </c>
      <c r="E123" s="13">
        <v>0</v>
      </c>
      <c r="F123" s="22"/>
    </row>
    <row r="124" spans="2:6" s="9" customFormat="1" ht="15.75" x14ac:dyDescent="0.25">
      <c r="B124" s="12" t="s">
        <v>245</v>
      </c>
      <c r="C124" s="13">
        <v>0</v>
      </c>
      <c r="D124" s="13">
        <v>0</v>
      </c>
      <c r="E124" s="13">
        <v>0</v>
      </c>
      <c r="F124" s="22"/>
    </row>
    <row r="125" spans="2:6" s="9" customFormat="1" ht="15.75" x14ac:dyDescent="0.25">
      <c r="B125" s="12" t="s">
        <v>145</v>
      </c>
      <c r="C125" s="13">
        <v>0</v>
      </c>
      <c r="D125" s="13">
        <v>0</v>
      </c>
      <c r="E125" s="13">
        <v>0</v>
      </c>
      <c r="F125" s="22"/>
    </row>
    <row r="126" spans="2:6" s="9" customFormat="1" ht="19.5" x14ac:dyDescent="0.25">
      <c r="B126" s="15" t="s">
        <v>146</v>
      </c>
      <c r="C126" s="16">
        <v>0</v>
      </c>
      <c r="D126" s="16">
        <v>0</v>
      </c>
      <c r="E126" s="16">
        <v>0</v>
      </c>
      <c r="F126" s="24"/>
    </row>
    <row r="127" spans="2:6" s="9" customFormat="1" ht="15.75" x14ac:dyDescent="0.25">
      <c r="B127" s="12" t="s">
        <v>147</v>
      </c>
      <c r="C127" s="13">
        <v>0</v>
      </c>
      <c r="D127" s="13">
        <v>0</v>
      </c>
      <c r="E127" s="13">
        <v>0</v>
      </c>
      <c r="F127" s="22"/>
    </row>
    <row r="128" spans="2:6" s="9" customFormat="1" ht="15.75" x14ac:dyDescent="0.25">
      <c r="B128" s="12" t="s">
        <v>148</v>
      </c>
      <c r="C128" s="13">
        <v>0</v>
      </c>
      <c r="D128" s="13">
        <v>0</v>
      </c>
      <c r="E128" s="13">
        <v>0</v>
      </c>
      <c r="F128" s="22"/>
    </row>
    <row r="129" spans="2:6" s="9" customFormat="1" ht="15.75" x14ac:dyDescent="0.25">
      <c r="B129" s="12" t="s">
        <v>149</v>
      </c>
      <c r="C129" s="13">
        <v>0</v>
      </c>
      <c r="D129" s="13">
        <v>0</v>
      </c>
      <c r="E129" s="13">
        <v>0</v>
      </c>
      <c r="F129" s="22"/>
    </row>
    <row r="130" spans="2:6" s="9" customFormat="1" ht="19.5" x14ac:dyDescent="0.25">
      <c r="B130" s="15" t="s">
        <v>150</v>
      </c>
      <c r="C130" s="16">
        <v>0</v>
      </c>
      <c r="D130" s="16">
        <v>0</v>
      </c>
      <c r="E130" s="16">
        <v>0</v>
      </c>
      <c r="F130" s="24"/>
    </row>
    <row r="131" spans="2:6" s="9" customFormat="1" ht="15.75" x14ac:dyDescent="0.25">
      <c r="B131" s="12" t="s">
        <v>64</v>
      </c>
      <c r="C131" s="13">
        <v>0</v>
      </c>
      <c r="D131" s="13">
        <v>0</v>
      </c>
      <c r="E131" s="13">
        <v>0</v>
      </c>
      <c r="F131" s="22"/>
    </row>
    <row r="132" spans="2:6" s="9" customFormat="1" ht="19.5" x14ac:dyDescent="0.25">
      <c r="B132" s="15" t="s">
        <v>152</v>
      </c>
      <c r="C132" s="16">
        <v>0</v>
      </c>
      <c r="D132" s="16">
        <v>0</v>
      </c>
      <c r="E132" s="16">
        <v>0</v>
      </c>
      <c r="F132" s="24"/>
    </row>
    <row r="133" spans="2:6" s="9" customFormat="1" ht="15.75" x14ac:dyDescent="0.25">
      <c r="B133" s="12" t="s">
        <v>153</v>
      </c>
      <c r="C133" s="13">
        <v>0</v>
      </c>
      <c r="D133" s="13">
        <v>0</v>
      </c>
      <c r="E133" s="13">
        <v>0</v>
      </c>
      <c r="F133" s="22"/>
    </row>
    <row r="134" spans="2:6" s="9" customFormat="1" ht="15.75" x14ac:dyDescent="0.25">
      <c r="B134" s="12" t="s">
        <v>154</v>
      </c>
      <c r="C134" s="13">
        <v>0</v>
      </c>
      <c r="D134" s="13">
        <v>0</v>
      </c>
      <c r="E134" s="13">
        <v>0</v>
      </c>
      <c r="F134" s="22"/>
    </row>
    <row r="135" spans="2:6" s="9" customFormat="1" ht="15.75" x14ac:dyDescent="0.25">
      <c r="B135" s="12" t="s">
        <v>155</v>
      </c>
      <c r="C135" s="13">
        <v>0</v>
      </c>
      <c r="D135" s="13">
        <v>0</v>
      </c>
      <c r="E135" s="13">
        <v>0</v>
      </c>
      <c r="F135" s="22"/>
    </row>
    <row r="136" spans="2:6" s="9" customFormat="1" ht="15.75" x14ac:dyDescent="0.25">
      <c r="B136" s="12" t="s">
        <v>156</v>
      </c>
      <c r="C136" s="13">
        <v>0</v>
      </c>
      <c r="D136" s="13">
        <v>0</v>
      </c>
      <c r="E136" s="13">
        <v>0</v>
      </c>
      <c r="F136" s="22"/>
    </row>
    <row r="137" spans="2:6" s="9" customFormat="1" ht="15.75" x14ac:dyDescent="0.25">
      <c r="F137" s="25"/>
    </row>
    <row r="138" spans="2:6" s="9" customFormat="1" ht="15.75" x14ac:dyDescent="0.25">
      <c r="F138" s="25"/>
    </row>
    <row r="139" spans="2:6" s="9" customFormat="1" ht="15.75" x14ac:dyDescent="0.25">
      <c r="F139" s="25"/>
    </row>
    <row r="140" spans="2:6" s="9" customFormat="1" ht="15.75" x14ac:dyDescent="0.25">
      <c r="F140" s="25"/>
    </row>
    <row r="141" spans="2:6" s="9" customFormat="1" ht="15.75" x14ac:dyDescent="0.25">
      <c r="F141" s="25"/>
    </row>
    <row r="142" spans="2:6" s="9" customFormat="1" ht="15.75" x14ac:dyDescent="0.25">
      <c r="F142" s="25"/>
    </row>
    <row r="143" spans="2:6" s="9" customFormat="1" ht="15.75" x14ac:dyDescent="0.25">
      <c r="F143" s="25"/>
    </row>
    <row r="144" spans="2:6" s="9" customFormat="1" ht="15.75" x14ac:dyDescent="0.25">
      <c r="F144" s="25"/>
    </row>
    <row r="145" spans="6:6" s="9" customFormat="1" ht="15.75" x14ac:dyDescent="0.25">
      <c r="F145" s="25"/>
    </row>
    <row r="146" spans="6:6" s="9" customFormat="1" ht="15.75" x14ac:dyDescent="0.25">
      <c r="F146" s="25"/>
    </row>
    <row r="147" spans="6:6" s="9" customFormat="1" ht="15.75" x14ac:dyDescent="0.25">
      <c r="F147" s="25"/>
    </row>
    <row r="148" spans="6:6" s="9" customFormat="1" ht="15.75" x14ac:dyDescent="0.25">
      <c r="F148" s="25"/>
    </row>
    <row r="149" spans="6:6" s="9" customFormat="1" ht="15.75" x14ac:dyDescent="0.25">
      <c r="F149" s="25"/>
    </row>
    <row r="150" spans="6:6" s="9" customFormat="1" ht="15.75" x14ac:dyDescent="0.25">
      <c r="F150" s="25"/>
    </row>
    <row r="151" spans="6:6" s="9" customFormat="1" ht="15.75" x14ac:dyDescent="0.25">
      <c r="F151" s="25"/>
    </row>
    <row r="152" spans="6:6" s="9" customFormat="1" ht="15.75" x14ac:dyDescent="0.25">
      <c r="F152" s="25"/>
    </row>
    <row r="153" spans="6:6" s="9" customFormat="1" ht="15.75" x14ac:dyDescent="0.25">
      <c r="F153" s="25"/>
    </row>
    <row r="154" spans="6:6" s="9" customFormat="1" ht="15.75" x14ac:dyDescent="0.25">
      <c r="F154" s="25"/>
    </row>
    <row r="155" spans="6:6" s="9" customFormat="1" ht="15.75" x14ac:dyDescent="0.25">
      <c r="F155" s="25"/>
    </row>
    <row r="156" spans="6:6" s="9" customFormat="1" ht="15.75" x14ac:dyDescent="0.25">
      <c r="F156" s="25"/>
    </row>
    <row r="157" spans="6:6" s="9" customFormat="1" ht="15.75" x14ac:dyDescent="0.25">
      <c r="F157" s="25"/>
    </row>
    <row r="158" spans="6:6" s="9" customFormat="1" ht="15.75" x14ac:dyDescent="0.25">
      <c r="F158" s="25"/>
    </row>
    <row r="159" spans="6:6" s="9" customFormat="1" ht="15.75" x14ac:dyDescent="0.25">
      <c r="F159" s="25"/>
    </row>
    <row r="160" spans="6:6" s="9" customFormat="1" ht="15.75" x14ac:dyDescent="0.25">
      <c r="F160" s="25"/>
    </row>
    <row r="161" spans="6:6" s="9" customFormat="1" ht="15.75" x14ac:dyDescent="0.25">
      <c r="F161" s="25"/>
    </row>
    <row r="162" spans="6:6" s="9" customFormat="1" ht="15.75" x14ac:dyDescent="0.25">
      <c r="F162" s="25"/>
    </row>
    <row r="163" spans="6:6" s="9" customFormat="1" ht="15.75" x14ac:dyDescent="0.25">
      <c r="F163" s="25"/>
    </row>
    <row r="164" spans="6:6" s="9" customFormat="1" ht="15.75" x14ac:dyDescent="0.25">
      <c r="F164" s="25"/>
    </row>
    <row r="165" spans="6:6" s="9" customFormat="1" ht="15.75" x14ac:dyDescent="0.25">
      <c r="F165" s="25"/>
    </row>
    <row r="166" spans="6:6" s="9" customFormat="1" ht="15.75" x14ac:dyDescent="0.25">
      <c r="F166" s="25"/>
    </row>
    <row r="167" spans="6:6" s="9" customFormat="1" ht="15.75" x14ac:dyDescent="0.25">
      <c r="F167" s="25"/>
    </row>
    <row r="168" spans="6:6" s="9" customFormat="1" ht="15.75" x14ac:dyDescent="0.25">
      <c r="F168" s="25"/>
    </row>
  </sheetData>
  <mergeCells count="2">
    <mergeCell ref="C1:F1"/>
    <mergeCell ref="D2:F2"/>
  </mergeCells>
  <pageMargins left="0.25" right="0.25" top="0.75" bottom="0.75" header="0.3" footer="0.3"/>
  <pageSetup paperSize="9"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E34D-D8A7-4731-BFE0-022F58EF47B7}">
  <sheetPr>
    <tabColor rgb="FFFFFF00"/>
    <pageSetUpPr fitToPage="1"/>
  </sheetPr>
  <dimension ref="A1:O165"/>
  <sheetViews>
    <sheetView showGridLines="0" zoomScale="55" zoomScaleNormal="55" workbookViewId="0">
      <pane xSplit="2" ySplit="3" topLeftCell="C28" activePane="bottomRight" state="frozen"/>
      <selection pane="topRight"/>
      <selection pane="bottomLeft"/>
      <selection pane="bottomRight" activeCell="C47" sqref="C47:J47"/>
    </sheetView>
  </sheetViews>
  <sheetFormatPr defaultRowHeight="15" customHeight="1" x14ac:dyDescent="0.25"/>
  <cols>
    <col min="1" max="1" width="6.42578125" customWidth="1"/>
    <col min="2" max="2" width="61.140625" bestFit="1" customWidth="1"/>
    <col min="3" max="3" width="22.28515625" bestFit="1" customWidth="1"/>
    <col min="4" max="6" width="23.28515625" bestFit="1" customWidth="1"/>
    <col min="7" max="7" width="24.42578125" bestFit="1" customWidth="1"/>
    <col min="8" max="8" width="24" bestFit="1" customWidth="1"/>
    <col min="9" max="9" width="24.42578125" bestFit="1" customWidth="1"/>
    <col min="10" max="10" width="24" bestFit="1" customWidth="1"/>
    <col min="11" max="11" width="24.42578125" bestFit="1" customWidth="1"/>
    <col min="12" max="12" width="24" bestFit="1" customWidth="1"/>
    <col min="13" max="13" width="24.42578125" bestFit="1" customWidth="1"/>
    <col min="14" max="14" width="23.42578125" bestFit="1" customWidth="1"/>
    <col min="15" max="15" width="24.85546875" style="1" bestFit="1" customWidth="1"/>
  </cols>
  <sheetData>
    <row r="1" spans="1:15" ht="68.25" customHeight="1" x14ac:dyDescent="0.25">
      <c r="C1" s="286" t="s">
        <v>250</v>
      </c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5" ht="24.95" customHeight="1" x14ac:dyDescent="0.25">
      <c r="A2" s="287" t="s">
        <v>246</v>
      </c>
      <c r="B2" s="287"/>
      <c r="C2" s="184">
        <f>C47/O$47</f>
        <v>2.3491054340570652E-2</v>
      </c>
      <c r="D2" s="184">
        <f>D47/$O$47</f>
        <v>0.13583671146514151</v>
      </c>
      <c r="E2" s="184">
        <f>E47/$O$47</f>
        <v>6.2611106038619302E-2</v>
      </c>
      <c r="F2" s="184">
        <f t="shared" ref="F2:N2" si="0">F47/$O$47</f>
        <v>6.183545801794009E-2</v>
      </c>
      <c r="G2" s="184">
        <f t="shared" si="0"/>
        <v>3.2360833232129745E-2</v>
      </c>
      <c r="H2" s="184">
        <f t="shared" si="0"/>
        <v>0.1431676933291611</v>
      </c>
      <c r="I2" s="184">
        <f t="shared" si="0"/>
        <v>0.14870803633401269</v>
      </c>
      <c r="J2" s="184">
        <f t="shared" si="0"/>
        <v>3.302567439271193E-2</v>
      </c>
      <c r="K2" s="184">
        <f t="shared" si="0"/>
        <v>3.2360833232129745E-2</v>
      </c>
      <c r="L2" s="184">
        <f t="shared" si="0"/>
        <v>7.539821769381673E-2</v>
      </c>
      <c r="M2" s="184">
        <f t="shared" si="0"/>
        <v>6.3386754059298528E-2</v>
      </c>
      <c r="N2" s="184">
        <f t="shared" si="0"/>
        <v>0.18781762786446818</v>
      </c>
    </row>
    <row r="3" spans="1:15" ht="22.5" x14ac:dyDescent="0.25">
      <c r="B3" s="2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4" t="s">
        <v>5</v>
      </c>
    </row>
    <row r="4" spans="1:15" ht="22.5" x14ac:dyDescent="0.25">
      <c r="B4" s="31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2"/>
    </row>
    <row r="5" spans="1:15" ht="19.5" x14ac:dyDescent="0.25">
      <c r="B5" s="33" t="s">
        <v>29</v>
      </c>
      <c r="C5" s="243">
        <f>C6</f>
        <v>-10600</v>
      </c>
      <c r="D5" s="243">
        <f t="shared" ref="D5:N5" si="1">C5+D6</f>
        <v>-70394.36</v>
      </c>
      <c r="E5" s="243">
        <f t="shared" si="1"/>
        <v>-93746.72</v>
      </c>
      <c r="F5" s="243">
        <f t="shared" si="1"/>
        <v>-116749.08</v>
      </c>
      <c r="G5" s="243">
        <f t="shared" si="1"/>
        <v>-126451.44</v>
      </c>
      <c r="H5" s="243">
        <f t="shared" si="1"/>
        <v>-177153.8</v>
      </c>
      <c r="I5" s="243">
        <f t="shared" si="1"/>
        <v>-244256.15999999997</v>
      </c>
      <c r="J5" s="243">
        <f t="shared" si="1"/>
        <v>-259158.51999999996</v>
      </c>
      <c r="K5" s="243">
        <f t="shared" si="1"/>
        <v>-273760.87999999995</v>
      </c>
      <c r="L5" s="243">
        <f t="shared" si="1"/>
        <v>-307783.23999999993</v>
      </c>
      <c r="M5" s="243">
        <f t="shared" si="1"/>
        <v>-336385.59999999992</v>
      </c>
      <c r="N5" s="243">
        <f t="shared" si="1"/>
        <v>-421135.59999999992</v>
      </c>
      <c r="O5" s="245"/>
    </row>
    <row r="6" spans="1:15" ht="19.5" x14ac:dyDescent="0.25">
      <c r="B6" s="33" t="s">
        <v>30</v>
      </c>
      <c r="C6" s="243">
        <f t="shared" ref="C6:N6" si="2">SUM(C8-C47)</f>
        <v>-10600</v>
      </c>
      <c r="D6" s="243">
        <f t="shared" si="2"/>
        <v>-59794.36</v>
      </c>
      <c r="E6" s="243">
        <f t="shared" si="2"/>
        <v>-23352.36</v>
      </c>
      <c r="F6" s="243">
        <f t="shared" si="2"/>
        <v>-23002.36</v>
      </c>
      <c r="G6" s="243">
        <f t="shared" si="2"/>
        <v>-9702.36</v>
      </c>
      <c r="H6" s="243">
        <f t="shared" si="2"/>
        <v>-50702.36</v>
      </c>
      <c r="I6" s="243">
        <f t="shared" si="2"/>
        <v>-67102.36</v>
      </c>
      <c r="J6" s="243">
        <f t="shared" si="2"/>
        <v>-14902.36</v>
      </c>
      <c r="K6" s="243">
        <f t="shared" si="2"/>
        <v>-14602.36</v>
      </c>
      <c r="L6" s="243">
        <f t="shared" si="2"/>
        <v>-34022.36</v>
      </c>
      <c r="M6" s="243">
        <f t="shared" si="2"/>
        <v>-28602.36</v>
      </c>
      <c r="N6" s="243">
        <f t="shared" si="2"/>
        <v>-84750</v>
      </c>
      <c r="O6" s="245">
        <f>SUM(C6:N6)</f>
        <v>-421135.59999999992</v>
      </c>
    </row>
    <row r="7" spans="1:15" ht="22.5" x14ac:dyDescent="0.25">
      <c r="B7" s="31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46"/>
    </row>
    <row r="8" spans="1:15" s="9" customFormat="1" ht="19.5" x14ac:dyDescent="0.25">
      <c r="B8" s="18" t="s">
        <v>31</v>
      </c>
      <c r="C8" s="49">
        <f>SUM(C9,C16,C22,C28,C33,C37,C40,C43)</f>
        <v>0</v>
      </c>
      <c r="D8" s="49">
        <f t="shared" ref="D8:N8" si="3">SUM(D9,D16,D22,D28,D33,D37,D40,D43)</f>
        <v>1500</v>
      </c>
      <c r="E8" s="49">
        <f t="shared" si="3"/>
        <v>4900</v>
      </c>
      <c r="F8" s="49">
        <f t="shared" si="3"/>
        <v>4900</v>
      </c>
      <c r="G8" s="49">
        <f t="shared" si="3"/>
        <v>4900</v>
      </c>
      <c r="H8" s="49">
        <f t="shared" si="3"/>
        <v>13900</v>
      </c>
      <c r="I8" s="49">
        <f t="shared" si="3"/>
        <v>0</v>
      </c>
      <c r="J8" s="49">
        <f t="shared" si="3"/>
        <v>0</v>
      </c>
      <c r="K8" s="49">
        <f t="shared" si="3"/>
        <v>0</v>
      </c>
      <c r="L8" s="49">
        <f t="shared" si="3"/>
        <v>0</v>
      </c>
      <c r="M8" s="49">
        <f t="shared" si="3"/>
        <v>0</v>
      </c>
      <c r="N8" s="49">
        <f t="shared" si="3"/>
        <v>0</v>
      </c>
      <c r="O8" s="50">
        <f>SUM(C8:N8)</f>
        <v>30100</v>
      </c>
    </row>
    <row r="9" spans="1:15" s="42" customFormat="1" ht="19.5" hidden="1" x14ac:dyDescent="0.4">
      <c r="B9" s="10" t="s">
        <v>32</v>
      </c>
      <c r="C9" s="40">
        <f>SUM(C10:C15)</f>
        <v>0</v>
      </c>
      <c r="D9" s="40">
        <f>SUM(D10:D15)</f>
        <v>0</v>
      </c>
      <c r="E9" s="40">
        <f>SUM(E10:E15)</f>
        <v>0</v>
      </c>
      <c r="F9" s="40">
        <f t="shared" ref="F9:N9" si="4">SUM(F10:F15)</f>
        <v>0</v>
      </c>
      <c r="G9" s="40">
        <f>SUM(G10:G15)</f>
        <v>0</v>
      </c>
      <c r="H9" s="40">
        <f t="shared" si="4"/>
        <v>0</v>
      </c>
      <c r="I9" s="40">
        <f t="shared" si="4"/>
        <v>0</v>
      </c>
      <c r="J9" s="40">
        <f t="shared" si="4"/>
        <v>0</v>
      </c>
      <c r="K9" s="40">
        <f t="shared" si="4"/>
        <v>0</v>
      </c>
      <c r="L9" s="40">
        <f t="shared" si="4"/>
        <v>0</v>
      </c>
      <c r="M9" s="40">
        <f t="shared" si="4"/>
        <v>0</v>
      </c>
      <c r="N9" s="40">
        <f t="shared" si="4"/>
        <v>0</v>
      </c>
      <c r="O9" s="41">
        <f>SUM(C9:N9)</f>
        <v>0</v>
      </c>
    </row>
    <row r="10" spans="1:15" s="9" customFormat="1" ht="15.75" hidden="1" x14ac:dyDescent="0.25">
      <c r="B10" s="36" t="s">
        <v>33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5">
        <f t="shared" ref="O10:O73" si="5">SUM(C10:N10)</f>
        <v>0</v>
      </c>
    </row>
    <row r="11" spans="1:15" s="9" customFormat="1" ht="15.75" hidden="1" x14ac:dyDescent="0.25">
      <c r="B11" s="36" t="s">
        <v>34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5">
        <f t="shared" si="5"/>
        <v>0</v>
      </c>
    </row>
    <row r="12" spans="1:15" s="9" customFormat="1" ht="15.75" hidden="1" x14ac:dyDescent="0.25">
      <c r="B12" s="36" t="s">
        <v>35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5">
        <f t="shared" si="5"/>
        <v>0</v>
      </c>
    </row>
    <row r="13" spans="1:15" s="9" customFormat="1" ht="15.75" hidden="1" x14ac:dyDescent="0.25">
      <c r="B13" s="36" t="s">
        <v>36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5">
        <f t="shared" si="5"/>
        <v>0</v>
      </c>
    </row>
    <row r="14" spans="1:15" s="9" customFormat="1" ht="15.75" hidden="1" x14ac:dyDescent="0.25">
      <c r="B14" s="36" t="s">
        <v>37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5">
        <f t="shared" si="5"/>
        <v>0</v>
      </c>
    </row>
    <row r="15" spans="1:15" s="9" customFormat="1" ht="15.75" hidden="1" x14ac:dyDescent="0.25">
      <c r="B15" s="36" t="s">
        <v>38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5">
        <f t="shared" si="5"/>
        <v>0</v>
      </c>
    </row>
    <row r="16" spans="1:15" s="42" customFormat="1" ht="19.5" hidden="1" x14ac:dyDescent="0.4">
      <c r="B16" s="10" t="s">
        <v>39</v>
      </c>
      <c r="C16" s="40">
        <f>SUM(C17:C21)</f>
        <v>0</v>
      </c>
      <c r="D16" s="40">
        <f>SUM(D17:D21)</f>
        <v>0</v>
      </c>
      <c r="E16" s="40">
        <f t="shared" ref="E16:L16" si="6">SUM(E17:E21)</f>
        <v>0</v>
      </c>
      <c r="F16" s="40">
        <f t="shared" si="6"/>
        <v>0</v>
      </c>
      <c r="G16" s="40">
        <f>SUM(G17:G21)</f>
        <v>0</v>
      </c>
      <c r="H16" s="40">
        <f t="shared" si="6"/>
        <v>0</v>
      </c>
      <c r="I16" s="40">
        <f t="shared" si="6"/>
        <v>0</v>
      </c>
      <c r="J16" s="40">
        <f t="shared" si="6"/>
        <v>0</v>
      </c>
      <c r="K16" s="40">
        <f t="shared" si="6"/>
        <v>0</v>
      </c>
      <c r="L16" s="40">
        <f t="shared" si="6"/>
        <v>0</v>
      </c>
      <c r="M16" s="40">
        <f>SUM(M17:M21)</f>
        <v>0</v>
      </c>
      <c r="N16" s="40">
        <f>SUM(N17:N21)</f>
        <v>0</v>
      </c>
      <c r="O16" s="41">
        <f>SUM(C16:N16)</f>
        <v>0</v>
      </c>
    </row>
    <row r="17" spans="2:15" s="9" customFormat="1" ht="15.75" hidden="1" x14ac:dyDescent="0.25">
      <c r="B17" s="36" t="s">
        <v>40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5">
        <f t="shared" si="5"/>
        <v>0</v>
      </c>
    </row>
    <row r="18" spans="2:15" s="9" customFormat="1" ht="15.75" hidden="1" x14ac:dyDescent="0.25">
      <c r="B18" s="36" t="s">
        <v>41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5">
        <f t="shared" si="5"/>
        <v>0</v>
      </c>
    </row>
    <row r="19" spans="2:15" s="9" customFormat="1" ht="15.75" hidden="1" x14ac:dyDescent="0.25">
      <c r="B19" s="36" t="s">
        <v>42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5">
        <f t="shared" si="5"/>
        <v>0</v>
      </c>
    </row>
    <row r="20" spans="2:15" s="9" customFormat="1" ht="15.75" hidden="1" x14ac:dyDescent="0.25">
      <c r="B20" s="36" t="s">
        <v>43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5">
        <f t="shared" si="5"/>
        <v>0</v>
      </c>
    </row>
    <row r="21" spans="2:15" s="9" customFormat="1" ht="15.75" hidden="1" x14ac:dyDescent="0.25">
      <c r="B21" s="36" t="s">
        <v>44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5">
        <f t="shared" si="5"/>
        <v>0</v>
      </c>
    </row>
    <row r="22" spans="2:15" s="42" customFormat="1" ht="19.5" x14ac:dyDescent="0.4">
      <c r="B22" s="10" t="s">
        <v>45</v>
      </c>
      <c r="C22" s="40">
        <f>SUM(C23:C27)</f>
        <v>0</v>
      </c>
      <c r="D22" s="40">
        <f t="shared" ref="D22:N22" si="7">SUM(D23:D27)</f>
        <v>1500</v>
      </c>
      <c r="E22" s="40">
        <f t="shared" si="7"/>
        <v>0</v>
      </c>
      <c r="F22" s="40">
        <f t="shared" si="7"/>
        <v>0</v>
      </c>
      <c r="G22" s="40">
        <f t="shared" si="7"/>
        <v>0</v>
      </c>
      <c r="H22" s="40">
        <f t="shared" si="7"/>
        <v>9000</v>
      </c>
      <c r="I22" s="40">
        <f t="shared" si="7"/>
        <v>0</v>
      </c>
      <c r="J22" s="40">
        <f t="shared" si="7"/>
        <v>0</v>
      </c>
      <c r="K22" s="40">
        <f t="shared" si="7"/>
        <v>0</v>
      </c>
      <c r="L22" s="40">
        <f t="shared" si="7"/>
        <v>0</v>
      </c>
      <c r="M22" s="40">
        <f t="shared" si="7"/>
        <v>0</v>
      </c>
      <c r="N22" s="40">
        <f t="shared" si="7"/>
        <v>0</v>
      </c>
      <c r="O22" s="41">
        <f t="shared" si="5"/>
        <v>10500</v>
      </c>
    </row>
    <row r="23" spans="2:15" s="9" customFormat="1" ht="15.75" x14ac:dyDescent="0.25">
      <c r="B23" s="12" t="s">
        <v>46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5">
        <f t="shared" si="5"/>
        <v>0</v>
      </c>
    </row>
    <row r="24" spans="2:15" s="9" customFormat="1" ht="15.75" x14ac:dyDescent="0.25">
      <c r="B24" s="12" t="s">
        <v>47</v>
      </c>
      <c r="C24" s="37">
        <v>0</v>
      </c>
      <c r="D24" s="37">
        <v>1500</v>
      </c>
      <c r="E24" s="37">
        <v>0</v>
      </c>
      <c r="F24" s="37">
        <v>0</v>
      </c>
      <c r="G24" s="37">
        <v>0</v>
      </c>
      <c r="H24" s="37">
        <v>9000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5">
        <f t="shared" si="5"/>
        <v>10500</v>
      </c>
    </row>
    <row r="25" spans="2:15" s="9" customFormat="1" ht="15.75" x14ac:dyDescent="0.25">
      <c r="B25" s="12" t="s">
        <v>48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5">
        <f t="shared" si="5"/>
        <v>0</v>
      </c>
    </row>
    <row r="26" spans="2:15" s="9" customFormat="1" ht="15.75" x14ac:dyDescent="0.25">
      <c r="B26" s="12" t="s">
        <v>49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5">
        <f t="shared" si="5"/>
        <v>0</v>
      </c>
    </row>
    <row r="27" spans="2:15" s="9" customFormat="1" ht="15.75" x14ac:dyDescent="0.25">
      <c r="B27" s="12" t="s">
        <v>50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5">
        <f t="shared" si="5"/>
        <v>0</v>
      </c>
    </row>
    <row r="28" spans="2:15" s="42" customFormat="1" ht="19.5" x14ac:dyDescent="0.4">
      <c r="B28" s="10" t="s">
        <v>51</v>
      </c>
      <c r="C28" s="40">
        <f>SUM(C29:C32)</f>
        <v>0</v>
      </c>
      <c r="D28" s="40">
        <f t="shared" ref="D28:N28" si="8">SUM(D29:D32)</f>
        <v>0</v>
      </c>
      <c r="E28" s="40">
        <f t="shared" si="8"/>
        <v>0</v>
      </c>
      <c r="F28" s="40">
        <f t="shared" si="8"/>
        <v>0</v>
      </c>
      <c r="G28" s="40">
        <f t="shared" si="8"/>
        <v>0</v>
      </c>
      <c r="H28" s="40">
        <f t="shared" si="8"/>
        <v>0</v>
      </c>
      <c r="I28" s="40">
        <f t="shared" si="8"/>
        <v>0</v>
      </c>
      <c r="J28" s="40">
        <f t="shared" si="8"/>
        <v>0</v>
      </c>
      <c r="K28" s="40">
        <f t="shared" si="8"/>
        <v>0</v>
      </c>
      <c r="L28" s="40">
        <f t="shared" si="8"/>
        <v>0</v>
      </c>
      <c r="M28" s="40">
        <f t="shared" si="8"/>
        <v>0</v>
      </c>
      <c r="N28" s="40">
        <f t="shared" si="8"/>
        <v>0</v>
      </c>
      <c r="O28" s="41">
        <f>SUM(C28:N28)</f>
        <v>0</v>
      </c>
    </row>
    <row r="29" spans="2:15" s="9" customFormat="1" ht="15.75" x14ac:dyDescent="0.25">
      <c r="B29" s="12" t="s">
        <v>52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5">
        <f>SUM(C29:N29)</f>
        <v>0</v>
      </c>
    </row>
    <row r="30" spans="2:15" s="9" customFormat="1" ht="15.75" x14ac:dyDescent="0.25">
      <c r="B30" s="12" t="s">
        <v>53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5">
        <f t="shared" si="5"/>
        <v>0</v>
      </c>
    </row>
    <row r="31" spans="2:15" s="9" customFormat="1" ht="15.75" x14ac:dyDescent="0.25">
      <c r="B31" s="12" t="s">
        <v>54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5">
        <f t="shared" si="5"/>
        <v>0</v>
      </c>
    </row>
    <row r="32" spans="2:15" s="9" customFormat="1" ht="15.75" x14ac:dyDescent="0.25">
      <c r="B32" s="12" t="s">
        <v>55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5">
        <f t="shared" si="5"/>
        <v>0</v>
      </c>
    </row>
    <row r="33" spans="2:15" s="42" customFormat="1" ht="19.5" x14ac:dyDescent="0.4">
      <c r="B33" s="10" t="s">
        <v>56</v>
      </c>
      <c r="C33" s="40">
        <f>SUM(C34:C36)</f>
        <v>0</v>
      </c>
      <c r="D33" s="40">
        <f>SUM(D34:D36)</f>
        <v>0</v>
      </c>
      <c r="E33" s="40">
        <f>SUM(E34:E36)</f>
        <v>0</v>
      </c>
      <c r="F33" s="40">
        <f t="shared" ref="F33:N33" si="9">SUM(F34:F36)</f>
        <v>0</v>
      </c>
      <c r="G33" s="40">
        <f t="shared" si="9"/>
        <v>0</v>
      </c>
      <c r="H33" s="40">
        <f t="shared" si="9"/>
        <v>0</v>
      </c>
      <c r="I33" s="40">
        <f>SUM(I34:I36)</f>
        <v>0</v>
      </c>
      <c r="J33" s="40">
        <f t="shared" si="9"/>
        <v>0</v>
      </c>
      <c r="K33" s="40">
        <f t="shared" si="9"/>
        <v>0</v>
      </c>
      <c r="L33" s="40">
        <f t="shared" si="9"/>
        <v>0</v>
      </c>
      <c r="M33" s="40">
        <f t="shared" si="9"/>
        <v>0</v>
      </c>
      <c r="N33" s="40">
        <f t="shared" si="9"/>
        <v>0</v>
      </c>
      <c r="O33" s="41">
        <f t="shared" si="5"/>
        <v>0</v>
      </c>
    </row>
    <row r="34" spans="2:15" s="9" customFormat="1" ht="15.75" x14ac:dyDescent="0.25">
      <c r="B34" s="12" t="s">
        <v>57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5">
        <f t="shared" si="5"/>
        <v>0</v>
      </c>
    </row>
    <row r="35" spans="2:15" s="9" customFormat="1" ht="15.75" x14ac:dyDescent="0.25">
      <c r="B35" s="12" t="s">
        <v>58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5">
        <f t="shared" si="5"/>
        <v>0</v>
      </c>
    </row>
    <row r="36" spans="2:15" s="9" customFormat="1" ht="15.75" x14ac:dyDescent="0.25">
      <c r="B36" s="12" t="s">
        <v>59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5">
        <f t="shared" si="5"/>
        <v>0</v>
      </c>
    </row>
    <row r="37" spans="2:15" s="42" customFormat="1" ht="19.5" x14ac:dyDescent="0.4">
      <c r="B37" s="10" t="s">
        <v>60</v>
      </c>
      <c r="C37" s="40">
        <f>SUM(C38:C39)</f>
        <v>0</v>
      </c>
      <c r="D37" s="40">
        <f t="shared" ref="D37:N37" si="10">SUM(D38:D39)</f>
        <v>0</v>
      </c>
      <c r="E37" s="40">
        <f t="shared" si="10"/>
        <v>4900</v>
      </c>
      <c r="F37" s="40">
        <f t="shared" si="10"/>
        <v>4900</v>
      </c>
      <c r="G37" s="40">
        <f t="shared" si="10"/>
        <v>4900</v>
      </c>
      <c r="H37" s="40">
        <f t="shared" si="10"/>
        <v>4900</v>
      </c>
      <c r="I37" s="40">
        <f t="shared" si="10"/>
        <v>0</v>
      </c>
      <c r="J37" s="40">
        <f t="shared" si="10"/>
        <v>0</v>
      </c>
      <c r="K37" s="40">
        <f t="shared" si="10"/>
        <v>0</v>
      </c>
      <c r="L37" s="40">
        <f t="shared" si="10"/>
        <v>0</v>
      </c>
      <c r="M37" s="40">
        <f t="shared" si="10"/>
        <v>0</v>
      </c>
      <c r="N37" s="40">
        <f t="shared" si="10"/>
        <v>0</v>
      </c>
      <c r="O37" s="41">
        <f t="shared" si="5"/>
        <v>19600</v>
      </c>
    </row>
    <row r="38" spans="2:15" s="9" customFormat="1" ht="15.75" x14ac:dyDescent="0.25">
      <c r="B38" s="12" t="s">
        <v>61</v>
      </c>
      <c r="C38" s="37">
        <v>0</v>
      </c>
      <c r="D38" s="37">
        <v>0</v>
      </c>
      <c r="E38" s="37">
        <v>4900</v>
      </c>
      <c r="F38" s="37">
        <v>4900</v>
      </c>
      <c r="G38" s="37">
        <v>4900</v>
      </c>
      <c r="H38" s="37">
        <v>4900</v>
      </c>
      <c r="I38" s="37"/>
      <c r="J38" s="37"/>
      <c r="K38" s="37"/>
      <c r="L38" s="37"/>
      <c r="M38" s="37"/>
      <c r="N38" s="37"/>
      <c r="O38" s="5">
        <f t="shared" si="5"/>
        <v>19600</v>
      </c>
    </row>
    <row r="39" spans="2:15" s="9" customFormat="1" ht="15.75" x14ac:dyDescent="0.25">
      <c r="B39" s="12" t="s">
        <v>62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/>
      <c r="J39" s="37"/>
      <c r="K39" s="37"/>
      <c r="L39" s="37"/>
      <c r="M39" s="37"/>
      <c r="N39" s="37"/>
      <c r="O39" s="5">
        <f t="shared" si="5"/>
        <v>0</v>
      </c>
    </row>
    <row r="40" spans="2:15" s="42" customFormat="1" ht="19.5" x14ac:dyDescent="0.4">
      <c r="B40" s="10" t="s">
        <v>63</v>
      </c>
      <c r="C40" s="40">
        <f>SUM(C41:C42)</f>
        <v>0</v>
      </c>
      <c r="D40" s="40">
        <f t="shared" ref="D40:N40" si="11">SUM(D41:D42)</f>
        <v>0</v>
      </c>
      <c r="E40" s="40">
        <f t="shared" si="11"/>
        <v>0</v>
      </c>
      <c r="F40" s="40">
        <f t="shared" si="11"/>
        <v>0</v>
      </c>
      <c r="G40" s="40">
        <f t="shared" si="11"/>
        <v>0</v>
      </c>
      <c r="H40" s="40">
        <f t="shared" si="11"/>
        <v>0</v>
      </c>
      <c r="I40" s="40">
        <f t="shared" si="11"/>
        <v>0</v>
      </c>
      <c r="J40" s="40">
        <f t="shared" si="11"/>
        <v>0</v>
      </c>
      <c r="K40" s="40">
        <f t="shared" si="11"/>
        <v>0</v>
      </c>
      <c r="L40" s="40">
        <f t="shared" si="11"/>
        <v>0</v>
      </c>
      <c r="M40" s="40">
        <f t="shared" si="11"/>
        <v>0</v>
      </c>
      <c r="N40" s="40">
        <f t="shared" si="11"/>
        <v>0</v>
      </c>
      <c r="O40" s="41">
        <f t="shared" si="5"/>
        <v>0</v>
      </c>
    </row>
    <row r="41" spans="2:15" s="9" customFormat="1" ht="15.75" x14ac:dyDescent="0.25">
      <c r="B41" s="12" t="s">
        <v>64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5">
        <f t="shared" si="5"/>
        <v>0</v>
      </c>
    </row>
    <row r="42" spans="2:15" s="9" customFormat="1" ht="15.75" x14ac:dyDescent="0.25">
      <c r="B42" s="12" t="s">
        <v>65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5">
        <f t="shared" si="5"/>
        <v>0</v>
      </c>
    </row>
    <row r="43" spans="2:15" s="42" customFormat="1" ht="19.5" x14ac:dyDescent="0.4">
      <c r="B43" s="10" t="s">
        <v>66</v>
      </c>
      <c r="C43" s="40">
        <f t="shared" ref="C43:N43" si="12">SUM(C44:C46)</f>
        <v>0</v>
      </c>
      <c r="D43" s="40">
        <f t="shared" si="12"/>
        <v>0</v>
      </c>
      <c r="E43" s="40">
        <f t="shared" si="12"/>
        <v>0</v>
      </c>
      <c r="F43" s="40">
        <f t="shared" si="12"/>
        <v>0</v>
      </c>
      <c r="G43" s="40">
        <f t="shared" si="12"/>
        <v>0</v>
      </c>
      <c r="H43" s="40">
        <f t="shared" si="12"/>
        <v>0</v>
      </c>
      <c r="I43" s="40">
        <f t="shared" si="12"/>
        <v>0</v>
      </c>
      <c r="J43" s="40">
        <f t="shared" si="12"/>
        <v>0</v>
      </c>
      <c r="K43" s="40">
        <f t="shared" si="12"/>
        <v>0</v>
      </c>
      <c r="L43" s="40">
        <f t="shared" si="12"/>
        <v>0</v>
      </c>
      <c r="M43" s="40">
        <f t="shared" si="12"/>
        <v>0</v>
      </c>
      <c r="N43" s="40">
        <f t="shared" si="12"/>
        <v>0</v>
      </c>
      <c r="O43" s="41">
        <f t="shared" si="5"/>
        <v>0</v>
      </c>
    </row>
    <row r="44" spans="2:15" s="9" customFormat="1" ht="15.75" x14ac:dyDescent="0.25">
      <c r="B44" s="47" t="s">
        <v>247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46">
        <f t="shared" si="5"/>
        <v>0</v>
      </c>
    </row>
    <row r="45" spans="2:15" s="9" customFormat="1" ht="15.75" x14ac:dyDescent="0.25">
      <c r="B45" s="12" t="s">
        <v>68</v>
      </c>
      <c r="C45" s="37">
        <v>0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5">
        <f t="shared" si="5"/>
        <v>0</v>
      </c>
    </row>
    <row r="46" spans="2:15" s="9" customFormat="1" ht="15.75" x14ac:dyDescent="0.25">
      <c r="B46" s="12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5">
        <f t="shared" si="5"/>
        <v>0</v>
      </c>
    </row>
    <row r="47" spans="2:15" s="9" customFormat="1" ht="19.5" x14ac:dyDescent="0.25">
      <c r="B47" s="19" t="s">
        <v>69</v>
      </c>
      <c r="C47" s="48">
        <f t="shared" ref="C47:N47" si="13">SUM(C48,C50,C53,C75,C99,C105,C116,C120,C123,C126,C130,C133)</f>
        <v>10600</v>
      </c>
      <c r="D47" s="48">
        <f t="shared" si="13"/>
        <v>61294.36</v>
      </c>
      <c r="E47" s="48">
        <f t="shared" si="13"/>
        <v>28252.36</v>
      </c>
      <c r="F47" s="48">
        <f t="shared" si="13"/>
        <v>27902.36</v>
      </c>
      <c r="G47" s="48">
        <f t="shared" si="13"/>
        <v>14602.36</v>
      </c>
      <c r="H47" s="48">
        <f t="shared" si="13"/>
        <v>64602.36</v>
      </c>
      <c r="I47" s="48">
        <f t="shared" si="13"/>
        <v>67102.36</v>
      </c>
      <c r="J47" s="48">
        <f t="shared" si="13"/>
        <v>14902.36</v>
      </c>
      <c r="K47" s="48">
        <f t="shared" si="13"/>
        <v>14602.36</v>
      </c>
      <c r="L47" s="48">
        <f t="shared" si="13"/>
        <v>34022.36</v>
      </c>
      <c r="M47" s="48">
        <f t="shared" si="13"/>
        <v>28602.36</v>
      </c>
      <c r="N47" s="48">
        <f t="shared" si="13"/>
        <v>84750</v>
      </c>
      <c r="O47" s="6">
        <f t="shared" si="5"/>
        <v>451235.59999999992</v>
      </c>
    </row>
    <row r="48" spans="2:15" s="42" customFormat="1" ht="19.5" x14ac:dyDescent="0.4">
      <c r="B48" s="15" t="s">
        <v>70</v>
      </c>
      <c r="C48" s="43">
        <f>SUM(C49)</f>
        <v>0</v>
      </c>
      <c r="D48" s="43">
        <f t="shared" ref="D48:N48" si="14">SUM(D49)</f>
        <v>0</v>
      </c>
      <c r="E48" s="43">
        <f t="shared" si="14"/>
        <v>14650</v>
      </c>
      <c r="F48" s="43">
        <f t="shared" si="14"/>
        <v>14000</v>
      </c>
      <c r="G48" s="43">
        <f t="shared" si="14"/>
        <v>0</v>
      </c>
      <c r="H48" s="43">
        <f t="shared" si="14"/>
        <v>0</v>
      </c>
      <c r="I48" s="43">
        <f t="shared" si="14"/>
        <v>0</v>
      </c>
      <c r="J48" s="43">
        <f t="shared" si="14"/>
        <v>0</v>
      </c>
      <c r="K48" s="43">
        <f t="shared" si="14"/>
        <v>0</v>
      </c>
      <c r="L48" s="43">
        <f t="shared" si="14"/>
        <v>0</v>
      </c>
      <c r="M48" s="43">
        <f t="shared" si="14"/>
        <v>0</v>
      </c>
      <c r="N48" s="43">
        <f t="shared" si="14"/>
        <v>0</v>
      </c>
      <c r="O48" s="44">
        <f t="shared" si="5"/>
        <v>28650</v>
      </c>
    </row>
    <row r="49" spans="2:15" s="9" customFormat="1" ht="15.75" x14ac:dyDescent="0.25">
      <c r="B49" s="12" t="s">
        <v>71</v>
      </c>
      <c r="C49" s="37">
        <v>0</v>
      </c>
      <c r="D49" s="37">
        <v>0</v>
      </c>
      <c r="E49" s="37">
        <v>14650</v>
      </c>
      <c r="F49" s="37">
        <v>14000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5">
        <f t="shared" si="5"/>
        <v>28650</v>
      </c>
    </row>
    <row r="50" spans="2:15" s="42" customFormat="1" ht="19.5" x14ac:dyDescent="0.4">
      <c r="B50" s="15" t="s">
        <v>72</v>
      </c>
      <c r="C50" s="43">
        <f t="shared" ref="C50:N50" si="15">SUM(C51:C52)</f>
        <v>0</v>
      </c>
      <c r="D50" s="43">
        <f t="shared" si="15"/>
        <v>20000</v>
      </c>
      <c r="E50" s="43">
        <f t="shared" si="15"/>
        <v>300</v>
      </c>
      <c r="F50" s="43">
        <f t="shared" si="15"/>
        <v>300</v>
      </c>
      <c r="G50" s="43">
        <f t="shared" si="15"/>
        <v>300</v>
      </c>
      <c r="H50" s="43">
        <f t="shared" si="15"/>
        <v>40300</v>
      </c>
      <c r="I50" s="43">
        <f t="shared" si="15"/>
        <v>40300</v>
      </c>
      <c r="J50" s="43">
        <f t="shared" si="15"/>
        <v>300</v>
      </c>
      <c r="K50" s="43">
        <f t="shared" si="15"/>
        <v>300</v>
      </c>
      <c r="L50" s="43">
        <f t="shared" si="15"/>
        <v>300</v>
      </c>
      <c r="M50" s="43">
        <f t="shared" si="15"/>
        <v>300</v>
      </c>
      <c r="N50" s="43">
        <f t="shared" si="15"/>
        <v>40300</v>
      </c>
      <c r="O50" s="44">
        <f t="shared" si="5"/>
        <v>143000</v>
      </c>
    </row>
    <row r="51" spans="2:15" s="9" customFormat="1" ht="15.75" x14ac:dyDescent="0.25">
      <c r="B51" s="12" t="s">
        <v>73</v>
      </c>
      <c r="C51" s="37">
        <v>0</v>
      </c>
      <c r="D51" s="37">
        <v>20000</v>
      </c>
      <c r="E51" s="37">
        <v>300</v>
      </c>
      <c r="F51" s="37">
        <v>300</v>
      </c>
      <c r="G51" s="37">
        <v>300</v>
      </c>
      <c r="H51" s="37">
        <v>40300</v>
      </c>
      <c r="I51" s="37">
        <v>40300</v>
      </c>
      <c r="J51" s="37">
        <v>300</v>
      </c>
      <c r="K51" s="37">
        <v>300</v>
      </c>
      <c r="L51" s="37">
        <v>300</v>
      </c>
      <c r="M51" s="37">
        <v>300</v>
      </c>
      <c r="N51" s="37">
        <v>40300</v>
      </c>
      <c r="O51" s="5">
        <f t="shared" si="5"/>
        <v>143000</v>
      </c>
    </row>
    <row r="52" spans="2:15" s="9" customFormat="1" ht="15.75" x14ac:dyDescent="0.25">
      <c r="B52" s="12" t="s">
        <v>74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5">
        <f t="shared" si="5"/>
        <v>0</v>
      </c>
    </row>
    <row r="53" spans="2:15" s="42" customFormat="1" ht="19.5" x14ac:dyDescent="0.4">
      <c r="B53" s="15" t="s">
        <v>75</v>
      </c>
      <c r="C53" s="43">
        <f>SUM(C54:C74)</f>
        <v>8600</v>
      </c>
      <c r="D53" s="43">
        <f t="shared" ref="D53:N53" si="16">SUM(D54:D74)</f>
        <v>8600</v>
      </c>
      <c r="E53" s="43">
        <f t="shared" si="16"/>
        <v>8600</v>
      </c>
      <c r="F53" s="43">
        <f t="shared" si="16"/>
        <v>8600</v>
      </c>
      <c r="G53" s="43">
        <f t="shared" si="16"/>
        <v>8600</v>
      </c>
      <c r="H53" s="43">
        <f t="shared" si="16"/>
        <v>8600</v>
      </c>
      <c r="I53" s="43">
        <f t="shared" si="16"/>
        <v>11100</v>
      </c>
      <c r="J53" s="43">
        <f t="shared" si="16"/>
        <v>8600</v>
      </c>
      <c r="K53" s="43">
        <f t="shared" si="16"/>
        <v>8600</v>
      </c>
      <c r="L53" s="43">
        <f t="shared" si="16"/>
        <v>8600</v>
      </c>
      <c r="M53" s="43">
        <f t="shared" si="16"/>
        <v>8600</v>
      </c>
      <c r="N53" s="43">
        <f t="shared" si="16"/>
        <v>8600</v>
      </c>
      <c r="O53" s="44">
        <f>SUM(C53:N53)</f>
        <v>105700</v>
      </c>
    </row>
    <row r="54" spans="2:15" s="9" customFormat="1" ht="15.75" x14ac:dyDescent="0.25">
      <c r="B54" s="12" t="s">
        <v>76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5">
        <f t="shared" si="5"/>
        <v>0</v>
      </c>
    </row>
    <row r="55" spans="2:15" s="9" customFormat="1" ht="15.75" x14ac:dyDescent="0.25">
      <c r="B55" s="12" t="s">
        <v>77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5">
        <f t="shared" si="5"/>
        <v>0</v>
      </c>
    </row>
    <row r="56" spans="2:15" s="9" customFormat="1" ht="15.75" x14ac:dyDescent="0.25">
      <c r="B56" s="12" t="s">
        <v>78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5">
        <f t="shared" si="5"/>
        <v>0</v>
      </c>
    </row>
    <row r="57" spans="2:15" s="9" customFormat="1" ht="15.75" x14ac:dyDescent="0.25">
      <c r="B57" s="12" t="s">
        <v>79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5">
        <f t="shared" si="5"/>
        <v>0</v>
      </c>
    </row>
    <row r="58" spans="2:15" s="9" customFormat="1" ht="15.75" x14ac:dyDescent="0.25">
      <c r="B58" s="12" t="s">
        <v>80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5">
        <f t="shared" si="5"/>
        <v>0</v>
      </c>
    </row>
    <row r="59" spans="2:15" s="9" customFormat="1" ht="15.75" x14ac:dyDescent="0.25">
      <c r="B59" s="12" t="s">
        <v>81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5">
        <f t="shared" si="5"/>
        <v>0</v>
      </c>
    </row>
    <row r="60" spans="2:15" s="9" customFormat="1" ht="15.75" x14ac:dyDescent="0.25">
      <c r="B60" s="12" t="s">
        <v>82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5">
        <f t="shared" si="5"/>
        <v>0</v>
      </c>
    </row>
    <row r="61" spans="2:15" s="9" customFormat="1" ht="15.75" x14ac:dyDescent="0.25">
      <c r="B61" s="12" t="s">
        <v>83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5">
        <f t="shared" si="5"/>
        <v>0</v>
      </c>
    </row>
    <row r="62" spans="2:15" s="9" customFormat="1" ht="15.75" x14ac:dyDescent="0.25">
      <c r="B62" s="12" t="s">
        <v>84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5">
        <f t="shared" si="5"/>
        <v>0</v>
      </c>
    </row>
    <row r="63" spans="2:15" s="9" customFormat="1" ht="15.75" x14ac:dyDescent="0.25">
      <c r="B63" s="12" t="s">
        <v>85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5">
        <f t="shared" si="5"/>
        <v>0</v>
      </c>
    </row>
    <row r="64" spans="2:15" s="9" customFormat="1" ht="15.75" x14ac:dyDescent="0.25">
      <c r="B64" s="12" t="s">
        <v>86</v>
      </c>
      <c r="C64" s="37">
        <v>400</v>
      </c>
      <c r="D64" s="37">
        <v>400</v>
      </c>
      <c r="E64" s="37">
        <v>400</v>
      </c>
      <c r="F64" s="37">
        <v>400</v>
      </c>
      <c r="G64" s="37">
        <v>400</v>
      </c>
      <c r="H64" s="37">
        <v>400</v>
      </c>
      <c r="I64" s="37">
        <v>400</v>
      </c>
      <c r="J64" s="37">
        <v>400</v>
      </c>
      <c r="K64" s="37">
        <v>400</v>
      </c>
      <c r="L64" s="37">
        <v>400</v>
      </c>
      <c r="M64" s="37">
        <v>400</v>
      </c>
      <c r="N64" s="37">
        <v>400</v>
      </c>
      <c r="O64" s="5">
        <f t="shared" si="5"/>
        <v>4800</v>
      </c>
    </row>
    <row r="65" spans="2:15" s="9" customFormat="1" ht="15.75" x14ac:dyDescent="0.25">
      <c r="B65" s="12" t="s">
        <v>87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5">
        <f t="shared" si="5"/>
        <v>0</v>
      </c>
    </row>
    <row r="66" spans="2:15" s="9" customFormat="1" ht="15.75" x14ac:dyDescent="0.25">
      <c r="B66" s="12" t="s">
        <v>88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5">
        <f t="shared" si="5"/>
        <v>0</v>
      </c>
    </row>
    <row r="67" spans="2:15" s="9" customFormat="1" ht="15.75" x14ac:dyDescent="0.25">
      <c r="B67" s="12" t="s">
        <v>89</v>
      </c>
      <c r="C67" s="37">
        <v>8200</v>
      </c>
      <c r="D67" s="37">
        <v>8200</v>
      </c>
      <c r="E67" s="37">
        <v>8200</v>
      </c>
      <c r="F67" s="37">
        <v>8200</v>
      </c>
      <c r="G67" s="37">
        <v>8200</v>
      </c>
      <c r="H67" s="37">
        <v>8200</v>
      </c>
      <c r="I67" s="37">
        <v>8200</v>
      </c>
      <c r="J67" s="37">
        <v>8200</v>
      </c>
      <c r="K67" s="37">
        <v>8200</v>
      </c>
      <c r="L67" s="37">
        <v>8200</v>
      </c>
      <c r="M67" s="37">
        <v>8200</v>
      </c>
      <c r="N67" s="37">
        <v>8200</v>
      </c>
      <c r="O67" s="5">
        <f t="shared" si="5"/>
        <v>98400</v>
      </c>
    </row>
    <row r="68" spans="2:15" s="9" customFormat="1" ht="15.75" x14ac:dyDescent="0.25">
      <c r="B68" s="12" t="s">
        <v>90</v>
      </c>
      <c r="C68" s="37">
        <v>0</v>
      </c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5">
        <f>SUM(C68:N68)</f>
        <v>0</v>
      </c>
    </row>
    <row r="69" spans="2:15" s="9" customFormat="1" ht="15.75" x14ac:dyDescent="0.25">
      <c r="B69" s="12" t="s">
        <v>91</v>
      </c>
      <c r="C69" s="37">
        <v>0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5">
        <f t="shared" si="5"/>
        <v>0</v>
      </c>
    </row>
    <row r="70" spans="2:15" s="9" customFormat="1" ht="15.75" x14ac:dyDescent="0.25">
      <c r="B70" s="12" t="s">
        <v>92</v>
      </c>
      <c r="C70" s="37">
        <v>0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2500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5">
        <f t="shared" si="5"/>
        <v>2500</v>
      </c>
    </row>
    <row r="71" spans="2:15" s="9" customFormat="1" ht="15.75" x14ac:dyDescent="0.25">
      <c r="B71" s="12" t="s">
        <v>93</v>
      </c>
      <c r="C71" s="37">
        <v>0</v>
      </c>
      <c r="D71" s="37">
        <v>0</v>
      </c>
      <c r="E71" s="37">
        <v>0</v>
      </c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5">
        <f t="shared" si="5"/>
        <v>0</v>
      </c>
    </row>
    <row r="72" spans="2:15" s="9" customFormat="1" ht="15.75" x14ac:dyDescent="0.25">
      <c r="B72" s="12" t="s">
        <v>94</v>
      </c>
      <c r="C72" s="37">
        <v>0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5">
        <f t="shared" si="5"/>
        <v>0</v>
      </c>
    </row>
    <row r="73" spans="2:15" s="9" customFormat="1" ht="15.75" x14ac:dyDescent="0.25">
      <c r="B73" s="12" t="s">
        <v>95</v>
      </c>
      <c r="C73" s="37">
        <v>0</v>
      </c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5">
        <f t="shared" si="5"/>
        <v>0</v>
      </c>
    </row>
    <row r="74" spans="2:15" s="9" customFormat="1" ht="15.75" x14ac:dyDescent="0.25">
      <c r="B74" s="12" t="s">
        <v>96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5">
        <f>SUM(C74:N74)</f>
        <v>0</v>
      </c>
    </row>
    <row r="75" spans="2:15" s="9" customFormat="1" ht="19.5" x14ac:dyDescent="0.25">
      <c r="B75" s="15" t="s">
        <v>97</v>
      </c>
      <c r="C75" s="38">
        <f t="shared" ref="C75:N75" si="17">SUM(C76:C98)</f>
        <v>1700</v>
      </c>
      <c r="D75" s="38">
        <f t="shared" si="17"/>
        <v>5194.3599999999997</v>
      </c>
      <c r="E75" s="38">
        <f t="shared" si="17"/>
        <v>3702.36</v>
      </c>
      <c r="F75" s="38">
        <f t="shared" si="17"/>
        <v>3702.36</v>
      </c>
      <c r="G75" s="38">
        <f t="shared" si="17"/>
        <v>4702.3600000000006</v>
      </c>
      <c r="H75" s="38">
        <f t="shared" si="17"/>
        <v>4702.3600000000006</v>
      </c>
      <c r="I75" s="38">
        <f t="shared" si="17"/>
        <v>4702.3600000000006</v>
      </c>
      <c r="J75" s="38">
        <f t="shared" si="17"/>
        <v>4702.3600000000006</v>
      </c>
      <c r="K75" s="38">
        <f t="shared" si="17"/>
        <v>4702.3600000000006</v>
      </c>
      <c r="L75" s="38">
        <f t="shared" si="17"/>
        <v>4122.3600000000006</v>
      </c>
      <c r="M75" s="38">
        <f t="shared" si="17"/>
        <v>3702.36</v>
      </c>
      <c r="N75" s="38">
        <f t="shared" si="17"/>
        <v>50</v>
      </c>
      <c r="O75" s="7">
        <f>SUM(C75:N75)</f>
        <v>45685.600000000006</v>
      </c>
    </row>
    <row r="76" spans="2:15" s="9" customFormat="1" ht="15.75" x14ac:dyDescent="0.25">
      <c r="B76" s="12" t="s">
        <v>98</v>
      </c>
      <c r="C76" s="37">
        <v>0</v>
      </c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0</v>
      </c>
      <c r="J76" s="37">
        <v>0</v>
      </c>
      <c r="K76" s="37">
        <v>0</v>
      </c>
      <c r="L76" s="37">
        <v>0</v>
      </c>
      <c r="M76" s="37">
        <v>0</v>
      </c>
      <c r="N76" s="37">
        <v>0</v>
      </c>
      <c r="O76" s="5">
        <f t="shared" ref="O76:O138" si="18">SUM(C76:N76)</f>
        <v>0</v>
      </c>
    </row>
    <row r="77" spans="2:15" s="9" customFormat="1" ht="15.75" x14ac:dyDescent="0.25">
      <c r="B77" s="12" t="s">
        <v>99</v>
      </c>
      <c r="C77" s="37">
        <v>0</v>
      </c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5">
        <f t="shared" si="18"/>
        <v>0</v>
      </c>
    </row>
    <row r="78" spans="2:15" s="9" customFormat="1" ht="15.75" x14ac:dyDescent="0.25">
      <c r="B78" s="12" t="s">
        <v>100</v>
      </c>
      <c r="C78" s="37">
        <v>0</v>
      </c>
      <c r="D78" s="37">
        <v>0</v>
      </c>
      <c r="E78" s="37">
        <v>0</v>
      </c>
      <c r="F78" s="37">
        <v>0</v>
      </c>
      <c r="G78" s="37">
        <v>0</v>
      </c>
      <c r="H78" s="37">
        <v>0</v>
      </c>
      <c r="I78" s="37">
        <v>0</v>
      </c>
      <c r="J78" s="37">
        <v>0</v>
      </c>
      <c r="K78" s="37">
        <v>0</v>
      </c>
      <c r="L78" s="37">
        <v>0</v>
      </c>
      <c r="M78" s="37">
        <v>0</v>
      </c>
      <c r="N78" s="37">
        <v>0</v>
      </c>
      <c r="O78" s="5">
        <f t="shared" si="18"/>
        <v>0</v>
      </c>
    </row>
    <row r="79" spans="2:15" s="9" customFormat="1" ht="15.75" x14ac:dyDescent="0.25">
      <c r="B79" s="12" t="s">
        <v>101</v>
      </c>
      <c r="C79" s="37">
        <v>0</v>
      </c>
      <c r="D79" s="37">
        <v>0</v>
      </c>
      <c r="E79" s="37">
        <v>0</v>
      </c>
      <c r="F79" s="37">
        <v>0</v>
      </c>
      <c r="G79" s="37">
        <v>0</v>
      </c>
      <c r="H79" s="37">
        <v>0</v>
      </c>
      <c r="I79" s="37">
        <v>0</v>
      </c>
      <c r="J79" s="37">
        <v>0</v>
      </c>
      <c r="K79" s="37">
        <v>0</v>
      </c>
      <c r="L79" s="37">
        <v>0</v>
      </c>
      <c r="M79" s="37">
        <v>0</v>
      </c>
      <c r="N79" s="37">
        <v>0</v>
      </c>
      <c r="O79" s="5">
        <f t="shared" si="18"/>
        <v>0</v>
      </c>
    </row>
    <row r="80" spans="2:15" s="9" customFormat="1" ht="15.75" x14ac:dyDescent="0.25">
      <c r="B80" s="12" t="s">
        <v>102</v>
      </c>
      <c r="C80" s="37">
        <v>50</v>
      </c>
      <c r="D80" s="37">
        <v>50</v>
      </c>
      <c r="E80" s="37">
        <v>50</v>
      </c>
      <c r="F80" s="37">
        <v>50</v>
      </c>
      <c r="G80" s="37">
        <v>50</v>
      </c>
      <c r="H80" s="37">
        <v>50</v>
      </c>
      <c r="I80" s="37">
        <v>50</v>
      </c>
      <c r="J80" s="37">
        <v>50</v>
      </c>
      <c r="K80" s="37">
        <v>50</v>
      </c>
      <c r="L80" s="37">
        <v>50</v>
      </c>
      <c r="M80" s="37">
        <v>50</v>
      </c>
      <c r="N80" s="37">
        <v>50</v>
      </c>
      <c r="O80" s="5">
        <f t="shared" si="18"/>
        <v>600</v>
      </c>
    </row>
    <row r="81" spans="2:15" s="9" customFormat="1" ht="15.75" x14ac:dyDescent="0.25">
      <c r="B81" s="12" t="s">
        <v>103</v>
      </c>
      <c r="C81" s="37">
        <v>0</v>
      </c>
      <c r="D81" s="37">
        <v>0</v>
      </c>
      <c r="E81" s="37">
        <v>0</v>
      </c>
      <c r="F81" s="37">
        <v>0</v>
      </c>
      <c r="G81" s="37">
        <v>0</v>
      </c>
      <c r="H81" s="37">
        <v>0</v>
      </c>
      <c r="I81" s="37">
        <v>0</v>
      </c>
      <c r="J81" s="37">
        <v>0</v>
      </c>
      <c r="K81" s="37">
        <v>0</v>
      </c>
      <c r="L81" s="37">
        <v>0</v>
      </c>
      <c r="M81" s="37">
        <v>0</v>
      </c>
      <c r="N81" s="37">
        <v>0</v>
      </c>
      <c r="O81" s="5">
        <f t="shared" si="18"/>
        <v>0</v>
      </c>
    </row>
    <row r="82" spans="2:15" s="9" customFormat="1" ht="15.75" x14ac:dyDescent="0.25">
      <c r="B82" s="12" t="s">
        <v>104</v>
      </c>
      <c r="C82" s="37">
        <v>0</v>
      </c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0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5">
        <f t="shared" si="18"/>
        <v>0</v>
      </c>
    </row>
    <row r="83" spans="2:15" s="9" customFormat="1" ht="15.75" x14ac:dyDescent="0.25">
      <c r="B83" s="12" t="s">
        <v>105</v>
      </c>
      <c r="C83" s="37">
        <v>0</v>
      </c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0</v>
      </c>
      <c r="J83" s="37">
        <v>0</v>
      </c>
      <c r="K83" s="37">
        <v>0</v>
      </c>
      <c r="L83" s="37">
        <v>0</v>
      </c>
      <c r="M83" s="37">
        <v>0</v>
      </c>
      <c r="N83" s="37">
        <v>0</v>
      </c>
      <c r="O83" s="5">
        <f t="shared" si="18"/>
        <v>0</v>
      </c>
    </row>
    <row r="84" spans="2:15" s="9" customFormat="1" ht="15.75" x14ac:dyDescent="0.25">
      <c r="B84" s="12" t="s">
        <v>106</v>
      </c>
      <c r="C84" s="37">
        <v>0</v>
      </c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0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5">
        <f t="shared" si="18"/>
        <v>0</v>
      </c>
    </row>
    <row r="85" spans="2:15" s="9" customFormat="1" ht="15.75" x14ac:dyDescent="0.25">
      <c r="B85" s="12" t="s">
        <v>107</v>
      </c>
      <c r="C85" s="37">
        <v>0</v>
      </c>
      <c r="D85" s="37">
        <v>0</v>
      </c>
      <c r="E85" s="37">
        <v>0</v>
      </c>
      <c r="F85" s="37">
        <v>0</v>
      </c>
      <c r="G85" s="37">
        <v>0</v>
      </c>
      <c r="H85" s="37">
        <v>0</v>
      </c>
      <c r="I85" s="37">
        <v>0</v>
      </c>
      <c r="J85" s="37">
        <v>0</v>
      </c>
      <c r="K85" s="37">
        <v>0</v>
      </c>
      <c r="L85" s="37">
        <v>0</v>
      </c>
      <c r="M85" s="37">
        <v>0</v>
      </c>
      <c r="N85" s="37">
        <v>0</v>
      </c>
      <c r="O85" s="5">
        <f t="shared" si="18"/>
        <v>0</v>
      </c>
    </row>
    <row r="86" spans="2:15" s="9" customFormat="1" ht="15.75" x14ac:dyDescent="0.25">
      <c r="B86" s="12" t="s">
        <v>108</v>
      </c>
      <c r="C86" s="37">
        <v>0</v>
      </c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5">
        <f t="shared" si="18"/>
        <v>0</v>
      </c>
    </row>
    <row r="87" spans="2:15" s="9" customFormat="1" ht="15.75" x14ac:dyDescent="0.25">
      <c r="B87" s="12" t="s">
        <v>109</v>
      </c>
      <c r="C87" s="37">
        <v>0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5">
        <f t="shared" si="18"/>
        <v>0</v>
      </c>
    </row>
    <row r="88" spans="2:15" s="9" customFormat="1" ht="15.75" x14ac:dyDescent="0.25">
      <c r="B88" s="12" t="s">
        <v>110</v>
      </c>
      <c r="C88" s="37">
        <v>0</v>
      </c>
      <c r="D88" s="37">
        <v>0</v>
      </c>
      <c r="E88" s="37">
        <v>0</v>
      </c>
      <c r="F88" s="37">
        <v>0</v>
      </c>
      <c r="G88" s="37">
        <v>0</v>
      </c>
      <c r="H88" s="37">
        <v>0</v>
      </c>
      <c r="I88" s="37">
        <v>0</v>
      </c>
      <c r="J88" s="37">
        <v>0</v>
      </c>
      <c r="K88" s="37">
        <v>0</v>
      </c>
      <c r="L88" s="37">
        <v>0</v>
      </c>
      <c r="M88" s="37">
        <v>0</v>
      </c>
      <c r="N88" s="37">
        <v>0</v>
      </c>
      <c r="O88" s="5">
        <f t="shared" si="18"/>
        <v>0</v>
      </c>
    </row>
    <row r="89" spans="2:15" s="9" customFormat="1" ht="15.75" x14ac:dyDescent="0.25">
      <c r="B89" s="12" t="s">
        <v>111</v>
      </c>
      <c r="C89" s="37">
        <v>0</v>
      </c>
      <c r="D89" s="37">
        <v>1000</v>
      </c>
      <c r="E89" s="37">
        <v>0</v>
      </c>
      <c r="F89" s="37">
        <v>0</v>
      </c>
      <c r="G89" s="37">
        <v>0</v>
      </c>
      <c r="H89" s="37">
        <v>0</v>
      </c>
      <c r="I89" s="37">
        <v>0</v>
      </c>
      <c r="J89" s="37">
        <v>0</v>
      </c>
      <c r="K89" s="37">
        <v>0</v>
      </c>
      <c r="L89" s="37">
        <v>0</v>
      </c>
      <c r="M89" s="37">
        <v>0</v>
      </c>
      <c r="N89" s="37">
        <v>0</v>
      </c>
      <c r="O89" s="5">
        <f t="shared" si="18"/>
        <v>1000</v>
      </c>
    </row>
    <row r="90" spans="2:15" s="9" customFormat="1" ht="15.75" x14ac:dyDescent="0.25">
      <c r="B90" s="12" t="s">
        <v>112</v>
      </c>
      <c r="C90" s="37">
        <v>1650</v>
      </c>
      <c r="D90" s="37">
        <v>1128.3599999999999</v>
      </c>
      <c r="E90" s="37">
        <v>636.36</v>
      </c>
      <c r="F90" s="37">
        <v>636.36</v>
      </c>
      <c r="G90" s="37">
        <v>636.36</v>
      </c>
      <c r="H90" s="37">
        <v>636.36</v>
      </c>
      <c r="I90" s="37">
        <v>636.36</v>
      </c>
      <c r="J90" s="37">
        <v>636.36</v>
      </c>
      <c r="K90" s="37">
        <v>636.36</v>
      </c>
      <c r="L90" s="37">
        <v>636.36</v>
      </c>
      <c r="M90" s="37">
        <v>636.36</v>
      </c>
      <c r="N90" s="37">
        <v>0</v>
      </c>
      <c r="O90" s="5">
        <f t="shared" si="18"/>
        <v>8505.5999999999985</v>
      </c>
    </row>
    <row r="91" spans="2:15" s="9" customFormat="1" ht="15.75" x14ac:dyDescent="0.25">
      <c r="B91" s="12" t="s">
        <v>113</v>
      </c>
      <c r="C91" s="37">
        <v>0</v>
      </c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5">
        <f t="shared" si="18"/>
        <v>0</v>
      </c>
    </row>
    <row r="92" spans="2:15" s="9" customFormat="1" ht="15.75" x14ac:dyDescent="0.25">
      <c r="B92" s="12" t="s">
        <v>114</v>
      </c>
      <c r="C92" s="37">
        <v>0</v>
      </c>
      <c r="D92" s="37">
        <v>0</v>
      </c>
      <c r="E92" s="37">
        <v>0</v>
      </c>
      <c r="F92" s="37">
        <v>0</v>
      </c>
      <c r="G92" s="37">
        <v>0</v>
      </c>
      <c r="H92" s="37">
        <v>0</v>
      </c>
      <c r="I92" s="37">
        <v>0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5">
        <f t="shared" si="18"/>
        <v>0</v>
      </c>
    </row>
    <row r="93" spans="2:15" s="9" customFormat="1" ht="15.75" x14ac:dyDescent="0.25">
      <c r="B93" s="12" t="s">
        <v>115</v>
      </c>
      <c r="C93" s="37">
        <v>0</v>
      </c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0</v>
      </c>
      <c r="J93" s="37">
        <v>0</v>
      </c>
      <c r="K93" s="37">
        <v>0</v>
      </c>
      <c r="L93" s="37">
        <v>0</v>
      </c>
      <c r="M93" s="37">
        <v>0</v>
      </c>
      <c r="N93" s="37">
        <v>0</v>
      </c>
      <c r="O93" s="5">
        <f t="shared" si="18"/>
        <v>0</v>
      </c>
    </row>
    <row r="94" spans="2:15" s="9" customFormat="1" ht="15.75" x14ac:dyDescent="0.25">
      <c r="B94" s="12" t="s">
        <v>116</v>
      </c>
      <c r="C94" s="37">
        <v>0</v>
      </c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0</v>
      </c>
      <c r="J94" s="37">
        <v>0</v>
      </c>
      <c r="K94" s="37">
        <v>0</v>
      </c>
      <c r="L94" s="37">
        <v>0</v>
      </c>
      <c r="M94" s="37">
        <v>0</v>
      </c>
      <c r="N94" s="37">
        <v>0</v>
      </c>
      <c r="O94" s="5">
        <f t="shared" si="18"/>
        <v>0</v>
      </c>
    </row>
    <row r="95" spans="2:15" s="9" customFormat="1" ht="15.75" x14ac:dyDescent="0.25">
      <c r="B95" s="12" t="s">
        <v>117</v>
      </c>
      <c r="C95" s="37">
        <v>0</v>
      </c>
      <c r="D95" s="37">
        <v>1700</v>
      </c>
      <c r="E95" s="37">
        <v>1700</v>
      </c>
      <c r="F95" s="37">
        <v>1700</v>
      </c>
      <c r="G95" s="37">
        <v>1700</v>
      </c>
      <c r="H95" s="37">
        <v>1700</v>
      </c>
      <c r="I95" s="37">
        <v>1700</v>
      </c>
      <c r="J95" s="37">
        <v>1700</v>
      </c>
      <c r="K95" s="37">
        <v>1700</v>
      </c>
      <c r="L95" s="37">
        <v>1700</v>
      </c>
      <c r="M95" s="37">
        <v>1700</v>
      </c>
      <c r="N95" s="37">
        <v>0</v>
      </c>
      <c r="O95" s="5">
        <f t="shared" si="18"/>
        <v>17000</v>
      </c>
    </row>
    <row r="96" spans="2:15" s="9" customFormat="1" ht="15.75" x14ac:dyDescent="0.25">
      <c r="B96" s="12" t="s">
        <v>118</v>
      </c>
      <c r="C96" s="37">
        <v>0</v>
      </c>
      <c r="D96" s="37">
        <v>1316</v>
      </c>
      <c r="E96" s="37">
        <v>1316</v>
      </c>
      <c r="F96" s="37">
        <v>1316</v>
      </c>
      <c r="G96" s="37">
        <v>2316</v>
      </c>
      <c r="H96" s="37">
        <v>2316</v>
      </c>
      <c r="I96" s="37">
        <v>2316</v>
      </c>
      <c r="J96" s="37">
        <v>2316</v>
      </c>
      <c r="K96" s="37">
        <v>2316</v>
      </c>
      <c r="L96" s="37">
        <v>1736</v>
      </c>
      <c r="M96" s="37">
        <v>1316</v>
      </c>
      <c r="N96" s="37">
        <v>0</v>
      </c>
      <c r="O96" s="5">
        <f t="shared" si="18"/>
        <v>18580</v>
      </c>
    </row>
    <row r="97" spans="2:15" s="9" customFormat="1" ht="15.75" x14ac:dyDescent="0.25">
      <c r="B97" s="12" t="s">
        <v>119</v>
      </c>
      <c r="C97" s="37">
        <v>0</v>
      </c>
      <c r="D97" s="37">
        <v>0</v>
      </c>
      <c r="E97" s="37">
        <v>0</v>
      </c>
      <c r="F97" s="37">
        <v>0</v>
      </c>
      <c r="G97" s="37">
        <v>0</v>
      </c>
      <c r="H97" s="37">
        <v>0</v>
      </c>
      <c r="I97" s="37">
        <v>0</v>
      </c>
      <c r="J97" s="37">
        <v>0</v>
      </c>
      <c r="K97" s="37">
        <v>0</v>
      </c>
      <c r="L97" s="37">
        <v>0</v>
      </c>
      <c r="M97" s="37">
        <v>0</v>
      </c>
      <c r="N97" s="37">
        <v>0</v>
      </c>
      <c r="O97" s="5">
        <f t="shared" si="18"/>
        <v>0</v>
      </c>
    </row>
    <row r="98" spans="2:15" s="9" customFormat="1" ht="15.75" x14ac:dyDescent="0.25">
      <c r="B98" s="12" t="s">
        <v>120</v>
      </c>
      <c r="C98" s="37">
        <v>0</v>
      </c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0</v>
      </c>
      <c r="J98" s="37">
        <v>0</v>
      </c>
      <c r="K98" s="37">
        <v>0</v>
      </c>
      <c r="L98" s="37">
        <v>0</v>
      </c>
      <c r="M98" s="37">
        <v>0</v>
      </c>
      <c r="N98" s="37">
        <v>0</v>
      </c>
      <c r="O98" s="5">
        <f t="shared" si="18"/>
        <v>0</v>
      </c>
    </row>
    <row r="99" spans="2:15" s="9" customFormat="1" ht="19.5" x14ac:dyDescent="0.25">
      <c r="B99" s="15" t="s">
        <v>121</v>
      </c>
      <c r="C99" s="38">
        <f>SUM(C100:C104)</f>
        <v>0</v>
      </c>
      <c r="D99" s="38">
        <f t="shared" ref="D99:N99" si="19">SUM(D100:D104)</f>
        <v>0</v>
      </c>
      <c r="E99" s="38">
        <f t="shared" si="19"/>
        <v>0</v>
      </c>
      <c r="F99" s="38">
        <f t="shared" si="19"/>
        <v>0</v>
      </c>
      <c r="G99" s="38">
        <f t="shared" si="19"/>
        <v>0</v>
      </c>
      <c r="H99" s="38">
        <f t="shared" si="19"/>
        <v>0</v>
      </c>
      <c r="I99" s="38">
        <f t="shared" si="19"/>
        <v>0</v>
      </c>
      <c r="J99" s="38">
        <f t="shared" si="19"/>
        <v>0</v>
      </c>
      <c r="K99" s="38">
        <f t="shared" si="19"/>
        <v>0</v>
      </c>
      <c r="L99" s="38">
        <f t="shared" si="19"/>
        <v>0</v>
      </c>
      <c r="M99" s="38">
        <f t="shared" si="19"/>
        <v>0</v>
      </c>
      <c r="N99" s="38">
        <f t="shared" si="19"/>
        <v>0</v>
      </c>
      <c r="O99" s="7">
        <f>SUM(C99:N99)</f>
        <v>0</v>
      </c>
    </row>
    <row r="100" spans="2:15" s="9" customFormat="1" ht="15.75" x14ac:dyDescent="0.25">
      <c r="B100" s="36" t="s">
        <v>122</v>
      </c>
      <c r="C100" s="37">
        <v>0</v>
      </c>
      <c r="D100" s="37">
        <v>0</v>
      </c>
      <c r="E100" s="37">
        <v>0</v>
      </c>
      <c r="F100" s="37">
        <v>0</v>
      </c>
      <c r="G100" s="37">
        <v>0</v>
      </c>
      <c r="H100" s="37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5">
        <f t="shared" si="18"/>
        <v>0</v>
      </c>
    </row>
    <row r="101" spans="2:15" s="9" customFormat="1" ht="15.75" x14ac:dyDescent="0.25">
      <c r="B101" s="36" t="s">
        <v>123</v>
      </c>
      <c r="C101" s="37">
        <v>0</v>
      </c>
      <c r="D101" s="37">
        <v>0</v>
      </c>
      <c r="E101" s="37">
        <v>0</v>
      </c>
      <c r="F101" s="37">
        <v>0</v>
      </c>
      <c r="G101" s="37">
        <v>0</v>
      </c>
      <c r="H101" s="37">
        <v>0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5">
        <f t="shared" si="18"/>
        <v>0</v>
      </c>
    </row>
    <row r="102" spans="2:15" s="9" customFormat="1" ht="15.75" x14ac:dyDescent="0.25">
      <c r="B102" s="36" t="s">
        <v>124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>
        <v>0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5">
        <f t="shared" si="18"/>
        <v>0</v>
      </c>
    </row>
    <row r="103" spans="2:15" s="9" customFormat="1" ht="15.75" x14ac:dyDescent="0.25">
      <c r="B103" s="12" t="s">
        <v>125</v>
      </c>
      <c r="C103" s="37">
        <v>0</v>
      </c>
      <c r="D103" s="37">
        <v>0</v>
      </c>
      <c r="E103" s="37">
        <v>0</v>
      </c>
      <c r="F103" s="37">
        <v>0</v>
      </c>
      <c r="G103" s="37">
        <v>0</v>
      </c>
      <c r="H103" s="37">
        <v>0</v>
      </c>
      <c r="I103" s="37">
        <v>0</v>
      </c>
      <c r="J103" s="37">
        <v>0</v>
      </c>
      <c r="K103" s="37">
        <v>0</v>
      </c>
      <c r="L103" s="37">
        <v>0</v>
      </c>
      <c r="M103" s="37">
        <v>0</v>
      </c>
      <c r="N103" s="37">
        <v>0</v>
      </c>
      <c r="O103" s="5">
        <f t="shared" si="18"/>
        <v>0</v>
      </c>
    </row>
    <row r="104" spans="2:15" s="9" customFormat="1" ht="15.75" x14ac:dyDescent="0.25">
      <c r="B104" s="12" t="s">
        <v>126</v>
      </c>
      <c r="C104" s="37">
        <v>0</v>
      </c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5">
        <f t="shared" si="18"/>
        <v>0</v>
      </c>
    </row>
    <row r="105" spans="2:15" s="9" customFormat="1" ht="19.5" x14ac:dyDescent="0.25">
      <c r="B105" s="15" t="s">
        <v>127</v>
      </c>
      <c r="C105" s="38">
        <f>SUM(C106:C115)</f>
        <v>0</v>
      </c>
      <c r="D105" s="38">
        <f t="shared" ref="D105:N105" si="20">SUM(D106:D115)</f>
        <v>0</v>
      </c>
      <c r="E105" s="38">
        <f t="shared" si="20"/>
        <v>0</v>
      </c>
      <c r="F105" s="38">
        <f t="shared" si="20"/>
        <v>0</v>
      </c>
      <c r="G105" s="38">
        <f t="shared" si="20"/>
        <v>0</v>
      </c>
      <c r="H105" s="38">
        <f t="shared" si="20"/>
        <v>0</v>
      </c>
      <c r="I105" s="38">
        <f t="shared" si="20"/>
        <v>0</v>
      </c>
      <c r="J105" s="38">
        <f t="shared" si="20"/>
        <v>0</v>
      </c>
      <c r="K105" s="38">
        <f t="shared" si="20"/>
        <v>0</v>
      </c>
      <c r="L105" s="38">
        <f t="shared" si="20"/>
        <v>0</v>
      </c>
      <c r="M105" s="38">
        <f t="shared" si="20"/>
        <v>0</v>
      </c>
      <c r="N105" s="38">
        <f t="shared" si="20"/>
        <v>0</v>
      </c>
      <c r="O105" s="7">
        <f t="shared" si="18"/>
        <v>0</v>
      </c>
    </row>
    <row r="106" spans="2:15" s="9" customFormat="1" ht="15.75" x14ac:dyDescent="0.25">
      <c r="B106" s="12" t="s">
        <v>128</v>
      </c>
      <c r="C106" s="37">
        <v>0</v>
      </c>
      <c r="D106" s="37">
        <v>0</v>
      </c>
      <c r="E106" s="37">
        <v>0</v>
      </c>
      <c r="F106" s="37">
        <v>0</v>
      </c>
      <c r="G106" s="37">
        <v>0</v>
      </c>
      <c r="H106" s="37">
        <v>0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5">
        <f t="shared" si="18"/>
        <v>0</v>
      </c>
    </row>
    <row r="107" spans="2:15" s="9" customFormat="1" ht="15.75" x14ac:dyDescent="0.25">
      <c r="B107" s="12" t="s">
        <v>129</v>
      </c>
      <c r="C107" s="37">
        <v>0</v>
      </c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0</v>
      </c>
      <c r="J107" s="37">
        <v>0</v>
      </c>
      <c r="K107" s="37">
        <v>0</v>
      </c>
      <c r="L107" s="37">
        <v>0</v>
      </c>
      <c r="M107" s="37">
        <v>0</v>
      </c>
      <c r="N107" s="37">
        <v>0</v>
      </c>
      <c r="O107" s="5">
        <f t="shared" si="18"/>
        <v>0</v>
      </c>
    </row>
    <row r="108" spans="2:15" s="9" customFormat="1" ht="15.75" x14ac:dyDescent="0.25">
      <c r="B108" s="12" t="s">
        <v>130</v>
      </c>
      <c r="C108" s="37">
        <v>0</v>
      </c>
      <c r="D108" s="37">
        <v>0</v>
      </c>
      <c r="E108" s="37">
        <v>0</v>
      </c>
      <c r="F108" s="37">
        <v>0</v>
      </c>
      <c r="G108" s="37">
        <v>0</v>
      </c>
      <c r="H108" s="37">
        <v>0</v>
      </c>
      <c r="I108" s="37">
        <v>0</v>
      </c>
      <c r="J108" s="37">
        <v>0</v>
      </c>
      <c r="K108" s="37">
        <v>0</v>
      </c>
      <c r="L108" s="37">
        <v>0</v>
      </c>
      <c r="M108" s="37">
        <v>0</v>
      </c>
      <c r="N108" s="37">
        <v>0</v>
      </c>
      <c r="O108" s="5">
        <f t="shared" si="18"/>
        <v>0</v>
      </c>
    </row>
    <row r="109" spans="2:15" s="9" customFormat="1" ht="15.75" x14ac:dyDescent="0.25">
      <c r="B109" s="12" t="s">
        <v>131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5">
        <f t="shared" si="18"/>
        <v>0</v>
      </c>
    </row>
    <row r="110" spans="2:15" s="9" customFormat="1" ht="15.75" x14ac:dyDescent="0.25">
      <c r="B110" s="12" t="s">
        <v>132</v>
      </c>
      <c r="C110" s="37">
        <v>0</v>
      </c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0</v>
      </c>
      <c r="J110" s="37">
        <v>0</v>
      </c>
      <c r="K110" s="37">
        <v>0</v>
      </c>
      <c r="L110" s="37">
        <v>0</v>
      </c>
      <c r="M110" s="37">
        <v>0</v>
      </c>
      <c r="N110" s="37">
        <v>0</v>
      </c>
      <c r="O110" s="5">
        <f t="shared" si="18"/>
        <v>0</v>
      </c>
    </row>
    <row r="111" spans="2:15" s="9" customFormat="1" ht="15.75" x14ac:dyDescent="0.25">
      <c r="B111" s="12" t="s">
        <v>133</v>
      </c>
      <c r="C111" s="37">
        <v>0</v>
      </c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0</v>
      </c>
      <c r="J111" s="37">
        <v>0</v>
      </c>
      <c r="K111" s="37">
        <v>0</v>
      </c>
      <c r="L111" s="37">
        <v>0</v>
      </c>
      <c r="M111" s="37">
        <v>0</v>
      </c>
      <c r="N111" s="37">
        <v>0</v>
      </c>
      <c r="O111" s="5">
        <f t="shared" si="18"/>
        <v>0</v>
      </c>
    </row>
    <row r="112" spans="2:15" s="9" customFormat="1" ht="15.75" x14ac:dyDescent="0.25">
      <c r="B112" s="12" t="s">
        <v>134</v>
      </c>
      <c r="C112" s="37">
        <v>0</v>
      </c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5">
        <f t="shared" si="18"/>
        <v>0</v>
      </c>
    </row>
    <row r="113" spans="2:15" s="9" customFormat="1" ht="15.75" x14ac:dyDescent="0.25">
      <c r="B113" s="12" t="s">
        <v>135</v>
      </c>
      <c r="C113" s="37">
        <v>0</v>
      </c>
      <c r="D113" s="37">
        <v>0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5">
        <f t="shared" si="18"/>
        <v>0</v>
      </c>
    </row>
    <row r="114" spans="2:15" s="9" customFormat="1" ht="15.75" x14ac:dyDescent="0.25">
      <c r="B114" s="12" t="s">
        <v>136</v>
      </c>
      <c r="C114" s="37">
        <v>0</v>
      </c>
      <c r="D114" s="37">
        <v>0</v>
      </c>
      <c r="E114" s="37">
        <v>0</v>
      </c>
      <c r="F114" s="37">
        <v>0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5">
        <f t="shared" si="18"/>
        <v>0</v>
      </c>
    </row>
    <row r="115" spans="2:15" s="9" customFormat="1" ht="15.75" x14ac:dyDescent="0.25">
      <c r="B115" s="12" t="s">
        <v>137</v>
      </c>
      <c r="C115" s="37">
        <v>0</v>
      </c>
      <c r="D115" s="37">
        <v>0</v>
      </c>
      <c r="E115" s="37">
        <v>0</v>
      </c>
      <c r="F115" s="37">
        <v>0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5">
        <f t="shared" si="18"/>
        <v>0</v>
      </c>
    </row>
    <row r="116" spans="2:15" s="42" customFormat="1" ht="19.5" x14ac:dyDescent="0.4">
      <c r="B116" s="15" t="s">
        <v>138</v>
      </c>
      <c r="C116" s="45">
        <f>SUM(C117:C119)</f>
        <v>0</v>
      </c>
      <c r="D116" s="45">
        <f t="shared" ref="D116:N116" si="21">SUM(D117:D119)</f>
        <v>17500</v>
      </c>
      <c r="E116" s="45">
        <f t="shared" si="21"/>
        <v>0</v>
      </c>
      <c r="F116" s="45">
        <f t="shared" si="21"/>
        <v>0</v>
      </c>
      <c r="G116" s="45">
        <f t="shared" si="21"/>
        <v>0</v>
      </c>
      <c r="H116" s="45">
        <f t="shared" si="21"/>
        <v>0</v>
      </c>
      <c r="I116" s="45">
        <f t="shared" si="21"/>
        <v>0</v>
      </c>
      <c r="J116" s="45">
        <f t="shared" si="21"/>
        <v>0</v>
      </c>
      <c r="K116" s="45">
        <f t="shared" si="21"/>
        <v>0</v>
      </c>
      <c r="L116" s="45">
        <f t="shared" si="21"/>
        <v>0</v>
      </c>
      <c r="M116" s="45">
        <f t="shared" si="21"/>
        <v>0</v>
      </c>
      <c r="N116" s="45">
        <f t="shared" si="21"/>
        <v>0</v>
      </c>
      <c r="O116" s="44">
        <f t="shared" si="18"/>
        <v>17500</v>
      </c>
    </row>
    <row r="117" spans="2:15" s="9" customFormat="1" ht="15.75" x14ac:dyDescent="0.25">
      <c r="B117" s="12" t="s">
        <v>139</v>
      </c>
      <c r="C117" s="37">
        <v>0</v>
      </c>
      <c r="D117" s="37">
        <v>0</v>
      </c>
      <c r="E117" s="37">
        <v>0</v>
      </c>
      <c r="F117" s="37">
        <v>0</v>
      </c>
      <c r="G117" s="37">
        <v>0</v>
      </c>
      <c r="H117" s="37">
        <v>0</v>
      </c>
      <c r="I117" s="37">
        <v>0</v>
      </c>
      <c r="J117" s="37">
        <v>0</v>
      </c>
      <c r="K117" s="37">
        <v>0</v>
      </c>
      <c r="L117" s="37">
        <v>0</v>
      </c>
      <c r="M117" s="37">
        <v>0</v>
      </c>
      <c r="N117" s="37">
        <v>0</v>
      </c>
      <c r="O117" s="5">
        <f t="shared" si="18"/>
        <v>0</v>
      </c>
    </row>
    <row r="118" spans="2:15" s="9" customFormat="1" ht="15.75" x14ac:dyDescent="0.25">
      <c r="B118" s="12" t="s">
        <v>140</v>
      </c>
      <c r="C118" s="37">
        <v>0</v>
      </c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5">
        <f t="shared" si="18"/>
        <v>0</v>
      </c>
    </row>
    <row r="119" spans="2:15" s="9" customFormat="1" ht="15.75" x14ac:dyDescent="0.25">
      <c r="B119" s="12" t="s">
        <v>141</v>
      </c>
      <c r="C119" s="37">
        <v>0</v>
      </c>
      <c r="D119" s="37">
        <v>17500</v>
      </c>
      <c r="E119" s="37">
        <v>0</v>
      </c>
      <c r="F119" s="37">
        <v>0</v>
      </c>
      <c r="G119" s="37">
        <v>0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5">
        <f t="shared" si="18"/>
        <v>17500</v>
      </c>
    </row>
    <row r="120" spans="2:15" s="42" customFormat="1" ht="19.5" x14ac:dyDescent="0.4">
      <c r="B120" s="15" t="s">
        <v>142</v>
      </c>
      <c r="C120" s="45">
        <f>SUM(C121:C122)</f>
        <v>0</v>
      </c>
      <c r="D120" s="45">
        <f t="shared" ref="D120:N120" si="22">SUM(D121:D122)</f>
        <v>0</v>
      </c>
      <c r="E120" s="45">
        <f t="shared" si="22"/>
        <v>0</v>
      </c>
      <c r="F120" s="45">
        <f t="shared" si="22"/>
        <v>0</v>
      </c>
      <c r="G120" s="45">
        <f t="shared" si="22"/>
        <v>0</v>
      </c>
      <c r="H120" s="45">
        <f t="shared" si="22"/>
        <v>0</v>
      </c>
      <c r="I120" s="45">
        <f t="shared" si="22"/>
        <v>0</v>
      </c>
      <c r="J120" s="45">
        <f t="shared" si="22"/>
        <v>0</v>
      </c>
      <c r="K120" s="45">
        <f t="shared" si="22"/>
        <v>0</v>
      </c>
      <c r="L120" s="45">
        <f t="shared" si="22"/>
        <v>0</v>
      </c>
      <c r="M120" s="45">
        <f t="shared" si="22"/>
        <v>0</v>
      </c>
      <c r="N120" s="45">
        <f t="shared" si="22"/>
        <v>0</v>
      </c>
      <c r="O120" s="44">
        <f t="shared" si="18"/>
        <v>0</v>
      </c>
    </row>
    <row r="121" spans="2:15" s="9" customFormat="1" ht="15.75" x14ac:dyDescent="0.25">
      <c r="B121" s="12" t="s">
        <v>143</v>
      </c>
      <c r="C121" s="37">
        <v>0</v>
      </c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0</v>
      </c>
      <c r="J121" s="37">
        <v>0</v>
      </c>
      <c r="K121" s="37">
        <v>0</v>
      </c>
      <c r="L121" s="37">
        <v>0</v>
      </c>
      <c r="M121" s="37">
        <v>0</v>
      </c>
      <c r="N121" s="37">
        <v>0</v>
      </c>
      <c r="O121" s="5">
        <f t="shared" si="18"/>
        <v>0</v>
      </c>
    </row>
    <row r="122" spans="2:15" s="9" customFormat="1" ht="15.75" x14ac:dyDescent="0.25">
      <c r="B122" s="12" t="s">
        <v>43</v>
      </c>
      <c r="C122" s="37">
        <v>0</v>
      </c>
      <c r="D122" s="37">
        <v>0</v>
      </c>
      <c r="E122" s="37">
        <v>0</v>
      </c>
      <c r="F122" s="37">
        <v>0</v>
      </c>
      <c r="G122" s="37">
        <v>0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  <c r="M122" s="37">
        <v>0</v>
      </c>
      <c r="N122" s="37">
        <v>0</v>
      </c>
      <c r="O122" s="5">
        <f t="shared" si="18"/>
        <v>0</v>
      </c>
    </row>
    <row r="123" spans="2:15" s="42" customFormat="1" ht="19.5" x14ac:dyDescent="0.4">
      <c r="B123" s="15" t="s">
        <v>32</v>
      </c>
      <c r="C123" s="45">
        <f t="shared" ref="C123:N123" si="23">SUM(C124:C125)</f>
        <v>0</v>
      </c>
      <c r="D123" s="45">
        <f t="shared" si="23"/>
        <v>0</v>
      </c>
      <c r="E123" s="45">
        <f t="shared" si="23"/>
        <v>0</v>
      </c>
      <c r="F123" s="45">
        <f t="shared" si="23"/>
        <v>0</v>
      </c>
      <c r="G123" s="45">
        <f t="shared" si="23"/>
        <v>0</v>
      </c>
      <c r="H123" s="45">
        <f t="shared" si="23"/>
        <v>0</v>
      </c>
      <c r="I123" s="45">
        <f t="shared" si="23"/>
        <v>0</v>
      </c>
      <c r="J123" s="45">
        <f t="shared" si="23"/>
        <v>0</v>
      </c>
      <c r="K123" s="45">
        <f t="shared" si="23"/>
        <v>0</v>
      </c>
      <c r="L123" s="45">
        <f t="shared" si="23"/>
        <v>0</v>
      </c>
      <c r="M123" s="45">
        <f t="shared" si="23"/>
        <v>0</v>
      </c>
      <c r="N123" s="45">
        <f t="shared" si="23"/>
        <v>0</v>
      </c>
      <c r="O123" s="44">
        <f t="shared" si="18"/>
        <v>0</v>
      </c>
    </row>
    <row r="124" spans="2:15" s="9" customFormat="1" ht="15.75" x14ac:dyDescent="0.25">
      <c r="B124" s="12" t="s">
        <v>144</v>
      </c>
      <c r="C124" s="37">
        <v>0</v>
      </c>
      <c r="D124" s="37">
        <v>0</v>
      </c>
      <c r="E124" s="37">
        <v>0</v>
      </c>
      <c r="F124" s="37">
        <v>0</v>
      </c>
      <c r="G124" s="37">
        <v>0</v>
      </c>
      <c r="H124" s="37">
        <v>0</v>
      </c>
      <c r="I124" s="37">
        <v>0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5">
        <f t="shared" si="18"/>
        <v>0</v>
      </c>
    </row>
    <row r="125" spans="2:15" s="9" customFormat="1" ht="15.75" x14ac:dyDescent="0.25">
      <c r="B125" s="12" t="s">
        <v>145</v>
      </c>
      <c r="C125" s="37">
        <v>0</v>
      </c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5">
        <f t="shared" si="18"/>
        <v>0</v>
      </c>
    </row>
    <row r="126" spans="2:15" s="42" customFormat="1" ht="19.5" x14ac:dyDescent="0.4">
      <c r="B126" s="15" t="s">
        <v>146</v>
      </c>
      <c r="C126" s="45">
        <f>SUM(C127:C129)</f>
        <v>0</v>
      </c>
      <c r="D126" s="45">
        <f t="shared" ref="D126:N126" si="24">SUM(D127:D129)</f>
        <v>0</v>
      </c>
      <c r="E126" s="45">
        <f t="shared" si="24"/>
        <v>0</v>
      </c>
      <c r="F126" s="45">
        <f t="shared" si="24"/>
        <v>0</v>
      </c>
      <c r="G126" s="45">
        <f t="shared" si="24"/>
        <v>0</v>
      </c>
      <c r="H126" s="45">
        <f t="shared" si="24"/>
        <v>0</v>
      </c>
      <c r="I126" s="45">
        <f t="shared" si="24"/>
        <v>0</v>
      </c>
      <c r="J126" s="45">
        <f t="shared" si="24"/>
        <v>0</v>
      </c>
      <c r="K126" s="45">
        <f t="shared" si="24"/>
        <v>0</v>
      </c>
      <c r="L126" s="45">
        <f t="shared" si="24"/>
        <v>0</v>
      </c>
      <c r="M126" s="45">
        <f t="shared" si="24"/>
        <v>0</v>
      </c>
      <c r="N126" s="45">
        <f t="shared" si="24"/>
        <v>0</v>
      </c>
      <c r="O126" s="44">
        <f t="shared" si="18"/>
        <v>0</v>
      </c>
    </row>
    <row r="127" spans="2:15" s="9" customFormat="1" ht="15.75" x14ac:dyDescent="0.25">
      <c r="B127" s="12" t="s">
        <v>147</v>
      </c>
      <c r="C127" s="37">
        <v>0</v>
      </c>
      <c r="D127" s="37">
        <v>0</v>
      </c>
      <c r="E127" s="37">
        <v>0</v>
      </c>
      <c r="F127" s="37">
        <v>0</v>
      </c>
      <c r="G127" s="37">
        <v>0</v>
      </c>
      <c r="H127" s="37">
        <v>0</v>
      </c>
      <c r="I127" s="37">
        <v>0</v>
      </c>
      <c r="J127" s="37">
        <v>0</v>
      </c>
      <c r="K127" s="37">
        <v>0</v>
      </c>
      <c r="L127" s="37">
        <v>0</v>
      </c>
      <c r="M127" s="37">
        <v>0</v>
      </c>
      <c r="N127" s="37">
        <v>0</v>
      </c>
      <c r="O127" s="5">
        <f t="shared" si="18"/>
        <v>0</v>
      </c>
    </row>
    <row r="128" spans="2:15" s="9" customFormat="1" ht="15.75" x14ac:dyDescent="0.25">
      <c r="B128" s="12" t="s">
        <v>148</v>
      </c>
      <c r="C128" s="37">
        <v>0</v>
      </c>
      <c r="D128" s="37">
        <v>0</v>
      </c>
      <c r="E128" s="37">
        <v>0</v>
      </c>
      <c r="F128" s="37">
        <v>0</v>
      </c>
      <c r="G128" s="37">
        <v>0</v>
      </c>
      <c r="H128" s="37">
        <v>0</v>
      </c>
      <c r="I128" s="37">
        <v>0</v>
      </c>
      <c r="J128" s="37">
        <v>0</v>
      </c>
      <c r="K128" s="37">
        <v>0</v>
      </c>
      <c r="L128" s="37">
        <v>0</v>
      </c>
      <c r="M128" s="37">
        <v>0</v>
      </c>
      <c r="N128" s="37">
        <v>0</v>
      </c>
      <c r="O128" s="5">
        <f t="shared" si="18"/>
        <v>0</v>
      </c>
    </row>
    <row r="129" spans="2:15" s="9" customFormat="1" ht="15.75" x14ac:dyDescent="0.25">
      <c r="B129" s="12" t="s">
        <v>149</v>
      </c>
      <c r="C129" s="37">
        <v>0</v>
      </c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0</v>
      </c>
      <c r="J129" s="37">
        <v>0</v>
      </c>
      <c r="K129" s="37">
        <v>0</v>
      </c>
      <c r="L129" s="37">
        <v>0</v>
      </c>
      <c r="M129" s="37">
        <v>0</v>
      </c>
      <c r="N129" s="37">
        <v>0</v>
      </c>
      <c r="O129" s="5">
        <f t="shared" si="18"/>
        <v>0</v>
      </c>
    </row>
    <row r="130" spans="2:15" s="42" customFormat="1" ht="19.5" x14ac:dyDescent="0.4">
      <c r="B130" s="15" t="s">
        <v>150</v>
      </c>
      <c r="C130" s="45">
        <f>SUM(C131:C132)</f>
        <v>300</v>
      </c>
      <c r="D130" s="45">
        <f t="shared" ref="D130:N130" si="25">SUM(D131:D132)</f>
        <v>10000</v>
      </c>
      <c r="E130" s="45">
        <f t="shared" si="25"/>
        <v>1000</v>
      </c>
      <c r="F130" s="45">
        <f t="shared" si="25"/>
        <v>1300</v>
      </c>
      <c r="G130" s="45">
        <f t="shared" si="25"/>
        <v>1000</v>
      </c>
      <c r="H130" s="45">
        <f t="shared" si="25"/>
        <v>11000</v>
      </c>
      <c r="I130" s="45">
        <f t="shared" si="25"/>
        <v>11000</v>
      </c>
      <c r="J130" s="45">
        <f t="shared" si="25"/>
        <v>1300</v>
      </c>
      <c r="K130" s="45">
        <f t="shared" si="25"/>
        <v>1000</v>
      </c>
      <c r="L130" s="45">
        <f t="shared" si="25"/>
        <v>21000</v>
      </c>
      <c r="M130" s="45">
        <f t="shared" si="25"/>
        <v>16000</v>
      </c>
      <c r="N130" s="45">
        <f t="shared" si="25"/>
        <v>35800</v>
      </c>
      <c r="O130" s="44">
        <f t="shared" si="18"/>
        <v>110700</v>
      </c>
    </row>
    <row r="131" spans="2:15" s="9" customFormat="1" ht="15.75" x14ac:dyDescent="0.25">
      <c r="B131" s="12" t="s">
        <v>64</v>
      </c>
      <c r="C131" s="37">
        <v>0</v>
      </c>
      <c r="D131" s="37">
        <v>0</v>
      </c>
      <c r="E131" s="37">
        <v>1000</v>
      </c>
      <c r="F131" s="37">
        <v>1000</v>
      </c>
      <c r="G131" s="37">
        <v>1000</v>
      </c>
      <c r="H131" s="37">
        <v>1000</v>
      </c>
      <c r="I131" s="37">
        <v>1000</v>
      </c>
      <c r="J131" s="37">
        <v>1000</v>
      </c>
      <c r="K131" s="37">
        <v>1000</v>
      </c>
      <c r="L131" s="37">
        <v>1000</v>
      </c>
      <c r="M131" s="37">
        <v>1000</v>
      </c>
      <c r="N131" s="37">
        <v>0</v>
      </c>
      <c r="O131" s="5">
        <f t="shared" si="18"/>
        <v>9000</v>
      </c>
    </row>
    <row r="132" spans="2:15" s="9" customFormat="1" ht="15.75" x14ac:dyDescent="0.25">
      <c r="B132" s="12" t="s">
        <v>151</v>
      </c>
      <c r="C132" s="37">
        <v>300</v>
      </c>
      <c r="D132" s="37">
        <v>10000</v>
      </c>
      <c r="E132" s="37">
        <v>0</v>
      </c>
      <c r="F132" s="37">
        <v>300</v>
      </c>
      <c r="G132" s="37">
        <v>0</v>
      </c>
      <c r="H132" s="37">
        <v>10000</v>
      </c>
      <c r="I132" s="37">
        <v>10000</v>
      </c>
      <c r="J132" s="37">
        <v>300</v>
      </c>
      <c r="K132" s="37">
        <v>0</v>
      </c>
      <c r="L132" s="37">
        <v>20000</v>
      </c>
      <c r="M132" s="37">
        <v>15000</v>
      </c>
      <c r="N132" s="37">
        <v>35800</v>
      </c>
      <c r="O132" s="5">
        <f t="shared" si="18"/>
        <v>101700</v>
      </c>
    </row>
    <row r="133" spans="2:15" s="42" customFormat="1" ht="19.5" x14ac:dyDescent="0.4">
      <c r="B133" s="15" t="s">
        <v>152</v>
      </c>
      <c r="C133" s="45">
        <f>SUM(C134:C138)</f>
        <v>0</v>
      </c>
      <c r="D133" s="45">
        <f t="shared" ref="D133:N133" si="26">SUM(D134:D138)</f>
        <v>0</v>
      </c>
      <c r="E133" s="45">
        <f t="shared" si="26"/>
        <v>0</v>
      </c>
      <c r="F133" s="45">
        <f t="shared" si="26"/>
        <v>0</v>
      </c>
      <c r="G133" s="45">
        <f t="shared" si="26"/>
        <v>0</v>
      </c>
      <c r="H133" s="45">
        <f t="shared" si="26"/>
        <v>0</v>
      </c>
      <c r="I133" s="45">
        <f t="shared" si="26"/>
        <v>0</v>
      </c>
      <c r="J133" s="45">
        <f t="shared" si="26"/>
        <v>0</v>
      </c>
      <c r="K133" s="45">
        <f t="shared" si="26"/>
        <v>0</v>
      </c>
      <c r="L133" s="45">
        <f>SUM(L134:L138)</f>
        <v>0</v>
      </c>
      <c r="M133" s="45">
        <f t="shared" si="26"/>
        <v>0</v>
      </c>
      <c r="N133" s="45">
        <f t="shared" si="26"/>
        <v>0</v>
      </c>
      <c r="O133" s="44">
        <f t="shared" si="18"/>
        <v>0</v>
      </c>
    </row>
    <row r="134" spans="2:15" s="9" customFormat="1" ht="15.75" x14ac:dyDescent="0.25">
      <c r="B134" s="12" t="s">
        <v>153</v>
      </c>
      <c r="C134" s="37">
        <v>0</v>
      </c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0</v>
      </c>
      <c r="J134" s="37">
        <v>0</v>
      </c>
      <c r="K134" s="37">
        <v>0</v>
      </c>
      <c r="L134" s="37">
        <v>0</v>
      </c>
      <c r="M134" s="37">
        <v>0</v>
      </c>
      <c r="N134" s="37">
        <v>0</v>
      </c>
      <c r="O134" s="5">
        <f t="shared" si="18"/>
        <v>0</v>
      </c>
    </row>
    <row r="135" spans="2:15" s="9" customFormat="1" ht="15.75" x14ac:dyDescent="0.25">
      <c r="B135" s="12" t="s">
        <v>154</v>
      </c>
      <c r="C135" s="37">
        <v>0</v>
      </c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v>0</v>
      </c>
      <c r="N135" s="37">
        <v>0</v>
      </c>
      <c r="O135" s="5">
        <f t="shared" si="18"/>
        <v>0</v>
      </c>
    </row>
    <row r="136" spans="2:15" s="9" customFormat="1" ht="15.75" x14ac:dyDescent="0.25">
      <c r="B136" s="12" t="s">
        <v>155</v>
      </c>
      <c r="C136" s="37">
        <v>0</v>
      </c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0</v>
      </c>
      <c r="J136" s="37">
        <v>0</v>
      </c>
      <c r="K136" s="37">
        <v>0</v>
      </c>
      <c r="L136" s="37">
        <v>0</v>
      </c>
      <c r="M136" s="37">
        <v>0</v>
      </c>
      <c r="N136" s="37">
        <v>0</v>
      </c>
      <c r="O136" s="5">
        <f t="shared" si="18"/>
        <v>0</v>
      </c>
    </row>
    <row r="137" spans="2:15" s="9" customFormat="1" ht="15.75" x14ac:dyDescent="0.25">
      <c r="B137" s="12" t="s">
        <v>156</v>
      </c>
      <c r="C137" s="37">
        <v>0</v>
      </c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0</v>
      </c>
      <c r="J137" s="37">
        <v>0</v>
      </c>
      <c r="K137" s="37">
        <v>0</v>
      </c>
      <c r="L137" s="37">
        <v>0</v>
      </c>
      <c r="M137" s="37">
        <v>0</v>
      </c>
      <c r="N137" s="37">
        <v>0</v>
      </c>
      <c r="O137" s="5">
        <f t="shared" si="18"/>
        <v>0</v>
      </c>
    </row>
    <row r="138" spans="2:15" s="9" customFormat="1" ht="15.75" x14ac:dyDescent="0.25"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5">
        <f t="shared" si="18"/>
        <v>0</v>
      </c>
    </row>
    <row r="139" spans="2:15" s="9" customFormat="1" ht="15.75" x14ac:dyDescent="0.25"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17"/>
    </row>
    <row r="140" spans="2:15" s="9" customFormat="1" ht="15.75" x14ac:dyDescent="0.25"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17"/>
    </row>
    <row r="141" spans="2:15" s="9" customFormat="1" ht="15.75" x14ac:dyDescent="0.25"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17"/>
    </row>
    <row r="142" spans="2:15" s="9" customFormat="1" ht="15.75" x14ac:dyDescent="0.25"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17"/>
    </row>
    <row r="143" spans="2:15" s="9" customFormat="1" ht="15.75" x14ac:dyDescent="0.25"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17"/>
    </row>
    <row r="144" spans="2:15" s="9" customFormat="1" ht="15.75" x14ac:dyDescent="0.25">
      <c r="O144" s="17"/>
    </row>
    <row r="145" spans="15:15" s="9" customFormat="1" ht="15.75" x14ac:dyDescent="0.25">
      <c r="O145" s="17"/>
    </row>
    <row r="146" spans="15:15" s="9" customFormat="1" ht="15.75" x14ac:dyDescent="0.25">
      <c r="O146" s="17"/>
    </row>
    <row r="147" spans="15:15" s="9" customFormat="1" ht="15.75" x14ac:dyDescent="0.25">
      <c r="O147" s="17"/>
    </row>
    <row r="148" spans="15:15" s="9" customFormat="1" ht="15.75" x14ac:dyDescent="0.25">
      <c r="O148" s="17"/>
    </row>
    <row r="149" spans="15:15" s="9" customFormat="1" ht="15.75" x14ac:dyDescent="0.25">
      <c r="O149" s="17"/>
    </row>
    <row r="150" spans="15:15" s="9" customFormat="1" ht="15.75" x14ac:dyDescent="0.25">
      <c r="O150" s="17"/>
    </row>
    <row r="151" spans="15:15" s="9" customFormat="1" ht="15.75" x14ac:dyDescent="0.25">
      <c r="O151" s="17"/>
    </row>
    <row r="152" spans="15:15" s="9" customFormat="1" ht="15.75" x14ac:dyDescent="0.25">
      <c r="O152" s="17"/>
    </row>
    <row r="153" spans="15:15" s="9" customFormat="1" ht="15.75" x14ac:dyDescent="0.25">
      <c r="O153" s="17"/>
    </row>
    <row r="154" spans="15:15" s="9" customFormat="1" ht="15.75" x14ac:dyDescent="0.25">
      <c r="O154" s="17"/>
    </row>
    <row r="155" spans="15:15" s="9" customFormat="1" ht="15.75" x14ac:dyDescent="0.25">
      <c r="O155" s="17"/>
    </row>
    <row r="156" spans="15:15" s="9" customFormat="1" ht="15.75" x14ac:dyDescent="0.25">
      <c r="O156" s="17"/>
    </row>
    <row r="157" spans="15:15" s="9" customFormat="1" ht="15.75" x14ac:dyDescent="0.25">
      <c r="O157" s="17"/>
    </row>
    <row r="158" spans="15:15" s="9" customFormat="1" ht="15.75" x14ac:dyDescent="0.25">
      <c r="O158" s="17"/>
    </row>
    <row r="159" spans="15:15" s="9" customFormat="1" ht="15.75" x14ac:dyDescent="0.25">
      <c r="O159" s="17"/>
    </row>
    <row r="160" spans="15:15" s="9" customFormat="1" ht="15.75" x14ac:dyDescent="0.25">
      <c r="O160" s="17"/>
    </row>
    <row r="161" spans="15:15" s="9" customFormat="1" ht="15.75" x14ac:dyDescent="0.25">
      <c r="O161" s="17"/>
    </row>
    <row r="162" spans="15:15" s="9" customFormat="1" ht="15.75" x14ac:dyDescent="0.25">
      <c r="O162" s="17"/>
    </row>
    <row r="163" spans="15:15" s="9" customFormat="1" ht="15.75" x14ac:dyDescent="0.25">
      <c r="O163" s="17"/>
    </row>
    <row r="164" spans="15:15" s="9" customFormat="1" ht="15.75" x14ac:dyDescent="0.25">
      <c r="O164" s="17"/>
    </row>
    <row r="165" spans="15:15" s="9" customFormat="1" ht="15.75" x14ac:dyDescent="0.25">
      <c r="O165" s="17"/>
    </row>
  </sheetData>
  <sheetProtection formatCells="0" formatColumns="0" formatRows="0" insertColumns="0" insertRows="0" insertHyperlinks="0" deleteColumns="0" deleteRows="0" sort="0" autoFilter="0" pivotTables="0"/>
  <mergeCells count="2">
    <mergeCell ref="C1:O1"/>
    <mergeCell ref="A2:B2"/>
  </mergeCells>
  <pageMargins left="0" right="0" top="0.75" bottom="0.75" header="0.3" footer="0.3"/>
  <pageSetup paperSize="9" scale="38" fitToHeight="0" orientation="landscape" r:id="rId1"/>
  <headerFooter>
    <oddFooter>&amp;L&amp;Bfinancas - previsto x realizad&amp;RPágina 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4390-7873-4C52-BD5D-E496AC9183DB}">
  <sheetPr>
    <tabColor rgb="FF7030A0"/>
    <pageSetUpPr fitToPage="1"/>
  </sheetPr>
  <dimension ref="A1:R165"/>
  <sheetViews>
    <sheetView showGridLines="0" view="pageBreakPreview" zoomScale="60" zoomScaleNormal="60" workbookViewId="0">
      <pane xSplit="2" ySplit="3" topLeftCell="C31" activePane="bottomRight" state="frozen"/>
      <selection pane="topRight"/>
      <selection pane="bottomLeft"/>
      <selection pane="bottomRight" activeCell="G47" sqref="C47:G47"/>
    </sheetView>
  </sheetViews>
  <sheetFormatPr defaultRowHeight="15" customHeight="1" x14ac:dyDescent="0.25"/>
  <cols>
    <col min="1" max="1" width="6.42578125" customWidth="1"/>
    <col min="2" max="2" width="61.140625" bestFit="1" customWidth="1"/>
    <col min="3" max="12" width="23.28515625" bestFit="1" customWidth="1"/>
    <col min="13" max="13" width="24.42578125" bestFit="1" customWidth="1"/>
    <col min="14" max="14" width="24" bestFit="1" customWidth="1"/>
    <col min="15" max="15" width="25.140625" style="1" bestFit="1" customWidth="1"/>
    <col min="18" max="18" width="17.5703125" bestFit="1" customWidth="1"/>
  </cols>
  <sheetData>
    <row r="1" spans="1:15" ht="68.25" customHeight="1" x14ac:dyDescent="0.25">
      <c r="C1" s="286" t="s">
        <v>251</v>
      </c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5" ht="24.95" customHeight="1" x14ac:dyDescent="0.25">
      <c r="A2" s="287" t="s">
        <v>246</v>
      </c>
      <c r="B2" s="287"/>
      <c r="C2" s="184">
        <f>C47/O$47</f>
        <v>8.192612137203166E-2</v>
      </c>
      <c r="D2" s="184">
        <f>D47/$O$47</f>
        <v>8.2321899736147758E-2</v>
      </c>
      <c r="E2" s="184">
        <f>E47/$O$47</f>
        <v>8.3377308707124009E-2</v>
      </c>
      <c r="F2" s="184">
        <f t="shared" ref="F2:N2" si="0">F47/$O$47</f>
        <v>8.4036939313984163E-2</v>
      </c>
      <c r="G2" s="184">
        <f t="shared" si="0"/>
        <v>8.3377308707124009E-2</v>
      </c>
      <c r="H2" s="184">
        <f t="shared" si="0"/>
        <v>8.3377308707124009E-2</v>
      </c>
      <c r="I2" s="184">
        <f t="shared" si="0"/>
        <v>8.4036939313984163E-2</v>
      </c>
      <c r="J2" s="184">
        <f t="shared" si="0"/>
        <v>8.3377308707124009E-2</v>
      </c>
      <c r="K2" s="184">
        <f t="shared" si="0"/>
        <v>8.3377308707124009E-2</v>
      </c>
      <c r="L2" s="184">
        <f t="shared" si="0"/>
        <v>8.4036939313984163E-2</v>
      </c>
      <c r="M2" s="184">
        <f t="shared" si="0"/>
        <v>8.3377308707124009E-2</v>
      </c>
      <c r="N2" s="184">
        <f t="shared" si="0"/>
        <v>8.3377308707124009E-2</v>
      </c>
    </row>
    <row r="3" spans="1:15" ht="22.5" x14ac:dyDescent="0.25">
      <c r="B3" s="2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4" t="s">
        <v>5</v>
      </c>
    </row>
    <row r="4" spans="1:15" ht="22.5" x14ac:dyDescent="0.25">
      <c r="B4" s="31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2"/>
    </row>
    <row r="5" spans="1:15" ht="19.5" x14ac:dyDescent="0.25">
      <c r="B5" s="33" t="s">
        <v>29</v>
      </c>
      <c r="C5" s="243">
        <f>C6</f>
        <v>-8600</v>
      </c>
      <c r="D5" s="243">
        <f t="shared" ref="D5:N5" si="1">C5+D6</f>
        <v>-17500</v>
      </c>
      <c r="E5" s="243">
        <f t="shared" si="1"/>
        <v>-27200</v>
      </c>
      <c r="F5" s="243">
        <f t="shared" si="1"/>
        <v>-37400</v>
      </c>
      <c r="G5" s="243">
        <f t="shared" si="1"/>
        <v>-47100</v>
      </c>
      <c r="H5" s="243">
        <f t="shared" si="1"/>
        <v>-56800</v>
      </c>
      <c r="I5" s="243">
        <f t="shared" si="1"/>
        <v>-67000</v>
      </c>
      <c r="J5" s="243">
        <f t="shared" si="1"/>
        <v>-76700</v>
      </c>
      <c r="K5" s="243">
        <f t="shared" si="1"/>
        <v>-86400</v>
      </c>
      <c r="L5" s="243">
        <f t="shared" si="1"/>
        <v>-96600</v>
      </c>
      <c r="M5" s="243">
        <f t="shared" si="1"/>
        <v>-106300</v>
      </c>
      <c r="N5" s="243">
        <f t="shared" si="1"/>
        <v>-116000</v>
      </c>
      <c r="O5" s="245"/>
    </row>
    <row r="6" spans="1:15" ht="19.5" x14ac:dyDescent="0.25">
      <c r="B6" s="33" t="s">
        <v>30</v>
      </c>
      <c r="C6" s="243">
        <f t="shared" ref="C6:N6" si="2">SUM(C8-C47)</f>
        <v>-8600</v>
      </c>
      <c r="D6" s="243">
        <f t="shared" si="2"/>
        <v>-8900</v>
      </c>
      <c r="E6" s="243">
        <f t="shared" si="2"/>
        <v>-9700</v>
      </c>
      <c r="F6" s="243">
        <f t="shared" si="2"/>
        <v>-10200</v>
      </c>
      <c r="G6" s="243">
        <f t="shared" si="2"/>
        <v>-9700</v>
      </c>
      <c r="H6" s="243">
        <f t="shared" si="2"/>
        <v>-9700</v>
      </c>
      <c r="I6" s="243">
        <f t="shared" si="2"/>
        <v>-10200</v>
      </c>
      <c r="J6" s="243">
        <f t="shared" si="2"/>
        <v>-9700</v>
      </c>
      <c r="K6" s="243">
        <f t="shared" si="2"/>
        <v>-9700</v>
      </c>
      <c r="L6" s="243">
        <f t="shared" si="2"/>
        <v>-10200</v>
      </c>
      <c r="M6" s="243">
        <f t="shared" si="2"/>
        <v>-9700</v>
      </c>
      <c r="N6" s="243">
        <f t="shared" si="2"/>
        <v>-9700</v>
      </c>
      <c r="O6" s="245">
        <f>SUM(C6:N6)</f>
        <v>-116000</v>
      </c>
    </row>
    <row r="7" spans="1:15" ht="22.5" x14ac:dyDescent="0.25">
      <c r="B7" s="31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46"/>
    </row>
    <row r="8" spans="1:15" s="9" customFormat="1" ht="19.5" x14ac:dyDescent="0.25">
      <c r="B8" s="18" t="s">
        <v>31</v>
      </c>
      <c r="C8" s="49">
        <f>SUM(C9,C16,C22,C28,C33,C37,C40,C43)</f>
        <v>53500</v>
      </c>
      <c r="D8" s="49">
        <f t="shared" ref="D8:N8" si="3">SUM(D9,D16,D22,D28,D33,D37,D40,D43)</f>
        <v>53500</v>
      </c>
      <c r="E8" s="49">
        <f t="shared" si="3"/>
        <v>53500</v>
      </c>
      <c r="F8" s="49">
        <f t="shared" si="3"/>
        <v>53500</v>
      </c>
      <c r="G8" s="49">
        <f t="shared" si="3"/>
        <v>53500</v>
      </c>
      <c r="H8" s="49">
        <f t="shared" si="3"/>
        <v>53500</v>
      </c>
      <c r="I8" s="49">
        <f t="shared" si="3"/>
        <v>53500</v>
      </c>
      <c r="J8" s="49">
        <f t="shared" si="3"/>
        <v>53500</v>
      </c>
      <c r="K8" s="49">
        <f t="shared" si="3"/>
        <v>53500</v>
      </c>
      <c r="L8" s="49">
        <f t="shared" si="3"/>
        <v>53500</v>
      </c>
      <c r="M8" s="49">
        <f t="shared" si="3"/>
        <v>53500</v>
      </c>
      <c r="N8" s="49">
        <f t="shared" si="3"/>
        <v>53500</v>
      </c>
      <c r="O8" s="50">
        <f>SUM(C8:N8)</f>
        <v>642000</v>
      </c>
    </row>
    <row r="9" spans="1:15" s="42" customFormat="1" ht="19.5" hidden="1" x14ac:dyDescent="0.4">
      <c r="B9" s="10" t="s">
        <v>32</v>
      </c>
      <c r="C9" s="40">
        <f>SUM(C10:C15)</f>
        <v>0</v>
      </c>
      <c r="D9" s="40">
        <f>SUM(D10:D15)</f>
        <v>0</v>
      </c>
      <c r="E9" s="40">
        <f>SUM(E10:E15)</f>
        <v>0</v>
      </c>
      <c r="F9" s="40">
        <f t="shared" ref="F9:N9" si="4">SUM(F10:F15)</f>
        <v>0</v>
      </c>
      <c r="G9" s="40">
        <f>SUM(G10:G15)</f>
        <v>0</v>
      </c>
      <c r="H9" s="40">
        <f t="shared" si="4"/>
        <v>0</v>
      </c>
      <c r="I9" s="40">
        <f t="shared" si="4"/>
        <v>0</v>
      </c>
      <c r="J9" s="40">
        <f t="shared" si="4"/>
        <v>0</v>
      </c>
      <c r="K9" s="40">
        <f t="shared" si="4"/>
        <v>0</v>
      </c>
      <c r="L9" s="40">
        <f t="shared" si="4"/>
        <v>0</v>
      </c>
      <c r="M9" s="40">
        <f t="shared" si="4"/>
        <v>0</v>
      </c>
      <c r="N9" s="40">
        <f t="shared" si="4"/>
        <v>0</v>
      </c>
      <c r="O9" s="41">
        <f>SUM(C9:N9)</f>
        <v>0</v>
      </c>
    </row>
    <row r="10" spans="1:15" s="9" customFormat="1" ht="15.75" hidden="1" x14ac:dyDescent="0.25">
      <c r="B10" s="36" t="s">
        <v>33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5">
        <f t="shared" ref="O10:O73" si="5">SUM(C10:N10)</f>
        <v>0</v>
      </c>
    </row>
    <row r="11" spans="1:15" s="9" customFormat="1" ht="15.75" hidden="1" x14ac:dyDescent="0.25">
      <c r="B11" s="36" t="s">
        <v>34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5">
        <f t="shared" si="5"/>
        <v>0</v>
      </c>
    </row>
    <row r="12" spans="1:15" s="9" customFormat="1" ht="15.75" hidden="1" x14ac:dyDescent="0.25">
      <c r="B12" s="36" t="s">
        <v>35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5">
        <f t="shared" si="5"/>
        <v>0</v>
      </c>
    </row>
    <row r="13" spans="1:15" s="9" customFormat="1" ht="15.75" hidden="1" x14ac:dyDescent="0.25">
      <c r="B13" s="36" t="s">
        <v>36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5">
        <f t="shared" si="5"/>
        <v>0</v>
      </c>
    </row>
    <row r="14" spans="1:15" s="9" customFormat="1" ht="15.75" hidden="1" x14ac:dyDescent="0.25">
      <c r="B14" s="36" t="s">
        <v>37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5">
        <f t="shared" si="5"/>
        <v>0</v>
      </c>
    </row>
    <row r="15" spans="1:15" s="9" customFormat="1" ht="15.75" hidden="1" x14ac:dyDescent="0.25">
      <c r="B15" s="36" t="s">
        <v>38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5">
        <f t="shared" si="5"/>
        <v>0</v>
      </c>
    </row>
    <row r="16" spans="1:15" s="42" customFormat="1" ht="19.5" hidden="1" x14ac:dyDescent="0.4">
      <c r="B16" s="10" t="s">
        <v>39</v>
      </c>
      <c r="C16" s="40">
        <f>SUM(C17:C21)</f>
        <v>0</v>
      </c>
      <c r="D16" s="40">
        <f>SUM(D17:D21)</f>
        <v>0</v>
      </c>
      <c r="E16" s="40">
        <f t="shared" ref="E16:L16" si="6">SUM(E17:E21)</f>
        <v>0</v>
      </c>
      <c r="F16" s="40">
        <f t="shared" si="6"/>
        <v>0</v>
      </c>
      <c r="G16" s="40">
        <f>SUM(G17:G21)</f>
        <v>0</v>
      </c>
      <c r="H16" s="40">
        <f t="shared" si="6"/>
        <v>0</v>
      </c>
      <c r="I16" s="40">
        <f t="shared" si="6"/>
        <v>0</v>
      </c>
      <c r="J16" s="40">
        <f t="shared" si="6"/>
        <v>0</v>
      </c>
      <c r="K16" s="40">
        <f t="shared" si="6"/>
        <v>0</v>
      </c>
      <c r="L16" s="40">
        <f t="shared" si="6"/>
        <v>0</v>
      </c>
      <c r="M16" s="40">
        <f>SUM(M17:M21)</f>
        <v>0</v>
      </c>
      <c r="N16" s="40">
        <f>SUM(N17:N21)</f>
        <v>0</v>
      </c>
      <c r="O16" s="41">
        <f>SUM(C16:N16)</f>
        <v>0</v>
      </c>
    </row>
    <row r="17" spans="2:15" s="9" customFormat="1" ht="15.75" hidden="1" x14ac:dyDescent="0.25">
      <c r="B17" s="36" t="s">
        <v>40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5">
        <f t="shared" si="5"/>
        <v>0</v>
      </c>
    </row>
    <row r="18" spans="2:15" s="9" customFormat="1" ht="15.75" hidden="1" x14ac:dyDescent="0.25">
      <c r="B18" s="36" t="s">
        <v>41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5">
        <f t="shared" si="5"/>
        <v>0</v>
      </c>
    </row>
    <row r="19" spans="2:15" s="9" customFormat="1" ht="15.75" hidden="1" x14ac:dyDescent="0.25">
      <c r="B19" s="36" t="s">
        <v>42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5">
        <f t="shared" si="5"/>
        <v>0</v>
      </c>
    </row>
    <row r="20" spans="2:15" s="9" customFormat="1" ht="15.75" hidden="1" x14ac:dyDescent="0.25">
      <c r="B20" s="36" t="s">
        <v>43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5">
        <f t="shared" si="5"/>
        <v>0</v>
      </c>
    </row>
    <row r="21" spans="2:15" s="9" customFormat="1" ht="15.75" hidden="1" x14ac:dyDescent="0.25">
      <c r="B21" s="36" t="s">
        <v>44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5">
        <f t="shared" si="5"/>
        <v>0</v>
      </c>
    </row>
    <row r="22" spans="2:15" s="42" customFormat="1" ht="19.5" x14ac:dyDescent="0.4">
      <c r="B22" s="10" t="s">
        <v>45</v>
      </c>
      <c r="C22" s="40">
        <f>SUM(C23:C27)</f>
        <v>0</v>
      </c>
      <c r="D22" s="40">
        <f t="shared" ref="D22:N22" si="7">SUM(D23:D27)</f>
        <v>0</v>
      </c>
      <c r="E22" s="40">
        <f t="shared" si="7"/>
        <v>0</v>
      </c>
      <c r="F22" s="40">
        <f t="shared" si="7"/>
        <v>0</v>
      </c>
      <c r="G22" s="40">
        <f t="shared" si="7"/>
        <v>0</v>
      </c>
      <c r="H22" s="40">
        <f t="shared" si="7"/>
        <v>0</v>
      </c>
      <c r="I22" s="40">
        <f t="shared" si="7"/>
        <v>0</v>
      </c>
      <c r="J22" s="40">
        <f t="shared" si="7"/>
        <v>0</v>
      </c>
      <c r="K22" s="40">
        <f t="shared" si="7"/>
        <v>0</v>
      </c>
      <c r="L22" s="40">
        <f t="shared" si="7"/>
        <v>0</v>
      </c>
      <c r="M22" s="40">
        <f t="shared" si="7"/>
        <v>0</v>
      </c>
      <c r="N22" s="40">
        <f t="shared" si="7"/>
        <v>0</v>
      </c>
      <c r="O22" s="41">
        <f t="shared" si="5"/>
        <v>0</v>
      </c>
    </row>
    <row r="23" spans="2:15" s="9" customFormat="1" ht="15.75" x14ac:dyDescent="0.25">
      <c r="B23" s="12" t="s">
        <v>46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5">
        <f t="shared" si="5"/>
        <v>0</v>
      </c>
    </row>
    <row r="24" spans="2:15" s="9" customFormat="1" ht="15.75" x14ac:dyDescent="0.25">
      <c r="B24" s="12" t="s">
        <v>47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5">
        <f t="shared" si="5"/>
        <v>0</v>
      </c>
    </row>
    <row r="25" spans="2:15" s="9" customFormat="1" ht="15.75" x14ac:dyDescent="0.25">
      <c r="B25" s="12" t="s">
        <v>48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5">
        <f t="shared" si="5"/>
        <v>0</v>
      </c>
    </row>
    <row r="26" spans="2:15" s="9" customFormat="1" ht="15.75" x14ac:dyDescent="0.25">
      <c r="B26" s="12" t="s">
        <v>49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5">
        <f t="shared" si="5"/>
        <v>0</v>
      </c>
    </row>
    <row r="27" spans="2:15" s="9" customFormat="1" ht="15.75" x14ac:dyDescent="0.25">
      <c r="B27" s="12" t="s">
        <v>50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5">
        <f t="shared" si="5"/>
        <v>0</v>
      </c>
    </row>
    <row r="28" spans="2:15" s="42" customFormat="1" ht="19.5" x14ac:dyDescent="0.4">
      <c r="B28" s="10" t="s">
        <v>51</v>
      </c>
      <c r="C28" s="40">
        <f>SUM(C29:C32)</f>
        <v>53500</v>
      </c>
      <c r="D28" s="40">
        <f t="shared" ref="D28:N28" si="8">SUM(D29:D32)</f>
        <v>53500</v>
      </c>
      <c r="E28" s="40">
        <f t="shared" si="8"/>
        <v>53500</v>
      </c>
      <c r="F28" s="40">
        <f t="shared" si="8"/>
        <v>53500</v>
      </c>
      <c r="G28" s="40">
        <f t="shared" si="8"/>
        <v>53500</v>
      </c>
      <c r="H28" s="40">
        <f t="shared" si="8"/>
        <v>53500</v>
      </c>
      <c r="I28" s="40">
        <f t="shared" si="8"/>
        <v>53500</v>
      </c>
      <c r="J28" s="40">
        <f t="shared" si="8"/>
        <v>53500</v>
      </c>
      <c r="K28" s="40">
        <f t="shared" si="8"/>
        <v>53500</v>
      </c>
      <c r="L28" s="40">
        <f t="shared" si="8"/>
        <v>53500</v>
      </c>
      <c r="M28" s="40">
        <f t="shared" si="8"/>
        <v>53500</v>
      </c>
      <c r="N28" s="40">
        <f t="shared" si="8"/>
        <v>53500</v>
      </c>
      <c r="O28" s="41">
        <f>SUM(C28:N28)</f>
        <v>642000</v>
      </c>
    </row>
    <row r="29" spans="2:15" s="9" customFormat="1" ht="15.75" x14ac:dyDescent="0.25">
      <c r="B29" s="12" t="s">
        <v>52</v>
      </c>
      <c r="C29" s="37">
        <v>53500</v>
      </c>
      <c r="D29" s="37">
        <v>53500</v>
      </c>
      <c r="E29" s="37">
        <v>53500</v>
      </c>
      <c r="F29" s="37">
        <v>53500</v>
      </c>
      <c r="G29" s="37">
        <v>53500</v>
      </c>
      <c r="H29" s="37">
        <v>53500</v>
      </c>
      <c r="I29" s="37">
        <v>53500</v>
      </c>
      <c r="J29" s="37">
        <v>53500</v>
      </c>
      <c r="K29" s="37">
        <v>53500</v>
      </c>
      <c r="L29" s="37">
        <v>53500</v>
      </c>
      <c r="M29" s="37">
        <v>53500</v>
      </c>
      <c r="N29" s="37">
        <v>53500</v>
      </c>
      <c r="O29" s="5">
        <f>SUM(C29:N29)</f>
        <v>642000</v>
      </c>
    </row>
    <row r="30" spans="2:15" s="9" customFormat="1" ht="15.75" x14ac:dyDescent="0.25">
      <c r="B30" s="12" t="s">
        <v>53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5">
        <f t="shared" si="5"/>
        <v>0</v>
      </c>
    </row>
    <row r="31" spans="2:15" s="9" customFormat="1" ht="15.75" x14ac:dyDescent="0.25">
      <c r="B31" s="12" t="s">
        <v>54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5">
        <f t="shared" si="5"/>
        <v>0</v>
      </c>
    </row>
    <row r="32" spans="2:15" s="9" customFormat="1" ht="15.75" x14ac:dyDescent="0.25">
      <c r="B32" s="12" t="s">
        <v>55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5">
        <f t="shared" si="5"/>
        <v>0</v>
      </c>
    </row>
    <row r="33" spans="2:15" s="42" customFormat="1" ht="19.5" x14ac:dyDescent="0.4">
      <c r="B33" s="10" t="s">
        <v>56</v>
      </c>
      <c r="C33" s="40">
        <f>SUM(C34:C36)</f>
        <v>0</v>
      </c>
      <c r="D33" s="40">
        <f>SUM(D34:D36)</f>
        <v>0</v>
      </c>
      <c r="E33" s="40">
        <f>SUM(E34:E36)</f>
        <v>0</v>
      </c>
      <c r="F33" s="40">
        <f t="shared" ref="F33:N33" si="9">SUM(F34:F36)</f>
        <v>0</v>
      </c>
      <c r="G33" s="40">
        <f t="shared" si="9"/>
        <v>0</v>
      </c>
      <c r="H33" s="40">
        <f t="shared" si="9"/>
        <v>0</v>
      </c>
      <c r="I33" s="40">
        <f>SUM(I34:I36)</f>
        <v>0</v>
      </c>
      <c r="J33" s="40">
        <f t="shared" si="9"/>
        <v>0</v>
      </c>
      <c r="K33" s="40">
        <f t="shared" si="9"/>
        <v>0</v>
      </c>
      <c r="L33" s="40">
        <f t="shared" si="9"/>
        <v>0</v>
      </c>
      <c r="M33" s="40">
        <f t="shared" si="9"/>
        <v>0</v>
      </c>
      <c r="N33" s="40">
        <f t="shared" si="9"/>
        <v>0</v>
      </c>
      <c r="O33" s="41">
        <f t="shared" si="5"/>
        <v>0</v>
      </c>
    </row>
    <row r="34" spans="2:15" s="9" customFormat="1" ht="15.75" x14ac:dyDescent="0.25">
      <c r="B34" s="12" t="s">
        <v>57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5">
        <f t="shared" si="5"/>
        <v>0</v>
      </c>
    </row>
    <row r="35" spans="2:15" s="9" customFormat="1" ht="15.75" x14ac:dyDescent="0.25">
      <c r="B35" s="12" t="s">
        <v>58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5">
        <f t="shared" si="5"/>
        <v>0</v>
      </c>
    </row>
    <row r="36" spans="2:15" s="9" customFormat="1" ht="15.75" x14ac:dyDescent="0.25">
      <c r="B36" s="12" t="s">
        <v>59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5">
        <f t="shared" si="5"/>
        <v>0</v>
      </c>
    </row>
    <row r="37" spans="2:15" s="42" customFormat="1" ht="19.5" x14ac:dyDescent="0.4">
      <c r="B37" s="10" t="s">
        <v>60</v>
      </c>
      <c r="C37" s="40">
        <f>SUM(C38:C39)</f>
        <v>0</v>
      </c>
      <c r="D37" s="40">
        <f>SUM(D38:D39)</f>
        <v>0</v>
      </c>
      <c r="E37" s="40">
        <f t="shared" ref="E37:N37" si="10">SUM(E38:E39)</f>
        <v>0</v>
      </c>
      <c r="F37" s="40">
        <f t="shared" si="10"/>
        <v>0</v>
      </c>
      <c r="G37" s="40">
        <f t="shared" si="10"/>
        <v>0</v>
      </c>
      <c r="H37" s="40">
        <f t="shared" si="10"/>
        <v>0</v>
      </c>
      <c r="I37" s="40">
        <f t="shared" si="10"/>
        <v>0</v>
      </c>
      <c r="J37" s="40">
        <f t="shared" si="10"/>
        <v>0</v>
      </c>
      <c r="K37" s="40">
        <f t="shared" si="10"/>
        <v>0</v>
      </c>
      <c r="L37" s="40">
        <f t="shared" si="10"/>
        <v>0</v>
      </c>
      <c r="M37" s="40">
        <f t="shared" si="10"/>
        <v>0</v>
      </c>
      <c r="N37" s="40">
        <f t="shared" si="10"/>
        <v>0</v>
      </c>
      <c r="O37" s="41">
        <f t="shared" si="5"/>
        <v>0</v>
      </c>
    </row>
    <row r="38" spans="2:15" s="9" customFormat="1" ht="15.75" x14ac:dyDescent="0.25">
      <c r="B38" s="12" t="s">
        <v>61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5">
        <f t="shared" si="5"/>
        <v>0</v>
      </c>
    </row>
    <row r="39" spans="2:15" s="9" customFormat="1" ht="15.75" x14ac:dyDescent="0.25">
      <c r="B39" s="12" t="s">
        <v>62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5">
        <f t="shared" si="5"/>
        <v>0</v>
      </c>
    </row>
    <row r="40" spans="2:15" s="42" customFormat="1" ht="19.5" x14ac:dyDescent="0.4">
      <c r="B40" s="10" t="s">
        <v>63</v>
      </c>
      <c r="C40" s="40">
        <f>SUM(C41:C42)</f>
        <v>0</v>
      </c>
      <c r="D40" s="40">
        <f t="shared" ref="D40:N40" si="11">SUM(D41:D42)</f>
        <v>0</v>
      </c>
      <c r="E40" s="40">
        <f t="shared" si="11"/>
        <v>0</v>
      </c>
      <c r="F40" s="40">
        <f t="shared" si="11"/>
        <v>0</v>
      </c>
      <c r="G40" s="40">
        <f t="shared" si="11"/>
        <v>0</v>
      </c>
      <c r="H40" s="40">
        <f t="shared" si="11"/>
        <v>0</v>
      </c>
      <c r="I40" s="40">
        <f t="shared" si="11"/>
        <v>0</v>
      </c>
      <c r="J40" s="40">
        <f t="shared" si="11"/>
        <v>0</v>
      </c>
      <c r="K40" s="40">
        <f t="shared" si="11"/>
        <v>0</v>
      </c>
      <c r="L40" s="40">
        <f t="shared" si="11"/>
        <v>0</v>
      </c>
      <c r="M40" s="40">
        <f t="shared" si="11"/>
        <v>0</v>
      </c>
      <c r="N40" s="40">
        <f t="shared" si="11"/>
        <v>0</v>
      </c>
      <c r="O40" s="41">
        <f t="shared" si="5"/>
        <v>0</v>
      </c>
    </row>
    <row r="41" spans="2:15" s="9" customFormat="1" ht="15.75" x14ac:dyDescent="0.25">
      <c r="B41" s="12" t="s">
        <v>64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5">
        <f t="shared" si="5"/>
        <v>0</v>
      </c>
    </row>
    <row r="42" spans="2:15" s="9" customFormat="1" ht="15.75" x14ac:dyDescent="0.25">
      <c r="B42" s="12" t="s">
        <v>65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5">
        <f t="shared" si="5"/>
        <v>0</v>
      </c>
    </row>
    <row r="43" spans="2:15" s="42" customFormat="1" ht="19.5" x14ac:dyDescent="0.4">
      <c r="B43" s="10" t="s">
        <v>66</v>
      </c>
      <c r="C43" s="40">
        <f t="shared" ref="C43:N43" si="12">SUM(C44:C46)</f>
        <v>0</v>
      </c>
      <c r="D43" s="40">
        <f t="shared" si="12"/>
        <v>0</v>
      </c>
      <c r="E43" s="40">
        <f t="shared" si="12"/>
        <v>0</v>
      </c>
      <c r="F43" s="40">
        <f t="shared" si="12"/>
        <v>0</v>
      </c>
      <c r="G43" s="40">
        <f t="shared" si="12"/>
        <v>0</v>
      </c>
      <c r="H43" s="40">
        <f t="shared" si="12"/>
        <v>0</v>
      </c>
      <c r="I43" s="40">
        <f t="shared" si="12"/>
        <v>0</v>
      </c>
      <c r="J43" s="40">
        <f t="shared" si="12"/>
        <v>0</v>
      </c>
      <c r="K43" s="40">
        <f t="shared" si="12"/>
        <v>0</v>
      </c>
      <c r="L43" s="40">
        <f t="shared" si="12"/>
        <v>0</v>
      </c>
      <c r="M43" s="40">
        <f t="shared" si="12"/>
        <v>0</v>
      </c>
      <c r="N43" s="40">
        <f t="shared" si="12"/>
        <v>0</v>
      </c>
      <c r="O43" s="41">
        <f t="shared" si="5"/>
        <v>0</v>
      </c>
    </row>
    <row r="44" spans="2:15" s="9" customFormat="1" ht="15.75" x14ac:dyDescent="0.25">
      <c r="B44" s="47" t="s">
        <v>247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46">
        <f t="shared" si="5"/>
        <v>0</v>
      </c>
    </row>
    <row r="45" spans="2:15" s="9" customFormat="1" ht="15.75" x14ac:dyDescent="0.25">
      <c r="B45" s="12" t="s">
        <v>68</v>
      </c>
      <c r="C45" s="37">
        <v>0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5">
        <f t="shared" si="5"/>
        <v>0</v>
      </c>
    </row>
    <row r="46" spans="2:15" s="9" customFormat="1" ht="15.75" x14ac:dyDescent="0.25">
      <c r="B46" s="12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5">
        <f t="shared" si="5"/>
        <v>0</v>
      </c>
    </row>
    <row r="47" spans="2:15" s="9" customFormat="1" ht="19.5" x14ac:dyDescent="0.25">
      <c r="B47" s="19" t="s">
        <v>69</v>
      </c>
      <c r="C47" s="48">
        <f t="shared" ref="C47:N47" si="13">SUM(C48,C50,C53,C75,C99,C105,C116,C120,C123,C126,C130,C133)</f>
        <v>62100</v>
      </c>
      <c r="D47" s="48">
        <f t="shared" si="13"/>
        <v>62400</v>
      </c>
      <c r="E47" s="48">
        <f t="shared" si="13"/>
        <v>63200</v>
      </c>
      <c r="F47" s="48">
        <f t="shared" si="13"/>
        <v>63700</v>
      </c>
      <c r="G47" s="48">
        <f t="shared" si="13"/>
        <v>63200</v>
      </c>
      <c r="H47" s="48">
        <f t="shared" si="13"/>
        <v>63200</v>
      </c>
      <c r="I47" s="48">
        <f t="shared" si="13"/>
        <v>63700</v>
      </c>
      <c r="J47" s="48">
        <f t="shared" si="13"/>
        <v>63200</v>
      </c>
      <c r="K47" s="48">
        <f t="shared" si="13"/>
        <v>63200</v>
      </c>
      <c r="L47" s="48">
        <f t="shared" si="13"/>
        <v>63700</v>
      </c>
      <c r="M47" s="48">
        <f t="shared" si="13"/>
        <v>63200</v>
      </c>
      <c r="N47" s="48">
        <f t="shared" si="13"/>
        <v>63200</v>
      </c>
      <c r="O47" s="6">
        <f t="shared" si="5"/>
        <v>758000</v>
      </c>
    </row>
    <row r="48" spans="2:15" s="42" customFormat="1" ht="19.5" x14ac:dyDescent="0.4">
      <c r="B48" s="15" t="s">
        <v>70</v>
      </c>
      <c r="C48" s="43">
        <f>SUM(C49)</f>
        <v>0</v>
      </c>
      <c r="D48" s="43">
        <f t="shared" ref="D48:N48" si="14">SUM(D49)</f>
        <v>0</v>
      </c>
      <c r="E48" s="43">
        <f t="shared" si="14"/>
        <v>0</v>
      </c>
      <c r="F48" s="43">
        <f t="shared" si="14"/>
        <v>0</v>
      </c>
      <c r="G48" s="43">
        <f t="shared" si="14"/>
        <v>0</v>
      </c>
      <c r="H48" s="43">
        <f t="shared" si="14"/>
        <v>0</v>
      </c>
      <c r="I48" s="43">
        <f t="shared" si="14"/>
        <v>0</v>
      </c>
      <c r="J48" s="43">
        <f t="shared" si="14"/>
        <v>0</v>
      </c>
      <c r="K48" s="43">
        <f t="shared" si="14"/>
        <v>0</v>
      </c>
      <c r="L48" s="43">
        <f t="shared" si="14"/>
        <v>0</v>
      </c>
      <c r="M48" s="43">
        <f t="shared" si="14"/>
        <v>0</v>
      </c>
      <c r="N48" s="43">
        <f t="shared" si="14"/>
        <v>0</v>
      </c>
      <c r="O48" s="44">
        <f t="shared" si="5"/>
        <v>0</v>
      </c>
    </row>
    <row r="49" spans="2:15" s="9" customFormat="1" ht="15.75" x14ac:dyDescent="0.25">
      <c r="B49" s="12" t="s">
        <v>71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5">
        <f t="shared" si="5"/>
        <v>0</v>
      </c>
    </row>
    <row r="50" spans="2:15" s="42" customFormat="1" ht="19.5" x14ac:dyDescent="0.4">
      <c r="B50" s="15" t="s">
        <v>72</v>
      </c>
      <c r="C50" s="43">
        <f t="shared" ref="C50:N50" si="15">SUM(C51:C52)</f>
        <v>0</v>
      </c>
      <c r="D50" s="43">
        <f t="shared" si="15"/>
        <v>0</v>
      </c>
      <c r="E50" s="43">
        <f t="shared" si="15"/>
        <v>200</v>
      </c>
      <c r="F50" s="43">
        <f t="shared" si="15"/>
        <v>200</v>
      </c>
      <c r="G50" s="43">
        <f t="shared" si="15"/>
        <v>200</v>
      </c>
      <c r="H50" s="43">
        <f t="shared" si="15"/>
        <v>200</v>
      </c>
      <c r="I50" s="43">
        <f t="shared" si="15"/>
        <v>200</v>
      </c>
      <c r="J50" s="43">
        <f t="shared" si="15"/>
        <v>200</v>
      </c>
      <c r="K50" s="43">
        <f t="shared" si="15"/>
        <v>200</v>
      </c>
      <c r="L50" s="43">
        <f t="shared" si="15"/>
        <v>200</v>
      </c>
      <c r="M50" s="43">
        <f t="shared" si="15"/>
        <v>200</v>
      </c>
      <c r="N50" s="43">
        <f t="shared" si="15"/>
        <v>200</v>
      </c>
      <c r="O50" s="44">
        <f t="shared" si="5"/>
        <v>2000</v>
      </c>
    </row>
    <row r="51" spans="2:15" s="9" customFormat="1" ht="15.75" x14ac:dyDescent="0.25">
      <c r="B51" s="12" t="s">
        <v>73</v>
      </c>
      <c r="C51" s="37">
        <v>0</v>
      </c>
      <c r="D51" s="37">
        <v>0</v>
      </c>
      <c r="E51" s="37">
        <v>200</v>
      </c>
      <c r="F51" s="37">
        <v>200</v>
      </c>
      <c r="G51" s="37">
        <v>200</v>
      </c>
      <c r="H51" s="37">
        <v>200</v>
      </c>
      <c r="I51" s="37">
        <v>200</v>
      </c>
      <c r="J51" s="37">
        <v>200</v>
      </c>
      <c r="K51" s="37">
        <v>200</v>
      </c>
      <c r="L51" s="37">
        <v>200</v>
      </c>
      <c r="M51" s="37">
        <v>200</v>
      </c>
      <c r="N51" s="37">
        <v>200</v>
      </c>
      <c r="O51" s="5">
        <f t="shared" si="5"/>
        <v>2000</v>
      </c>
    </row>
    <row r="52" spans="2:15" s="9" customFormat="1" ht="15.75" x14ac:dyDescent="0.25">
      <c r="B52" s="12" t="s">
        <v>74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5">
        <f t="shared" si="5"/>
        <v>0</v>
      </c>
    </row>
    <row r="53" spans="2:15" s="42" customFormat="1" ht="19.5" x14ac:dyDescent="0.4">
      <c r="B53" s="15" t="s">
        <v>75</v>
      </c>
      <c r="C53" s="43">
        <f>SUM(C54:C74)</f>
        <v>61750</v>
      </c>
      <c r="D53" s="43">
        <f>SUM(D54:D74)</f>
        <v>61750</v>
      </c>
      <c r="E53" s="43">
        <f t="shared" ref="E53:N53" si="16">SUM(E54:E74)</f>
        <v>61750</v>
      </c>
      <c r="F53" s="43">
        <f t="shared" si="16"/>
        <v>61750</v>
      </c>
      <c r="G53" s="43">
        <f t="shared" si="16"/>
        <v>61750</v>
      </c>
      <c r="H53" s="43">
        <f t="shared" si="16"/>
        <v>61750</v>
      </c>
      <c r="I53" s="43">
        <f t="shared" si="16"/>
        <v>61750</v>
      </c>
      <c r="J53" s="43">
        <f t="shared" si="16"/>
        <v>61750</v>
      </c>
      <c r="K53" s="43">
        <f t="shared" si="16"/>
        <v>61750</v>
      </c>
      <c r="L53" s="43">
        <f t="shared" si="16"/>
        <v>61750</v>
      </c>
      <c r="M53" s="43">
        <f t="shared" si="16"/>
        <v>61750</v>
      </c>
      <c r="N53" s="43">
        <f t="shared" si="16"/>
        <v>61750</v>
      </c>
      <c r="O53" s="44">
        <f>SUM(C53:N53)</f>
        <v>741000</v>
      </c>
    </row>
    <row r="54" spans="2:15" s="9" customFormat="1" ht="15.75" x14ac:dyDescent="0.25">
      <c r="B54" s="12" t="s">
        <v>76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5">
        <f t="shared" si="5"/>
        <v>0</v>
      </c>
    </row>
    <row r="55" spans="2:15" s="9" customFormat="1" ht="15.75" x14ac:dyDescent="0.25">
      <c r="B55" s="12" t="s">
        <v>77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5">
        <f t="shared" si="5"/>
        <v>0</v>
      </c>
    </row>
    <row r="56" spans="2:15" s="9" customFormat="1" ht="15.75" x14ac:dyDescent="0.25">
      <c r="B56" s="12" t="s">
        <v>78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5">
        <f t="shared" si="5"/>
        <v>0</v>
      </c>
    </row>
    <row r="57" spans="2:15" s="9" customFormat="1" ht="15.75" x14ac:dyDescent="0.25">
      <c r="B57" s="12" t="s">
        <v>79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5">
        <f t="shared" si="5"/>
        <v>0</v>
      </c>
    </row>
    <row r="58" spans="2:15" s="9" customFormat="1" ht="15.75" x14ac:dyDescent="0.25">
      <c r="B58" s="12" t="s">
        <v>80</v>
      </c>
      <c r="C58" s="37">
        <v>3000</v>
      </c>
      <c r="D58" s="37">
        <v>3000</v>
      </c>
      <c r="E58" s="37">
        <v>3000</v>
      </c>
      <c r="F58" s="37">
        <v>3000</v>
      </c>
      <c r="G58" s="37">
        <v>3000</v>
      </c>
      <c r="H58" s="37">
        <v>3000</v>
      </c>
      <c r="I58" s="37">
        <v>3000</v>
      </c>
      <c r="J58" s="37">
        <v>3000</v>
      </c>
      <c r="K58" s="37">
        <v>3000</v>
      </c>
      <c r="L58" s="37">
        <v>3000</v>
      </c>
      <c r="M58" s="37">
        <v>3000</v>
      </c>
      <c r="N58" s="37">
        <v>3000</v>
      </c>
      <c r="O58" s="5">
        <f t="shared" si="5"/>
        <v>36000</v>
      </c>
    </row>
    <row r="59" spans="2:15" s="9" customFormat="1" ht="15.75" x14ac:dyDescent="0.25">
      <c r="B59" s="12" t="s">
        <v>81</v>
      </c>
      <c r="C59" s="37">
        <v>800</v>
      </c>
      <c r="D59" s="37">
        <v>800</v>
      </c>
      <c r="E59" s="37">
        <v>800</v>
      </c>
      <c r="F59" s="37">
        <v>800</v>
      </c>
      <c r="G59" s="37">
        <v>800</v>
      </c>
      <c r="H59" s="37">
        <v>800</v>
      </c>
      <c r="I59" s="37">
        <v>800</v>
      </c>
      <c r="J59" s="37">
        <v>800</v>
      </c>
      <c r="K59" s="37">
        <v>800</v>
      </c>
      <c r="L59" s="37">
        <v>800</v>
      </c>
      <c r="M59" s="37">
        <v>800</v>
      </c>
      <c r="N59" s="37">
        <v>800</v>
      </c>
      <c r="O59" s="5">
        <f t="shared" si="5"/>
        <v>9600</v>
      </c>
    </row>
    <row r="60" spans="2:15" s="9" customFormat="1" ht="15.75" x14ac:dyDescent="0.25">
      <c r="B60" s="12" t="s">
        <v>82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5">
        <f t="shared" si="5"/>
        <v>0</v>
      </c>
    </row>
    <row r="61" spans="2:15" s="9" customFormat="1" ht="15.75" x14ac:dyDescent="0.25">
      <c r="B61" s="12" t="s">
        <v>83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5">
        <f t="shared" si="5"/>
        <v>0</v>
      </c>
    </row>
    <row r="62" spans="2:15" s="9" customFormat="1" ht="15.75" x14ac:dyDescent="0.25">
      <c r="B62" s="12" t="s">
        <v>84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5">
        <f t="shared" si="5"/>
        <v>0</v>
      </c>
    </row>
    <row r="63" spans="2:15" s="9" customFormat="1" ht="15.75" x14ac:dyDescent="0.25">
      <c r="B63" s="12" t="s">
        <v>85</v>
      </c>
      <c r="C63" s="37">
        <v>1200</v>
      </c>
      <c r="D63" s="37">
        <v>1200</v>
      </c>
      <c r="E63" s="37">
        <v>1200</v>
      </c>
      <c r="F63" s="37">
        <v>1200</v>
      </c>
      <c r="G63" s="37">
        <v>1200</v>
      </c>
      <c r="H63" s="37">
        <v>1200</v>
      </c>
      <c r="I63" s="37">
        <v>1200</v>
      </c>
      <c r="J63" s="37">
        <v>1200</v>
      </c>
      <c r="K63" s="37">
        <v>1200</v>
      </c>
      <c r="L63" s="37">
        <v>1200</v>
      </c>
      <c r="M63" s="37">
        <v>1200</v>
      </c>
      <c r="N63" s="37">
        <v>1200</v>
      </c>
      <c r="O63" s="5">
        <f t="shared" si="5"/>
        <v>14400</v>
      </c>
    </row>
    <row r="64" spans="2:15" s="9" customFormat="1" ht="15.75" x14ac:dyDescent="0.25">
      <c r="B64" s="12" t="s">
        <v>86</v>
      </c>
      <c r="C64" s="37">
        <v>1200</v>
      </c>
      <c r="D64" s="37">
        <v>1200</v>
      </c>
      <c r="E64" s="37">
        <v>1200</v>
      </c>
      <c r="F64" s="37">
        <v>1200</v>
      </c>
      <c r="G64" s="37">
        <v>1200</v>
      </c>
      <c r="H64" s="37">
        <v>1200</v>
      </c>
      <c r="I64" s="37">
        <v>1200</v>
      </c>
      <c r="J64" s="37">
        <v>1200</v>
      </c>
      <c r="K64" s="37">
        <v>1200</v>
      </c>
      <c r="L64" s="37">
        <v>1200</v>
      </c>
      <c r="M64" s="37">
        <v>1200</v>
      </c>
      <c r="N64" s="37">
        <v>1200</v>
      </c>
      <c r="O64" s="5">
        <f t="shared" si="5"/>
        <v>14400</v>
      </c>
    </row>
    <row r="65" spans="2:18" s="9" customFormat="1" ht="15.75" x14ac:dyDescent="0.25">
      <c r="B65" s="12" t="s">
        <v>87</v>
      </c>
      <c r="C65" s="37">
        <v>50</v>
      </c>
      <c r="D65" s="37">
        <v>50</v>
      </c>
      <c r="E65" s="37">
        <v>50</v>
      </c>
      <c r="F65" s="37">
        <v>50</v>
      </c>
      <c r="G65" s="37">
        <v>50</v>
      </c>
      <c r="H65" s="37">
        <v>50</v>
      </c>
      <c r="I65" s="37">
        <v>50</v>
      </c>
      <c r="J65" s="37">
        <v>50</v>
      </c>
      <c r="K65" s="37">
        <v>50</v>
      </c>
      <c r="L65" s="37">
        <v>50</v>
      </c>
      <c r="M65" s="37">
        <v>50</v>
      </c>
      <c r="N65" s="37">
        <v>50</v>
      </c>
      <c r="O65" s="5">
        <f t="shared" si="5"/>
        <v>600</v>
      </c>
    </row>
    <row r="66" spans="2:18" s="9" customFormat="1" ht="15.75" x14ac:dyDescent="0.25">
      <c r="B66" s="12" t="s">
        <v>88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5">
        <f t="shared" si="5"/>
        <v>0</v>
      </c>
      <c r="R66" s="9">
        <v>12000</v>
      </c>
    </row>
    <row r="67" spans="2:18" s="9" customFormat="1" ht="15.75" x14ac:dyDescent="0.25">
      <c r="B67" s="12" t="s">
        <v>89</v>
      </c>
      <c r="C67" s="37">
        <v>48000</v>
      </c>
      <c r="D67" s="37">
        <v>48000</v>
      </c>
      <c r="E67" s="37">
        <v>48000</v>
      </c>
      <c r="F67" s="37">
        <v>48000</v>
      </c>
      <c r="G67" s="37">
        <v>48000</v>
      </c>
      <c r="H67" s="37">
        <v>48000</v>
      </c>
      <c r="I67" s="37">
        <v>48000</v>
      </c>
      <c r="J67" s="37">
        <v>48000</v>
      </c>
      <c r="K67" s="37">
        <v>48000</v>
      </c>
      <c r="L67" s="37">
        <v>48000</v>
      </c>
      <c r="M67" s="37">
        <v>48000</v>
      </c>
      <c r="N67" s="37">
        <v>48000</v>
      </c>
      <c r="O67" s="5">
        <f t="shared" si="5"/>
        <v>576000</v>
      </c>
    </row>
    <row r="68" spans="2:18" s="9" customFormat="1" ht="15.75" x14ac:dyDescent="0.25">
      <c r="B68" s="12" t="s">
        <v>90</v>
      </c>
      <c r="C68" s="37">
        <v>7500</v>
      </c>
      <c r="D68" s="37">
        <v>7500</v>
      </c>
      <c r="E68" s="37">
        <v>7500</v>
      </c>
      <c r="F68" s="37">
        <v>7500</v>
      </c>
      <c r="G68" s="37">
        <v>7500</v>
      </c>
      <c r="H68" s="37">
        <v>7500</v>
      </c>
      <c r="I68" s="37">
        <v>7500</v>
      </c>
      <c r="J68" s="37">
        <v>7500</v>
      </c>
      <c r="K68" s="37">
        <v>7500</v>
      </c>
      <c r="L68" s="37">
        <v>7500</v>
      </c>
      <c r="M68" s="37">
        <v>7500</v>
      </c>
      <c r="N68" s="37">
        <v>7500</v>
      </c>
      <c r="O68" s="5">
        <f>SUM(C68:N68)</f>
        <v>90000</v>
      </c>
    </row>
    <row r="69" spans="2:18" s="9" customFormat="1" ht="15.75" x14ac:dyDescent="0.25">
      <c r="B69" s="12" t="s">
        <v>91</v>
      </c>
      <c r="C69" s="37">
        <v>0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5">
        <f t="shared" si="5"/>
        <v>0</v>
      </c>
    </row>
    <row r="70" spans="2:18" s="9" customFormat="1" ht="15.75" x14ac:dyDescent="0.25">
      <c r="B70" s="12" t="s">
        <v>92</v>
      </c>
      <c r="C70" s="37">
        <v>0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5">
        <f t="shared" si="5"/>
        <v>0</v>
      </c>
    </row>
    <row r="71" spans="2:18" s="9" customFormat="1" ht="15.75" x14ac:dyDescent="0.25">
      <c r="B71" s="12" t="s">
        <v>93</v>
      </c>
      <c r="C71" s="37">
        <v>0</v>
      </c>
      <c r="D71" s="37">
        <v>0</v>
      </c>
      <c r="E71" s="37">
        <v>0</v>
      </c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5">
        <f t="shared" si="5"/>
        <v>0</v>
      </c>
    </row>
    <row r="72" spans="2:18" s="9" customFormat="1" ht="15.75" x14ac:dyDescent="0.25">
      <c r="B72" s="12" t="s">
        <v>94</v>
      </c>
      <c r="C72" s="37">
        <v>0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5">
        <f t="shared" si="5"/>
        <v>0</v>
      </c>
    </row>
    <row r="73" spans="2:18" s="9" customFormat="1" ht="15.75" x14ac:dyDescent="0.25">
      <c r="B73" s="12" t="s">
        <v>95</v>
      </c>
      <c r="C73" s="37">
        <v>0</v>
      </c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5">
        <f t="shared" si="5"/>
        <v>0</v>
      </c>
    </row>
    <row r="74" spans="2:18" s="9" customFormat="1" ht="15.75" x14ac:dyDescent="0.25">
      <c r="B74" s="12" t="s">
        <v>96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5">
        <f>SUM(C74:N74)</f>
        <v>0</v>
      </c>
    </row>
    <row r="75" spans="2:18" s="9" customFormat="1" ht="19.5" x14ac:dyDescent="0.25">
      <c r="B75" s="15" t="s">
        <v>97</v>
      </c>
      <c r="C75" s="38">
        <f t="shared" ref="C75:N75" si="17">SUM(C76:C98)</f>
        <v>350</v>
      </c>
      <c r="D75" s="38">
        <f t="shared" si="17"/>
        <v>650</v>
      </c>
      <c r="E75" s="38">
        <f t="shared" si="17"/>
        <v>1250</v>
      </c>
      <c r="F75" s="38">
        <f t="shared" si="17"/>
        <v>1750</v>
      </c>
      <c r="G75" s="38">
        <f t="shared" si="17"/>
        <v>1250</v>
      </c>
      <c r="H75" s="38">
        <f t="shared" si="17"/>
        <v>1250</v>
      </c>
      <c r="I75" s="38">
        <f t="shared" si="17"/>
        <v>1750</v>
      </c>
      <c r="J75" s="38">
        <f t="shared" si="17"/>
        <v>1250</v>
      </c>
      <c r="K75" s="38">
        <f t="shared" si="17"/>
        <v>1250</v>
      </c>
      <c r="L75" s="38">
        <f t="shared" si="17"/>
        <v>1750</v>
      </c>
      <c r="M75" s="38">
        <f t="shared" si="17"/>
        <v>1250</v>
      </c>
      <c r="N75" s="38">
        <f t="shared" si="17"/>
        <v>1250</v>
      </c>
      <c r="O75" s="7">
        <f>SUM(C75:N75)</f>
        <v>15000</v>
      </c>
    </row>
    <row r="76" spans="2:18" s="9" customFormat="1" ht="15.75" x14ac:dyDescent="0.25">
      <c r="B76" s="12" t="s">
        <v>98</v>
      </c>
      <c r="C76" s="37">
        <v>0</v>
      </c>
      <c r="D76" s="37">
        <v>300</v>
      </c>
      <c r="E76" s="37">
        <v>300</v>
      </c>
      <c r="F76" s="37">
        <v>300</v>
      </c>
      <c r="G76" s="37">
        <v>300</v>
      </c>
      <c r="H76" s="37">
        <v>300</v>
      </c>
      <c r="I76" s="37">
        <v>300</v>
      </c>
      <c r="J76" s="37">
        <v>300</v>
      </c>
      <c r="K76" s="37">
        <v>300</v>
      </c>
      <c r="L76" s="37">
        <v>300</v>
      </c>
      <c r="M76" s="37">
        <v>300</v>
      </c>
      <c r="N76" s="37">
        <v>300</v>
      </c>
      <c r="O76" s="5">
        <f t="shared" ref="O76:O138" si="18">SUM(C76:N76)</f>
        <v>3300</v>
      </c>
    </row>
    <row r="77" spans="2:18" s="9" customFormat="1" ht="15.75" x14ac:dyDescent="0.25">
      <c r="B77" s="12" t="s">
        <v>99</v>
      </c>
      <c r="C77" s="37">
        <v>0</v>
      </c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5">
        <f t="shared" si="18"/>
        <v>0</v>
      </c>
    </row>
    <row r="78" spans="2:18" s="9" customFormat="1" ht="15.75" x14ac:dyDescent="0.25">
      <c r="B78" s="12" t="s">
        <v>100</v>
      </c>
      <c r="C78" s="37">
        <v>0</v>
      </c>
      <c r="D78" s="37">
        <v>0</v>
      </c>
      <c r="E78" s="37">
        <v>0</v>
      </c>
      <c r="F78" s="37">
        <v>0</v>
      </c>
      <c r="G78" s="37">
        <v>0</v>
      </c>
      <c r="H78" s="37">
        <v>0</v>
      </c>
      <c r="I78" s="37">
        <v>0</v>
      </c>
      <c r="J78" s="37">
        <v>0</v>
      </c>
      <c r="K78" s="37">
        <v>0</v>
      </c>
      <c r="L78" s="37">
        <v>0</v>
      </c>
      <c r="M78" s="37">
        <v>0</v>
      </c>
      <c r="N78" s="37">
        <v>0</v>
      </c>
      <c r="O78" s="5">
        <f t="shared" si="18"/>
        <v>0</v>
      </c>
    </row>
    <row r="79" spans="2:18" s="9" customFormat="1" ht="15.75" x14ac:dyDescent="0.25">
      <c r="B79" s="12" t="s">
        <v>101</v>
      </c>
      <c r="C79" s="37">
        <v>0</v>
      </c>
      <c r="D79" s="37">
        <v>0</v>
      </c>
      <c r="E79" s="37">
        <v>0</v>
      </c>
      <c r="F79" s="37">
        <v>0</v>
      </c>
      <c r="G79" s="37">
        <v>0</v>
      </c>
      <c r="H79" s="37">
        <v>0</v>
      </c>
      <c r="I79" s="37">
        <v>0</v>
      </c>
      <c r="J79" s="37">
        <v>0</v>
      </c>
      <c r="K79" s="37">
        <v>0</v>
      </c>
      <c r="L79" s="37">
        <v>0</v>
      </c>
      <c r="M79" s="37">
        <v>0</v>
      </c>
      <c r="N79" s="37">
        <v>0</v>
      </c>
      <c r="O79" s="5">
        <f t="shared" si="18"/>
        <v>0</v>
      </c>
    </row>
    <row r="80" spans="2:18" s="9" customFormat="1" ht="15.75" x14ac:dyDescent="0.25">
      <c r="B80" s="12" t="s">
        <v>102</v>
      </c>
      <c r="C80" s="37">
        <v>350</v>
      </c>
      <c r="D80" s="37">
        <v>350</v>
      </c>
      <c r="E80" s="37">
        <v>350</v>
      </c>
      <c r="F80" s="37">
        <v>350</v>
      </c>
      <c r="G80" s="37">
        <v>350</v>
      </c>
      <c r="H80" s="37">
        <v>350</v>
      </c>
      <c r="I80" s="37">
        <v>350</v>
      </c>
      <c r="J80" s="37">
        <v>350</v>
      </c>
      <c r="K80" s="37">
        <v>350</v>
      </c>
      <c r="L80" s="37">
        <v>350</v>
      </c>
      <c r="M80" s="37">
        <v>350</v>
      </c>
      <c r="N80" s="37">
        <v>350</v>
      </c>
      <c r="O80" s="5">
        <f t="shared" si="18"/>
        <v>4200</v>
      </c>
    </row>
    <row r="81" spans="2:15" s="9" customFormat="1" ht="15.75" x14ac:dyDescent="0.25">
      <c r="B81" s="12" t="s">
        <v>103</v>
      </c>
      <c r="C81" s="37">
        <v>0</v>
      </c>
      <c r="D81" s="37">
        <v>0</v>
      </c>
      <c r="E81" s="37">
        <v>0</v>
      </c>
      <c r="F81" s="37">
        <v>500</v>
      </c>
      <c r="G81" s="37">
        <v>0</v>
      </c>
      <c r="H81" s="37">
        <v>0</v>
      </c>
      <c r="I81" s="37">
        <v>500</v>
      </c>
      <c r="J81" s="37">
        <v>0</v>
      </c>
      <c r="K81" s="37">
        <v>0</v>
      </c>
      <c r="L81" s="37">
        <v>500</v>
      </c>
      <c r="M81" s="37">
        <v>0</v>
      </c>
      <c r="N81" s="37">
        <v>0</v>
      </c>
      <c r="O81" s="5">
        <f t="shared" si="18"/>
        <v>1500</v>
      </c>
    </row>
    <row r="82" spans="2:15" s="9" customFormat="1" ht="15.75" x14ac:dyDescent="0.25">
      <c r="B82" s="12" t="s">
        <v>104</v>
      </c>
      <c r="C82" s="37">
        <v>0</v>
      </c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0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5">
        <f t="shared" si="18"/>
        <v>0</v>
      </c>
    </row>
    <row r="83" spans="2:15" s="9" customFormat="1" ht="15.75" x14ac:dyDescent="0.25">
      <c r="B83" s="12" t="s">
        <v>105</v>
      </c>
      <c r="C83" s="37">
        <v>0</v>
      </c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0</v>
      </c>
      <c r="J83" s="37">
        <v>0</v>
      </c>
      <c r="K83" s="37">
        <v>0</v>
      </c>
      <c r="L83" s="37">
        <v>0</v>
      </c>
      <c r="M83" s="37">
        <v>0</v>
      </c>
      <c r="N83" s="37">
        <v>0</v>
      </c>
      <c r="O83" s="5">
        <f t="shared" si="18"/>
        <v>0</v>
      </c>
    </row>
    <row r="84" spans="2:15" s="9" customFormat="1" ht="15.75" x14ac:dyDescent="0.25">
      <c r="B84" s="12" t="s">
        <v>106</v>
      </c>
      <c r="C84" s="37">
        <v>0</v>
      </c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0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5">
        <f t="shared" si="18"/>
        <v>0</v>
      </c>
    </row>
    <row r="85" spans="2:15" s="9" customFormat="1" ht="15.75" x14ac:dyDescent="0.25">
      <c r="B85" s="12" t="s">
        <v>107</v>
      </c>
      <c r="C85" s="37">
        <v>0</v>
      </c>
      <c r="D85" s="37">
        <v>0</v>
      </c>
      <c r="E85" s="37">
        <v>0</v>
      </c>
      <c r="F85" s="37">
        <v>0</v>
      </c>
      <c r="G85" s="37">
        <v>0</v>
      </c>
      <c r="H85" s="37">
        <v>0</v>
      </c>
      <c r="I85" s="37">
        <v>0</v>
      </c>
      <c r="J85" s="37">
        <v>0</v>
      </c>
      <c r="K85" s="37">
        <v>0</v>
      </c>
      <c r="L85" s="37">
        <v>0</v>
      </c>
      <c r="M85" s="37">
        <v>0</v>
      </c>
      <c r="N85" s="37">
        <v>0</v>
      </c>
      <c r="O85" s="5">
        <f t="shared" si="18"/>
        <v>0</v>
      </c>
    </row>
    <row r="86" spans="2:15" s="9" customFormat="1" ht="15.75" x14ac:dyDescent="0.25">
      <c r="B86" s="12" t="s">
        <v>108</v>
      </c>
      <c r="C86" s="37">
        <v>0</v>
      </c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5">
        <f t="shared" si="18"/>
        <v>0</v>
      </c>
    </row>
    <row r="87" spans="2:15" s="9" customFormat="1" ht="15.75" x14ac:dyDescent="0.25">
      <c r="B87" s="12" t="s">
        <v>109</v>
      </c>
      <c r="C87" s="37">
        <v>0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5">
        <f t="shared" si="18"/>
        <v>0</v>
      </c>
    </row>
    <row r="88" spans="2:15" s="9" customFormat="1" ht="15.75" x14ac:dyDescent="0.25">
      <c r="B88" s="12" t="s">
        <v>110</v>
      </c>
      <c r="C88" s="37">
        <v>0</v>
      </c>
      <c r="D88" s="37">
        <v>0</v>
      </c>
      <c r="E88" s="37">
        <v>300</v>
      </c>
      <c r="F88" s="37">
        <v>300</v>
      </c>
      <c r="G88" s="37">
        <v>300</v>
      </c>
      <c r="H88" s="37">
        <v>300</v>
      </c>
      <c r="I88" s="37">
        <v>300</v>
      </c>
      <c r="J88" s="37">
        <v>300</v>
      </c>
      <c r="K88" s="37">
        <v>300</v>
      </c>
      <c r="L88" s="37">
        <v>300</v>
      </c>
      <c r="M88" s="37">
        <v>300</v>
      </c>
      <c r="N88" s="37">
        <v>300</v>
      </c>
      <c r="O88" s="5">
        <f t="shared" si="18"/>
        <v>3000</v>
      </c>
    </row>
    <row r="89" spans="2:15" s="9" customFormat="1" ht="15.75" x14ac:dyDescent="0.25">
      <c r="B89" s="12" t="s">
        <v>111</v>
      </c>
      <c r="C89" s="37">
        <v>0</v>
      </c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0</v>
      </c>
      <c r="J89" s="37">
        <v>0</v>
      </c>
      <c r="K89" s="37">
        <v>0</v>
      </c>
      <c r="L89" s="37">
        <v>0</v>
      </c>
      <c r="M89" s="37">
        <v>0</v>
      </c>
      <c r="N89" s="37">
        <v>0</v>
      </c>
      <c r="O89" s="5">
        <f t="shared" si="18"/>
        <v>0</v>
      </c>
    </row>
    <row r="90" spans="2:15" s="9" customFormat="1" ht="15.75" x14ac:dyDescent="0.25">
      <c r="B90" s="12" t="s">
        <v>112</v>
      </c>
      <c r="C90" s="37">
        <v>0</v>
      </c>
      <c r="D90" s="37">
        <v>0</v>
      </c>
      <c r="E90" s="37">
        <v>0</v>
      </c>
      <c r="F90" s="37">
        <v>0</v>
      </c>
      <c r="G90" s="37">
        <v>0</v>
      </c>
      <c r="H90" s="37">
        <v>0</v>
      </c>
      <c r="I90" s="37">
        <v>0</v>
      </c>
      <c r="J90" s="37">
        <v>0</v>
      </c>
      <c r="K90" s="37">
        <v>0</v>
      </c>
      <c r="L90" s="37">
        <v>0</v>
      </c>
      <c r="M90" s="37">
        <v>0</v>
      </c>
      <c r="N90" s="37">
        <v>0</v>
      </c>
      <c r="O90" s="5">
        <f t="shared" si="18"/>
        <v>0</v>
      </c>
    </row>
    <row r="91" spans="2:15" s="9" customFormat="1" ht="15.75" x14ac:dyDescent="0.25">
      <c r="B91" s="12" t="s">
        <v>113</v>
      </c>
      <c r="C91" s="37">
        <v>0</v>
      </c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5">
        <f t="shared" si="18"/>
        <v>0</v>
      </c>
    </row>
    <row r="92" spans="2:15" s="9" customFormat="1" ht="15.75" x14ac:dyDescent="0.25">
      <c r="B92" s="12" t="s">
        <v>114</v>
      </c>
      <c r="C92" s="37">
        <v>0</v>
      </c>
      <c r="D92" s="37">
        <v>0</v>
      </c>
      <c r="E92" s="37">
        <v>0</v>
      </c>
      <c r="F92" s="37">
        <v>0</v>
      </c>
      <c r="G92" s="37">
        <v>0</v>
      </c>
      <c r="H92" s="37">
        <v>0</v>
      </c>
      <c r="I92" s="37">
        <v>0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5">
        <f t="shared" si="18"/>
        <v>0</v>
      </c>
    </row>
    <row r="93" spans="2:15" s="9" customFormat="1" ht="15.75" x14ac:dyDescent="0.25">
      <c r="B93" s="12" t="s">
        <v>115</v>
      </c>
      <c r="C93" s="37">
        <v>0</v>
      </c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0</v>
      </c>
      <c r="J93" s="37">
        <v>0</v>
      </c>
      <c r="K93" s="37">
        <v>0</v>
      </c>
      <c r="L93" s="37">
        <v>0</v>
      </c>
      <c r="M93" s="37">
        <v>0</v>
      </c>
      <c r="N93" s="37">
        <v>0</v>
      </c>
      <c r="O93" s="5">
        <f t="shared" si="18"/>
        <v>0</v>
      </c>
    </row>
    <row r="94" spans="2:15" s="9" customFormat="1" ht="15.75" x14ac:dyDescent="0.25">
      <c r="B94" s="12" t="s">
        <v>116</v>
      </c>
      <c r="C94" s="37">
        <v>0</v>
      </c>
      <c r="D94" s="37">
        <v>0</v>
      </c>
      <c r="E94" s="37">
        <v>300</v>
      </c>
      <c r="F94" s="37">
        <v>300</v>
      </c>
      <c r="G94" s="37">
        <v>300</v>
      </c>
      <c r="H94" s="37">
        <v>300</v>
      </c>
      <c r="I94" s="37">
        <v>300</v>
      </c>
      <c r="J94" s="37">
        <v>300</v>
      </c>
      <c r="K94" s="37">
        <v>300</v>
      </c>
      <c r="L94" s="37">
        <v>300</v>
      </c>
      <c r="M94" s="37">
        <v>300</v>
      </c>
      <c r="N94" s="37">
        <v>300</v>
      </c>
      <c r="O94" s="5">
        <f t="shared" si="18"/>
        <v>3000</v>
      </c>
    </row>
    <row r="95" spans="2:15" s="9" customFormat="1" ht="15.75" x14ac:dyDescent="0.25">
      <c r="B95" s="12" t="s">
        <v>117</v>
      </c>
      <c r="C95" s="37">
        <v>0</v>
      </c>
      <c r="D95" s="37">
        <v>0</v>
      </c>
      <c r="E95" s="37">
        <v>0</v>
      </c>
      <c r="F95" s="37">
        <v>0</v>
      </c>
      <c r="G95" s="37">
        <v>0</v>
      </c>
      <c r="H95" s="37">
        <v>0</v>
      </c>
      <c r="I95" s="37">
        <v>0</v>
      </c>
      <c r="J95" s="37">
        <v>0</v>
      </c>
      <c r="K95" s="37">
        <v>0</v>
      </c>
      <c r="L95" s="37">
        <v>0</v>
      </c>
      <c r="M95" s="37">
        <v>0</v>
      </c>
      <c r="N95" s="37">
        <v>0</v>
      </c>
      <c r="O95" s="5">
        <f t="shared" si="18"/>
        <v>0</v>
      </c>
    </row>
    <row r="96" spans="2:15" s="9" customFormat="1" ht="15.75" x14ac:dyDescent="0.25">
      <c r="B96" s="12" t="s">
        <v>118</v>
      </c>
      <c r="C96" s="37">
        <v>0</v>
      </c>
      <c r="D96" s="37">
        <v>0</v>
      </c>
      <c r="E96" s="37">
        <v>0</v>
      </c>
      <c r="F96" s="37">
        <v>0</v>
      </c>
      <c r="G96" s="37">
        <v>0</v>
      </c>
      <c r="H96" s="37">
        <v>0</v>
      </c>
      <c r="I96" s="37">
        <v>0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5">
        <f t="shared" si="18"/>
        <v>0</v>
      </c>
    </row>
    <row r="97" spans="2:15" s="9" customFormat="1" ht="15.75" x14ac:dyDescent="0.25">
      <c r="B97" s="12" t="s">
        <v>119</v>
      </c>
      <c r="C97" s="37">
        <v>0</v>
      </c>
      <c r="D97" s="37">
        <v>0</v>
      </c>
      <c r="E97" s="37">
        <v>0</v>
      </c>
      <c r="F97" s="37">
        <v>0</v>
      </c>
      <c r="G97" s="37">
        <v>0</v>
      </c>
      <c r="H97" s="37">
        <v>0</v>
      </c>
      <c r="I97" s="37">
        <v>0</v>
      </c>
      <c r="J97" s="37">
        <v>0</v>
      </c>
      <c r="K97" s="37">
        <v>0</v>
      </c>
      <c r="L97" s="37">
        <v>0</v>
      </c>
      <c r="M97" s="37">
        <v>0</v>
      </c>
      <c r="N97" s="37">
        <v>0</v>
      </c>
      <c r="O97" s="5">
        <f t="shared" si="18"/>
        <v>0</v>
      </c>
    </row>
    <row r="98" spans="2:15" s="9" customFormat="1" ht="15.75" x14ac:dyDescent="0.25">
      <c r="B98" s="12" t="s">
        <v>120</v>
      </c>
      <c r="C98" s="37">
        <v>0</v>
      </c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0</v>
      </c>
      <c r="J98" s="37">
        <v>0</v>
      </c>
      <c r="K98" s="37">
        <v>0</v>
      </c>
      <c r="L98" s="37">
        <v>0</v>
      </c>
      <c r="M98" s="37">
        <v>0</v>
      </c>
      <c r="N98" s="37">
        <v>0</v>
      </c>
      <c r="O98" s="5">
        <f t="shared" si="18"/>
        <v>0</v>
      </c>
    </row>
    <row r="99" spans="2:15" s="9" customFormat="1" ht="19.5" x14ac:dyDescent="0.25">
      <c r="B99" s="15" t="s">
        <v>121</v>
      </c>
      <c r="C99" s="38">
        <f>SUM(C100:C104)</f>
        <v>0</v>
      </c>
      <c r="D99" s="38">
        <f t="shared" ref="D99:N99" si="19">SUM(D100:D104)</f>
        <v>0</v>
      </c>
      <c r="E99" s="38">
        <f t="shared" si="19"/>
        <v>0</v>
      </c>
      <c r="F99" s="38">
        <f t="shared" si="19"/>
        <v>0</v>
      </c>
      <c r="G99" s="38">
        <f t="shared" si="19"/>
        <v>0</v>
      </c>
      <c r="H99" s="38">
        <f t="shared" si="19"/>
        <v>0</v>
      </c>
      <c r="I99" s="38">
        <f t="shared" si="19"/>
        <v>0</v>
      </c>
      <c r="J99" s="38">
        <f t="shared" si="19"/>
        <v>0</v>
      </c>
      <c r="K99" s="38">
        <f t="shared" si="19"/>
        <v>0</v>
      </c>
      <c r="L99" s="38">
        <f t="shared" si="19"/>
        <v>0</v>
      </c>
      <c r="M99" s="38">
        <f t="shared" si="19"/>
        <v>0</v>
      </c>
      <c r="N99" s="38">
        <f t="shared" si="19"/>
        <v>0</v>
      </c>
      <c r="O99" s="7">
        <f>SUM(C99:N99)</f>
        <v>0</v>
      </c>
    </row>
    <row r="100" spans="2:15" s="9" customFormat="1" ht="15.75" x14ac:dyDescent="0.25">
      <c r="B100" s="36" t="s">
        <v>122</v>
      </c>
      <c r="C100" s="37">
        <v>0</v>
      </c>
      <c r="D100" s="37">
        <v>0</v>
      </c>
      <c r="E100" s="37">
        <v>0</v>
      </c>
      <c r="F100" s="37">
        <v>0</v>
      </c>
      <c r="G100" s="37">
        <v>0</v>
      </c>
      <c r="H100" s="37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5">
        <f t="shared" si="18"/>
        <v>0</v>
      </c>
    </row>
    <row r="101" spans="2:15" s="9" customFormat="1" ht="15.75" x14ac:dyDescent="0.25">
      <c r="B101" s="36" t="s">
        <v>123</v>
      </c>
      <c r="C101" s="37">
        <v>0</v>
      </c>
      <c r="D101" s="37">
        <v>0</v>
      </c>
      <c r="E101" s="37">
        <v>0</v>
      </c>
      <c r="F101" s="37">
        <v>0</v>
      </c>
      <c r="G101" s="37">
        <v>0</v>
      </c>
      <c r="H101" s="37">
        <v>0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5">
        <f t="shared" si="18"/>
        <v>0</v>
      </c>
    </row>
    <row r="102" spans="2:15" s="9" customFormat="1" ht="15.75" x14ac:dyDescent="0.25">
      <c r="B102" s="36" t="s">
        <v>124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>
        <v>0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5">
        <f t="shared" si="18"/>
        <v>0</v>
      </c>
    </row>
    <row r="103" spans="2:15" s="9" customFormat="1" ht="15.75" x14ac:dyDescent="0.25">
      <c r="B103" s="12" t="s">
        <v>125</v>
      </c>
      <c r="C103" s="37">
        <v>0</v>
      </c>
      <c r="D103" s="37">
        <v>0</v>
      </c>
      <c r="E103" s="37">
        <v>0</v>
      </c>
      <c r="F103" s="37">
        <v>0</v>
      </c>
      <c r="G103" s="37">
        <v>0</v>
      </c>
      <c r="H103" s="37">
        <v>0</v>
      </c>
      <c r="I103" s="37">
        <v>0</v>
      </c>
      <c r="J103" s="37">
        <v>0</v>
      </c>
      <c r="K103" s="37">
        <v>0</v>
      </c>
      <c r="L103" s="37">
        <v>0</v>
      </c>
      <c r="M103" s="37">
        <v>0</v>
      </c>
      <c r="N103" s="37">
        <v>0</v>
      </c>
      <c r="O103" s="5">
        <f t="shared" si="18"/>
        <v>0</v>
      </c>
    </row>
    <row r="104" spans="2:15" s="9" customFormat="1" ht="15.75" x14ac:dyDescent="0.25">
      <c r="B104" s="12" t="s">
        <v>126</v>
      </c>
      <c r="C104" s="37">
        <v>0</v>
      </c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5">
        <f t="shared" si="18"/>
        <v>0</v>
      </c>
    </row>
    <row r="105" spans="2:15" s="9" customFormat="1" ht="19.5" x14ac:dyDescent="0.25">
      <c r="B105" s="15" t="s">
        <v>127</v>
      </c>
      <c r="C105" s="38">
        <f>SUM(C106:C115)</f>
        <v>0</v>
      </c>
      <c r="D105" s="38">
        <f t="shared" ref="D105:N105" si="20">SUM(D106:D115)</f>
        <v>0</v>
      </c>
      <c r="E105" s="38">
        <f t="shared" si="20"/>
        <v>0</v>
      </c>
      <c r="F105" s="38">
        <f t="shared" si="20"/>
        <v>0</v>
      </c>
      <c r="G105" s="38">
        <f t="shared" si="20"/>
        <v>0</v>
      </c>
      <c r="H105" s="38">
        <f t="shared" si="20"/>
        <v>0</v>
      </c>
      <c r="I105" s="38">
        <f t="shared" si="20"/>
        <v>0</v>
      </c>
      <c r="J105" s="38">
        <f t="shared" si="20"/>
        <v>0</v>
      </c>
      <c r="K105" s="38">
        <f t="shared" si="20"/>
        <v>0</v>
      </c>
      <c r="L105" s="38">
        <f t="shared" si="20"/>
        <v>0</v>
      </c>
      <c r="M105" s="38">
        <f t="shared" si="20"/>
        <v>0</v>
      </c>
      <c r="N105" s="38">
        <f t="shared" si="20"/>
        <v>0</v>
      </c>
      <c r="O105" s="7">
        <f t="shared" si="18"/>
        <v>0</v>
      </c>
    </row>
    <row r="106" spans="2:15" s="9" customFormat="1" ht="15.75" x14ac:dyDescent="0.25">
      <c r="B106" s="12" t="s">
        <v>128</v>
      </c>
      <c r="C106" s="37">
        <v>0</v>
      </c>
      <c r="D106" s="37">
        <v>0</v>
      </c>
      <c r="E106" s="37">
        <v>0</v>
      </c>
      <c r="F106" s="37">
        <v>0</v>
      </c>
      <c r="G106" s="37">
        <v>0</v>
      </c>
      <c r="H106" s="37">
        <v>0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5">
        <f t="shared" si="18"/>
        <v>0</v>
      </c>
    </row>
    <row r="107" spans="2:15" s="9" customFormat="1" ht="15.75" x14ac:dyDescent="0.25">
      <c r="B107" s="12" t="s">
        <v>129</v>
      </c>
      <c r="C107" s="37">
        <v>0</v>
      </c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0</v>
      </c>
      <c r="J107" s="37">
        <v>0</v>
      </c>
      <c r="K107" s="37">
        <v>0</v>
      </c>
      <c r="L107" s="37">
        <v>0</v>
      </c>
      <c r="M107" s="37">
        <v>0</v>
      </c>
      <c r="N107" s="37">
        <v>0</v>
      </c>
      <c r="O107" s="5">
        <f t="shared" si="18"/>
        <v>0</v>
      </c>
    </row>
    <row r="108" spans="2:15" s="9" customFormat="1" ht="15.75" x14ac:dyDescent="0.25">
      <c r="B108" s="12" t="s">
        <v>130</v>
      </c>
      <c r="C108" s="37">
        <v>0</v>
      </c>
      <c r="D108" s="37">
        <v>0</v>
      </c>
      <c r="E108" s="37">
        <v>0</v>
      </c>
      <c r="F108" s="37">
        <v>0</v>
      </c>
      <c r="G108" s="37">
        <v>0</v>
      </c>
      <c r="H108" s="37">
        <v>0</v>
      </c>
      <c r="I108" s="37">
        <v>0</v>
      </c>
      <c r="J108" s="37">
        <v>0</v>
      </c>
      <c r="K108" s="37">
        <v>0</v>
      </c>
      <c r="L108" s="37">
        <v>0</v>
      </c>
      <c r="M108" s="37">
        <v>0</v>
      </c>
      <c r="N108" s="37">
        <v>0</v>
      </c>
      <c r="O108" s="5">
        <f t="shared" si="18"/>
        <v>0</v>
      </c>
    </row>
    <row r="109" spans="2:15" s="9" customFormat="1" ht="15.75" x14ac:dyDescent="0.25">
      <c r="B109" s="12" t="s">
        <v>131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5">
        <f t="shared" si="18"/>
        <v>0</v>
      </c>
    </row>
    <row r="110" spans="2:15" s="9" customFormat="1" ht="15.75" x14ac:dyDescent="0.25">
      <c r="B110" s="12" t="s">
        <v>132</v>
      </c>
      <c r="C110" s="37">
        <v>0</v>
      </c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0</v>
      </c>
      <c r="J110" s="37">
        <v>0</v>
      </c>
      <c r="K110" s="37">
        <v>0</v>
      </c>
      <c r="L110" s="37">
        <v>0</v>
      </c>
      <c r="M110" s="37">
        <v>0</v>
      </c>
      <c r="N110" s="37">
        <v>0</v>
      </c>
      <c r="O110" s="5">
        <f t="shared" si="18"/>
        <v>0</v>
      </c>
    </row>
    <row r="111" spans="2:15" s="9" customFormat="1" ht="15.75" x14ac:dyDescent="0.25">
      <c r="B111" s="12" t="s">
        <v>133</v>
      </c>
      <c r="C111" s="37">
        <v>0</v>
      </c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0</v>
      </c>
      <c r="J111" s="37">
        <v>0</v>
      </c>
      <c r="K111" s="37">
        <v>0</v>
      </c>
      <c r="L111" s="37">
        <v>0</v>
      </c>
      <c r="M111" s="37">
        <v>0</v>
      </c>
      <c r="N111" s="37">
        <v>0</v>
      </c>
      <c r="O111" s="5">
        <f t="shared" si="18"/>
        <v>0</v>
      </c>
    </row>
    <row r="112" spans="2:15" s="9" customFormat="1" ht="15.75" x14ac:dyDescent="0.25">
      <c r="B112" s="12" t="s">
        <v>134</v>
      </c>
      <c r="C112" s="37">
        <v>0</v>
      </c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5">
        <f t="shared" si="18"/>
        <v>0</v>
      </c>
    </row>
    <row r="113" spans="2:15" s="9" customFormat="1" ht="15.75" x14ac:dyDescent="0.25">
      <c r="B113" s="12" t="s">
        <v>135</v>
      </c>
      <c r="C113" s="37">
        <v>0</v>
      </c>
      <c r="D113" s="37">
        <v>0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5">
        <f t="shared" si="18"/>
        <v>0</v>
      </c>
    </row>
    <row r="114" spans="2:15" s="9" customFormat="1" ht="15.75" x14ac:dyDescent="0.25">
      <c r="B114" s="12" t="s">
        <v>136</v>
      </c>
      <c r="C114" s="37">
        <v>0</v>
      </c>
      <c r="D114" s="37">
        <v>0</v>
      </c>
      <c r="E114" s="37">
        <v>0</v>
      </c>
      <c r="F114" s="37">
        <v>0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5">
        <f t="shared" si="18"/>
        <v>0</v>
      </c>
    </row>
    <row r="115" spans="2:15" s="9" customFormat="1" ht="15.75" x14ac:dyDescent="0.25">
      <c r="B115" s="12" t="s">
        <v>137</v>
      </c>
      <c r="C115" s="37">
        <v>0</v>
      </c>
      <c r="D115" s="37">
        <v>0</v>
      </c>
      <c r="E115" s="37">
        <v>0</v>
      </c>
      <c r="F115" s="37">
        <v>0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5">
        <f t="shared" si="18"/>
        <v>0</v>
      </c>
    </row>
    <row r="116" spans="2:15" s="42" customFormat="1" ht="19.5" x14ac:dyDescent="0.4">
      <c r="B116" s="15" t="s">
        <v>138</v>
      </c>
      <c r="C116" s="45">
        <f>SUM(C117:C119)</f>
        <v>0</v>
      </c>
      <c r="D116" s="45">
        <f t="shared" ref="D116:N116" si="21">SUM(D117:D119)</f>
        <v>0</v>
      </c>
      <c r="E116" s="45">
        <f t="shared" si="21"/>
        <v>0</v>
      </c>
      <c r="F116" s="45">
        <f t="shared" si="21"/>
        <v>0</v>
      </c>
      <c r="G116" s="45">
        <f t="shared" si="21"/>
        <v>0</v>
      </c>
      <c r="H116" s="45">
        <f t="shared" si="21"/>
        <v>0</v>
      </c>
      <c r="I116" s="45">
        <f t="shared" si="21"/>
        <v>0</v>
      </c>
      <c r="J116" s="45">
        <f t="shared" si="21"/>
        <v>0</v>
      </c>
      <c r="K116" s="45">
        <f t="shared" si="21"/>
        <v>0</v>
      </c>
      <c r="L116" s="45">
        <f t="shared" si="21"/>
        <v>0</v>
      </c>
      <c r="M116" s="45">
        <f t="shared" si="21"/>
        <v>0</v>
      </c>
      <c r="N116" s="45">
        <f t="shared" si="21"/>
        <v>0</v>
      </c>
      <c r="O116" s="44">
        <f t="shared" si="18"/>
        <v>0</v>
      </c>
    </row>
    <row r="117" spans="2:15" s="9" customFormat="1" ht="15.75" x14ac:dyDescent="0.25">
      <c r="B117" s="12" t="s">
        <v>139</v>
      </c>
      <c r="C117" s="37">
        <v>0</v>
      </c>
      <c r="D117" s="37">
        <v>0</v>
      </c>
      <c r="E117" s="37">
        <v>0</v>
      </c>
      <c r="F117" s="37">
        <v>0</v>
      </c>
      <c r="G117" s="37">
        <v>0</v>
      </c>
      <c r="H117" s="37">
        <v>0</v>
      </c>
      <c r="I117" s="37">
        <v>0</v>
      </c>
      <c r="J117" s="37">
        <v>0</v>
      </c>
      <c r="K117" s="37">
        <v>0</v>
      </c>
      <c r="L117" s="37">
        <v>0</v>
      </c>
      <c r="M117" s="37">
        <v>0</v>
      </c>
      <c r="N117" s="37">
        <v>0</v>
      </c>
      <c r="O117" s="5">
        <f t="shared" si="18"/>
        <v>0</v>
      </c>
    </row>
    <row r="118" spans="2:15" s="9" customFormat="1" ht="15.75" x14ac:dyDescent="0.25">
      <c r="B118" s="12" t="s">
        <v>140</v>
      </c>
      <c r="C118" s="37">
        <v>0</v>
      </c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5">
        <f t="shared" si="18"/>
        <v>0</v>
      </c>
    </row>
    <row r="119" spans="2:15" s="9" customFormat="1" ht="15.75" x14ac:dyDescent="0.25">
      <c r="B119" s="12" t="s">
        <v>141</v>
      </c>
      <c r="C119" s="37">
        <v>0</v>
      </c>
      <c r="D119" s="37">
        <v>0</v>
      </c>
      <c r="E119" s="37">
        <v>0</v>
      </c>
      <c r="F119" s="37">
        <v>0</v>
      </c>
      <c r="G119" s="37">
        <v>0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5">
        <f t="shared" si="18"/>
        <v>0</v>
      </c>
    </row>
    <row r="120" spans="2:15" s="42" customFormat="1" ht="19.5" x14ac:dyDescent="0.4">
      <c r="B120" s="15" t="s">
        <v>142</v>
      </c>
      <c r="C120" s="45">
        <f>SUM(C121:C122)</f>
        <v>0</v>
      </c>
      <c r="D120" s="45">
        <f t="shared" ref="D120:N120" si="22">SUM(D121:D122)</f>
        <v>0</v>
      </c>
      <c r="E120" s="45">
        <f t="shared" si="22"/>
        <v>0</v>
      </c>
      <c r="F120" s="45">
        <f t="shared" si="22"/>
        <v>0</v>
      </c>
      <c r="G120" s="45">
        <f t="shared" si="22"/>
        <v>0</v>
      </c>
      <c r="H120" s="45">
        <f t="shared" si="22"/>
        <v>0</v>
      </c>
      <c r="I120" s="45">
        <f t="shared" si="22"/>
        <v>0</v>
      </c>
      <c r="J120" s="45">
        <f t="shared" si="22"/>
        <v>0</v>
      </c>
      <c r="K120" s="45">
        <f t="shared" si="22"/>
        <v>0</v>
      </c>
      <c r="L120" s="45">
        <f t="shared" si="22"/>
        <v>0</v>
      </c>
      <c r="M120" s="45">
        <f t="shared" si="22"/>
        <v>0</v>
      </c>
      <c r="N120" s="45">
        <f t="shared" si="22"/>
        <v>0</v>
      </c>
      <c r="O120" s="44">
        <f t="shared" si="18"/>
        <v>0</v>
      </c>
    </row>
    <row r="121" spans="2:15" s="9" customFormat="1" ht="15.75" x14ac:dyDescent="0.25">
      <c r="B121" s="12" t="s">
        <v>143</v>
      </c>
      <c r="C121" s="37">
        <v>0</v>
      </c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0</v>
      </c>
      <c r="J121" s="37">
        <v>0</v>
      </c>
      <c r="K121" s="37">
        <v>0</v>
      </c>
      <c r="L121" s="37">
        <v>0</v>
      </c>
      <c r="M121" s="37">
        <v>0</v>
      </c>
      <c r="N121" s="37">
        <v>0</v>
      </c>
      <c r="O121" s="5">
        <f t="shared" si="18"/>
        <v>0</v>
      </c>
    </row>
    <row r="122" spans="2:15" s="9" customFormat="1" ht="15.75" x14ac:dyDescent="0.25">
      <c r="B122" s="12" t="s">
        <v>43</v>
      </c>
      <c r="C122" s="37">
        <v>0</v>
      </c>
      <c r="D122" s="37">
        <v>0</v>
      </c>
      <c r="E122" s="37">
        <v>0</v>
      </c>
      <c r="F122" s="37">
        <v>0</v>
      </c>
      <c r="G122" s="37">
        <v>0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  <c r="M122" s="37">
        <v>0</v>
      </c>
      <c r="N122" s="37">
        <v>0</v>
      </c>
      <c r="O122" s="5">
        <f t="shared" si="18"/>
        <v>0</v>
      </c>
    </row>
    <row r="123" spans="2:15" s="42" customFormat="1" ht="19.5" x14ac:dyDescent="0.4">
      <c r="B123" s="15" t="s">
        <v>32</v>
      </c>
      <c r="C123" s="45">
        <f t="shared" ref="C123:N123" si="23">SUM(C124:C125)</f>
        <v>0</v>
      </c>
      <c r="D123" s="45">
        <f t="shared" si="23"/>
        <v>0</v>
      </c>
      <c r="E123" s="45">
        <f t="shared" si="23"/>
        <v>0</v>
      </c>
      <c r="F123" s="45">
        <f t="shared" si="23"/>
        <v>0</v>
      </c>
      <c r="G123" s="45">
        <f t="shared" si="23"/>
        <v>0</v>
      </c>
      <c r="H123" s="45">
        <f t="shared" si="23"/>
        <v>0</v>
      </c>
      <c r="I123" s="45">
        <f t="shared" si="23"/>
        <v>0</v>
      </c>
      <c r="J123" s="45">
        <f t="shared" si="23"/>
        <v>0</v>
      </c>
      <c r="K123" s="45">
        <f t="shared" si="23"/>
        <v>0</v>
      </c>
      <c r="L123" s="45">
        <f t="shared" si="23"/>
        <v>0</v>
      </c>
      <c r="M123" s="45">
        <f t="shared" si="23"/>
        <v>0</v>
      </c>
      <c r="N123" s="45">
        <f t="shared" si="23"/>
        <v>0</v>
      </c>
      <c r="O123" s="44">
        <f t="shared" si="18"/>
        <v>0</v>
      </c>
    </row>
    <row r="124" spans="2:15" s="9" customFormat="1" ht="15.75" x14ac:dyDescent="0.25">
      <c r="B124" s="12" t="s">
        <v>144</v>
      </c>
      <c r="C124" s="37">
        <v>0</v>
      </c>
      <c r="D124" s="37">
        <v>0</v>
      </c>
      <c r="E124" s="37">
        <v>0</v>
      </c>
      <c r="F124" s="37">
        <v>0</v>
      </c>
      <c r="G124" s="37">
        <v>0</v>
      </c>
      <c r="H124" s="37">
        <v>0</v>
      </c>
      <c r="I124" s="37">
        <v>0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5">
        <f t="shared" si="18"/>
        <v>0</v>
      </c>
    </row>
    <row r="125" spans="2:15" s="9" customFormat="1" ht="15.75" x14ac:dyDescent="0.25">
      <c r="B125" s="12" t="s">
        <v>145</v>
      </c>
      <c r="C125" s="37">
        <v>0</v>
      </c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5">
        <f t="shared" si="18"/>
        <v>0</v>
      </c>
    </row>
    <row r="126" spans="2:15" s="42" customFormat="1" ht="19.5" x14ac:dyDescent="0.4">
      <c r="B126" s="15" t="s">
        <v>146</v>
      </c>
      <c r="C126" s="45">
        <f>SUM(C127:C129)</f>
        <v>0</v>
      </c>
      <c r="D126" s="45">
        <f t="shared" ref="D126:N126" si="24">SUM(D127:D129)</f>
        <v>0</v>
      </c>
      <c r="E126" s="45">
        <f t="shared" si="24"/>
        <v>0</v>
      </c>
      <c r="F126" s="45">
        <f t="shared" si="24"/>
        <v>0</v>
      </c>
      <c r="G126" s="45">
        <f t="shared" si="24"/>
        <v>0</v>
      </c>
      <c r="H126" s="45">
        <f t="shared" si="24"/>
        <v>0</v>
      </c>
      <c r="I126" s="45">
        <f t="shared" si="24"/>
        <v>0</v>
      </c>
      <c r="J126" s="45">
        <f t="shared" si="24"/>
        <v>0</v>
      </c>
      <c r="K126" s="45">
        <f t="shared" si="24"/>
        <v>0</v>
      </c>
      <c r="L126" s="45">
        <f t="shared" si="24"/>
        <v>0</v>
      </c>
      <c r="M126" s="45">
        <f t="shared" si="24"/>
        <v>0</v>
      </c>
      <c r="N126" s="45">
        <f t="shared" si="24"/>
        <v>0</v>
      </c>
      <c r="O126" s="44">
        <f t="shared" si="18"/>
        <v>0</v>
      </c>
    </row>
    <row r="127" spans="2:15" s="9" customFormat="1" ht="15.75" x14ac:dyDescent="0.25">
      <c r="B127" s="12" t="s">
        <v>147</v>
      </c>
      <c r="C127" s="37">
        <v>0</v>
      </c>
      <c r="D127" s="37">
        <v>0</v>
      </c>
      <c r="E127" s="37">
        <v>0</v>
      </c>
      <c r="F127" s="37">
        <v>0</v>
      </c>
      <c r="G127" s="37">
        <v>0</v>
      </c>
      <c r="H127" s="37">
        <v>0</v>
      </c>
      <c r="I127" s="37">
        <v>0</v>
      </c>
      <c r="J127" s="37">
        <v>0</v>
      </c>
      <c r="K127" s="37">
        <v>0</v>
      </c>
      <c r="L127" s="37">
        <v>0</v>
      </c>
      <c r="M127" s="37">
        <v>0</v>
      </c>
      <c r="N127" s="37">
        <v>0</v>
      </c>
      <c r="O127" s="5">
        <f t="shared" si="18"/>
        <v>0</v>
      </c>
    </row>
    <row r="128" spans="2:15" s="9" customFormat="1" ht="15.75" x14ac:dyDescent="0.25">
      <c r="B128" s="12" t="s">
        <v>148</v>
      </c>
      <c r="C128" s="37">
        <v>0</v>
      </c>
      <c r="D128" s="37">
        <v>0</v>
      </c>
      <c r="E128" s="37">
        <v>0</v>
      </c>
      <c r="F128" s="37">
        <v>0</v>
      </c>
      <c r="G128" s="37">
        <v>0</v>
      </c>
      <c r="H128" s="37">
        <v>0</v>
      </c>
      <c r="I128" s="37">
        <v>0</v>
      </c>
      <c r="J128" s="37">
        <v>0</v>
      </c>
      <c r="K128" s="37">
        <v>0</v>
      </c>
      <c r="L128" s="37">
        <v>0</v>
      </c>
      <c r="M128" s="37">
        <v>0</v>
      </c>
      <c r="N128" s="37">
        <v>0</v>
      </c>
      <c r="O128" s="5">
        <f t="shared" si="18"/>
        <v>0</v>
      </c>
    </row>
    <row r="129" spans="2:15" s="9" customFormat="1" ht="15.75" x14ac:dyDescent="0.25">
      <c r="B129" s="12" t="s">
        <v>149</v>
      </c>
      <c r="C129" s="37">
        <v>0</v>
      </c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0</v>
      </c>
      <c r="J129" s="37">
        <v>0</v>
      </c>
      <c r="K129" s="37">
        <v>0</v>
      </c>
      <c r="L129" s="37">
        <v>0</v>
      </c>
      <c r="M129" s="37">
        <v>0</v>
      </c>
      <c r="N129" s="37">
        <v>0</v>
      </c>
      <c r="O129" s="5">
        <f t="shared" si="18"/>
        <v>0</v>
      </c>
    </row>
    <row r="130" spans="2:15" s="42" customFormat="1" ht="19.5" x14ac:dyDescent="0.4">
      <c r="B130" s="15" t="s">
        <v>150</v>
      </c>
      <c r="C130" s="45">
        <f>SUM(C131:C132)</f>
        <v>0</v>
      </c>
      <c r="D130" s="45">
        <f t="shared" ref="D130:N130" si="25">SUM(D131:D132)</f>
        <v>0</v>
      </c>
      <c r="E130" s="45">
        <f t="shared" si="25"/>
        <v>0</v>
      </c>
      <c r="F130" s="45">
        <f t="shared" si="25"/>
        <v>0</v>
      </c>
      <c r="G130" s="45">
        <f t="shared" si="25"/>
        <v>0</v>
      </c>
      <c r="H130" s="45">
        <f t="shared" si="25"/>
        <v>0</v>
      </c>
      <c r="I130" s="45">
        <f t="shared" si="25"/>
        <v>0</v>
      </c>
      <c r="J130" s="45">
        <f t="shared" si="25"/>
        <v>0</v>
      </c>
      <c r="K130" s="45">
        <f t="shared" si="25"/>
        <v>0</v>
      </c>
      <c r="L130" s="45">
        <f t="shared" si="25"/>
        <v>0</v>
      </c>
      <c r="M130" s="45">
        <f t="shared" si="25"/>
        <v>0</v>
      </c>
      <c r="N130" s="45">
        <f t="shared" si="25"/>
        <v>0</v>
      </c>
      <c r="O130" s="44">
        <f t="shared" si="18"/>
        <v>0</v>
      </c>
    </row>
    <row r="131" spans="2:15" s="9" customFormat="1" ht="15.75" x14ac:dyDescent="0.25">
      <c r="B131" s="12" t="s">
        <v>64</v>
      </c>
      <c r="C131" s="37">
        <v>0</v>
      </c>
      <c r="D131" s="37">
        <v>0</v>
      </c>
      <c r="E131" s="37">
        <v>0</v>
      </c>
      <c r="F131" s="37">
        <v>0</v>
      </c>
      <c r="G131" s="37">
        <v>0</v>
      </c>
      <c r="H131" s="37">
        <v>0</v>
      </c>
      <c r="I131" s="37">
        <v>0</v>
      </c>
      <c r="J131" s="37">
        <v>0</v>
      </c>
      <c r="K131" s="37">
        <v>0</v>
      </c>
      <c r="L131" s="37">
        <v>0</v>
      </c>
      <c r="M131" s="37">
        <v>0</v>
      </c>
      <c r="N131" s="37">
        <v>0</v>
      </c>
      <c r="O131" s="5">
        <f t="shared" si="18"/>
        <v>0</v>
      </c>
    </row>
    <row r="132" spans="2:15" s="9" customFormat="1" ht="15.75" x14ac:dyDescent="0.25">
      <c r="B132" s="12" t="s">
        <v>151</v>
      </c>
      <c r="C132" s="37">
        <v>0</v>
      </c>
      <c r="D132" s="37">
        <v>0</v>
      </c>
      <c r="E132" s="37">
        <v>0</v>
      </c>
      <c r="F132" s="37">
        <v>0</v>
      </c>
      <c r="G132" s="37">
        <v>0</v>
      </c>
      <c r="H132" s="37">
        <v>0</v>
      </c>
      <c r="I132" s="37">
        <v>0</v>
      </c>
      <c r="J132" s="37">
        <v>0</v>
      </c>
      <c r="K132" s="37">
        <v>0</v>
      </c>
      <c r="L132" s="37">
        <v>0</v>
      </c>
      <c r="M132" s="37">
        <v>0</v>
      </c>
      <c r="N132" s="37">
        <v>0</v>
      </c>
      <c r="O132" s="5">
        <f t="shared" si="18"/>
        <v>0</v>
      </c>
    </row>
    <row r="133" spans="2:15" s="42" customFormat="1" ht="19.5" x14ac:dyDescent="0.4">
      <c r="B133" s="15" t="s">
        <v>152</v>
      </c>
      <c r="C133" s="45">
        <f>SUM(C134:C138)</f>
        <v>0</v>
      </c>
      <c r="D133" s="45">
        <f t="shared" ref="D133:N133" si="26">SUM(D134:D138)</f>
        <v>0</v>
      </c>
      <c r="E133" s="45">
        <f t="shared" si="26"/>
        <v>0</v>
      </c>
      <c r="F133" s="45">
        <f t="shared" si="26"/>
        <v>0</v>
      </c>
      <c r="G133" s="45">
        <f t="shared" si="26"/>
        <v>0</v>
      </c>
      <c r="H133" s="45">
        <f t="shared" si="26"/>
        <v>0</v>
      </c>
      <c r="I133" s="45">
        <f t="shared" si="26"/>
        <v>0</v>
      </c>
      <c r="J133" s="45">
        <f t="shared" si="26"/>
        <v>0</v>
      </c>
      <c r="K133" s="45">
        <f t="shared" si="26"/>
        <v>0</v>
      </c>
      <c r="L133" s="45">
        <f>SUM(L134:L138)</f>
        <v>0</v>
      </c>
      <c r="M133" s="45">
        <f t="shared" si="26"/>
        <v>0</v>
      </c>
      <c r="N133" s="45">
        <f t="shared" si="26"/>
        <v>0</v>
      </c>
      <c r="O133" s="44">
        <f t="shared" si="18"/>
        <v>0</v>
      </c>
    </row>
    <row r="134" spans="2:15" s="9" customFormat="1" ht="15.75" x14ac:dyDescent="0.25">
      <c r="B134" s="12" t="s">
        <v>153</v>
      </c>
      <c r="C134" s="37">
        <v>0</v>
      </c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0</v>
      </c>
      <c r="J134" s="37">
        <v>0</v>
      </c>
      <c r="K134" s="37">
        <v>0</v>
      </c>
      <c r="L134" s="37">
        <v>0</v>
      </c>
      <c r="M134" s="37">
        <v>0</v>
      </c>
      <c r="N134" s="37">
        <v>0</v>
      </c>
      <c r="O134" s="5">
        <f t="shared" si="18"/>
        <v>0</v>
      </c>
    </row>
    <row r="135" spans="2:15" s="9" customFormat="1" ht="15.75" x14ac:dyDescent="0.25">
      <c r="B135" s="12" t="s">
        <v>154</v>
      </c>
      <c r="C135" s="37">
        <v>0</v>
      </c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v>0</v>
      </c>
      <c r="N135" s="37">
        <v>0</v>
      </c>
      <c r="O135" s="5">
        <f t="shared" si="18"/>
        <v>0</v>
      </c>
    </row>
    <row r="136" spans="2:15" s="9" customFormat="1" ht="15.75" x14ac:dyDescent="0.25">
      <c r="B136" s="12" t="s">
        <v>155</v>
      </c>
      <c r="C136" s="37">
        <v>0</v>
      </c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0</v>
      </c>
      <c r="J136" s="37">
        <v>0</v>
      </c>
      <c r="K136" s="37">
        <v>0</v>
      </c>
      <c r="L136" s="37">
        <v>0</v>
      </c>
      <c r="M136" s="37">
        <v>0</v>
      </c>
      <c r="N136" s="37">
        <v>0</v>
      </c>
      <c r="O136" s="5">
        <f t="shared" si="18"/>
        <v>0</v>
      </c>
    </row>
    <row r="137" spans="2:15" s="9" customFormat="1" ht="15.75" x14ac:dyDescent="0.25">
      <c r="B137" s="12" t="s">
        <v>156</v>
      </c>
      <c r="C137" s="37">
        <v>0</v>
      </c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0</v>
      </c>
      <c r="J137" s="37">
        <v>0</v>
      </c>
      <c r="K137" s="37">
        <v>0</v>
      </c>
      <c r="L137" s="37">
        <v>0</v>
      </c>
      <c r="M137" s="37">
        <v>0</v>
      </c>
      <c r="N137" s="37">
        <v>0</v>
      </c>
      <c r="O137" s="5">
        <f t="shared" si="18"/>
        <v>0</v>
      </c>
    </row>
    <row r="138" spans="2:15" s="9" customFormat="1" ht="15.75" x14ac:dyDescent="0.25"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5">
        <f t="shared" si="18"/>
        <v>0</v>
      </c>
    </row>
    <row r="139" spans="2:15" s="9" customFormat="1" ht="15.75" x14ac:dyDescent="0.25"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17"/>
    </row>
    <row r="140" spans="2:15" s="9" customFormat="1" ht="15.75" x14ac:dyDescent="0.25"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17"/>
    </row>
    <row r="141" spans="2:15" s="9" customFormat="1" ht="15.75" x14ac:dyDescent="0.25"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17"/>
    </row>
    <row r="142" spans="2:15" s="9" customFormat="1" ht="15.75" x14ac:dyDescent="0.25"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17"/>
    </row>
    <row r="143" spans="2:15" s="9" customFormat="1" ht="15.75" x14ac:dyDescent="0.25"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17"/>
    </row>
    <row r="144" spans="2:15" s="9" customFormat="1" ht="15.75" x14ac:dyDescent="0.25">
      <c r="O144" s="17"/>
    </row>
    <row r="145" spans="15:15" s="9" customFormat="1" ht="15.75" x14ac:dyDescent="0.25">
      <c r="O145" s="17"/>
    </row>
    <row r="146" spans="15:15" s="9" customFormat="1" ht="15.75" x14ac:dyDescent="0.25">
      <c r="O146" s="17"/>
    </row>
    <row r="147" spans="15:15" s="9" customFormat="1" ht="15.75" x14ac:dyDescent="0.25">
      <c r="O147" s="17"/>
    </row>
    <row r="148" spans="15:15" s="9" customFormat="1" ht="15.75" x14ac:dyDescent="0.25">
      <c r="O148" s="17"/>
    </row>
    <row r="149" spans="15:15" s="9" customFormat="1" ht="15.75" x14ac:dyDescent="0.25">
      <c r="O149" s="17"/>
    </row>
    <row r="150" spans="15:15" s="9" customFormat="1" ht="15.75" x14ac:dyDescent="0.25">
      <c r="O150" s="17"/>
    </row>
    <row r="151" spans="15:15" s="9" customFormat="1" ht="15.75" x14ac:dyDescent="0.25">
      <c r="O151" s="17"/>
    </row>
    <row r="152" spans="15:15" s="9" customFormat="1" ht="15.75" x14ac:dyDescent="0.25">
      <c r="O152" s="17"/>
    </row>
    <row r="153" spans="15:15" s="9" customFormat="1" ht="15.75" x14ac:dyDescent="0.25">
      <c r="O153" s="17"/>
    </row>
    <row r="154" spans="15:15" s="9" customFormat="1" ht="15.75" x14ac:dyDescent="0.25">
      <c r="O154" s="17"/>
    </row>
    <row r="155" spans="15:15" s="9" customFormat="1" ht="15.75" x14ac:dyDescent="0.25">
      <c r="O155" s="17"/>
    </row>
    <row r="156" spans="15:15" s="9" customFormat="1" ht="15.75" x14ac:dyDescent="0.25">
      <c r="O156" s="17"/>
    </row>
    <row r="157" spans="15:15" s="9" customFormat="1" ht="15.75" x14ac:dyDescent="0.25">
      <c r="O157" s="17"/>
    </row>
    <row r="158" spans="15:15" s="9" customFormat="1" ht="15.75" x14ac:dyDescent="0.25">
      <c r="O158" s="17"/>
    </row>
    <row r="159" spans="15:15" s="9" customFormat="1" ht="15.75" x14ac:dyDescent="0.25">
      <c r="O159" s="17"/>
    </row>
    <row r="160" spans="15:15" s="9" customFormat="1" ht="15.75" x14ac:dyDescent="0.25">
      <c r="O160" s="17"/>
    </row>
    <row r="161" spans="15:15" s="9" customFormat="1" ht="15.75" x14ac:dyDescent="0.25">
      <c r="O161" s="17"/>
    </row>
    <row r="162" spans="15:15" s="9" customFormat="1" ht="15.75" x14ac:dyDescent="0.25">
      <c r="O162" s="17"/>
    </row>
    <row r="163" spans="15:15" s="9" customFormat="1" ht="15.75" x14ac:dyDescent="0.25">
      <c r="O163" s="17"/>
    </row>
    <row r="164" spans="15:15" s="9" customFormat="1" ht="15.75" x14ac:dyDescent="0.25">
      <c r="O164" s="17"/>
    </row>
    <row r="165" spans="15:15" s="9" customFormat="1" ht="15.75" x14ac:dyDescent="0.25">
      <c r="O165" s="17"/>
    </row>
  </sheetData>
  <sheetProtection formatCells="0" formatColumns="0" formatRows="0" insertColumns="0" insertRows="0" insertHyperlinks="0" deleteColumns="0" deleteRows="0" sort="0" autoFilter="0" pivotTables="0"/>
  <mergeCells count="2">
    <mergeCell ref="C1:O1"/>
    <mergeCell ref="A2:B2"/>
  </mergeCells>
  <pageMargins left="0" right="0" top="0.75" bottom="0.75" header="0.3" footer="0.3"/>
  <pageSetup paperSize="9" scale="38" fitToHeight="0" orientation="landscape" r:id="rId1"/>
  <headerFooter>
    <oddFooter>&amp;L&amp;Bfinancas - previsto x realizad&amp;RPágina 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5F10-AE63-4197-9BB2-99A133D7B131}">
  <sheetPr>
    <tabColor rgb="FF07395C"/>
    <pageSetUpPr fitToPage="1"/>
  </sheetPr>
  <dimension ref="A1:O165"/>
  <sheetViews>
    <sheetView showGridLines="0" zoomScale="60" zoomScaleNormal="60" workbookViewId="0">
      <pane xSplit="2" ySplit="3" topLeftCell="C8" activePane="bottomRight" state="frozen"/>
      <selection pane="topRight"/>
      <selection pane="bottomLeft"/>
      <selection pane="bottomRight" activeCell="C2" sqref="C2"/>
    </sheetView>
  </sheetViews>
  <sheetFormatPr defaultRowHeight="15" customHeight="1" x14ac:dyDescent="0.25"/>
  <cols>
    <col min="1" max="1" width="6.42578125" customWidth="1"/>
    <col min="2" max="2" width="40.85546875" bestFit="1" customWidth="1"/>
    <col min="3" max="14" width="23.5703125" customWidth="1"/>
    <col min="15" max="15" width="24.85546875" style="1" bestFit="1" customWidth="1"/>
  </cols>
  <sheetData>
    <row r="1" spans="1:15" ht="68.25" customHeight="1" x14ac:dyDescent="0.25">
      <c r="C1" s="286" t="s">
        <v>252</v>
      </c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5" ht="24.95" customHeight="1" x14ac:dyDescent="0.25">
      <c r="A2" s="287" t="s">
        <v>246</v>
      </c>
      <c r="B2" s="287"/>
      <c r="C2" s="184">
        <f>C47/O$47</f>
        <v>9.6862023035336517E-2</v>
      </c>
      <c r="D2" s="184">
        <f>D47/$O$47</f>
        <v>8.1779362218914048E-2</v>
      </c>
      <c r="E2" s="184">
        <f>E47/$O$47</f>
        <v>8.2171119642717227E-2</v>
      </c>
      <c r="F2" s="184">
        <f t="shared" ref="F2:N2" si="0">F47/$O$47</f>
        <v>8.3346391914126766E-2</v>
      </c>
      <c r="G2" s="184">
        <f t="shared" si="0"/>
        <v>8.2014416673195964E-2</v>
      </c>
      <c r="H2" s="184">
        <f t="shared" si="0"/>
        <v>8.1975240930815638E-2</v>
      </c>
      <c r="I2" s="184">
        <f t="shared" si="0"/>
        <v>8.1779362218914048E-2</v>
      </c>
      <c r="J2" s="184">
        <f t="shared" si="0"/>
        <v>8.1779362218914048E-2</v>
      </c>
      <c r="K2" s="184">
        <f t="shared" si="0"/>
        <v>8.1975240930815638E-2</v>
      </c>
      <c r="L2" s="184">
        <f t="shared" si="0"/>
        <v>8.1779362218914048E-2</v>
      </c>
      <c r="M2" s="184">
        <f t="shared" si="0"/>
        <v>8.1975240930815638E-2</v>
      </c>
      <c r="N2" s="184">
        <f t="shared" si="0"/>
        <v>8.2562877066520407E-2</v>
      </c>
    </row>
    <row r="3" spans="1:15" ht="22.5" x14ac:dyDescent="0.25">
      <c r="B3" s="2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4" t="s">
        <v>5</v>
      </c>
    </row>
    <row r="4" spans="1:15" ht="22.5" x14ac:dyDescent="0.25">
      <c r="B4" s="31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2"/>
    </row>
    <row r="5" spans="1:15" ht="19.5" x14ac:dyDescent="0.25">
      <c r="B5" s="33" t="s">
        <v>29</v>
      </c>
      <c r="C5" s="243">
        <f>C6</f>
        <v>-8225</v>
      </c>
      <c r="D5" s="243">
        <f t="shared" ref="D5:N5" si="1">C5+D6</f>
        <v>400</v>
      </c>
      <c r="E5" s="243">
        <f t="shared" si="1"/>
        <v>8925</v>
      </c>
      <c r="F5" s="243">
        <f t="shared" si="1"/>
        <v>17150</v>
      </c>
      <c r="G5" s="243">
        <f t="shared" si="1"/>
        <v>25715</v>
      </c>
      <c r="H5" s="243">
        <f t="shared" si="1"/>
        <v>34290</v>
      </c>
      <c r="I5" s="243">
        <f t="shared" si="1"/>
        <v>42915</v>
      </c>
      <c r="J5" s="243">
        <f t="shared" si="1"/>
        <v>51540</v>
      </c>
      <c r="K5" s="243">
        <f t="shared" si="1"/>
        <v>60115</v>
      </c>
      <c r="L5" s="243">
        <f t="shared" si="1"/>
        <v>68740</v>
      </c>
      <c r="M5" s="243">
        <f t="shared" si="1"/>
        <v>77315</v>
      </c>
      <c r="N5" s="243">
        <f t="shared" si="1"/>
        <v>72740</v>
      </c>
      <c r="O5" s="245"/>
    </row>
    <row r="6" spans="1:15" ht="19.5" x14ac:dyDescent="0.25">
      <c r="B6" s="33" t="s">
        <v>30</v>
      </c>
      <c r="C6" s="243">
        <f t="shared" ref="C6:N6" si="2">SUM(C8-C47)</f>
        <v>-8225</v>
      </c>
      <c r="D6" s="243">
        <f t="shared" si="2"/>
        <v>8625</v>
      </c>
      <c r="E6" s="243">
        <f t="shared" si="2"/>
        <v>8525</v>
      </c>
      <c r="F6" s="243">
        <f t="shared" si="2"/>
        <v>8225</v>
      </c>
      <c r="G6" s="243">
        <f t="shared" si="2"/>
        <v>8565</v>
      </c>
      <c r="H6" s="243">
        <f t="shared" si="2"/>
        <v>8575</v>
      </c>
      <c r="I6" s="243">
        <f t="shared" si="2"/>
        <v>8625</v>
      </c>
      <c r="J6" s="243">
        <f t="shared" si="2"/>
        <v>8625</v>
      </c>
      <c r="K6" s="243">
        <f t="shared" si="2"/>
        <v>8575</v>
      </c>
      <c r="L6" s="243">
        <f t="shared" si="2"/>
        <v>8625</v>
      </c>
      <c r="M6" s="243">
        <f t="shared" si="2"/>
        <v>8575</v>
      </c>
      <c r="N6" s="243">
        <f t="shared" si="2"/>
        <v>-4575</v>
      </c>
      <c r="O6" s="245">
        <f>SUM(C6:N6)</f>
        <v>72740</v>
      </c>
    </row>
    <row r="7" spans="1:15" ht="22.5" x14ac:dyDescent="0.25">
      <c r="B7" s="31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46"/>
    </row>
    <row r="8" spans="1:15" s="9" customFormat="1" ht="19.5" x14ac:dyDescent="0.25">
      <c r="B8" s="18" t="s">
        <v>31</v>
      </c>
      <c r="C8" s="49">
        <f>SUM(C9,C16,C22,C28,C33,C37,C40,C43)</f>
        <v>16500</v>
      </c>
      <c r="D8" s="49">
        <f t="shared" ref="D8:N8" si="3">SUM(D9,D16,D22,D28,D33,D37,D40,D43)</f>
        <v>29500</v>
      </c>
      <c r="E8" s="49">
        <f t="shared" si="3"/>
        <v>29500</v>
      </c>
      <c r="F8" s="49">
        <f t="shared" si="3"/>
        <v>29500</v>
      </c>
      <c r="G8" s="49">
        <f t="shared" si="3"/>
        <v>29500</v>
      </c>
      <c r="H8" s="49">
        <f t="shared" si="3"/>
        <v>29500</v>
      </c>
      <c r="I8" s="49">
        <f t="shared" si="3"/>
        <v>29500</v>
      </c>
      <c r="J8" s="49">
        <f t="shared" si="3"/>
        <v>29500</v>
      </c>
      <c r="K8" s="49">
        <f t="shared" si="3"/>
        <v>29500</v>
      </c>
      <c r="L8" s="49">
        <f t="shared" si="3"/>
        <v>29500</v>
      </c>
      <c r="M8" s="49">
        <f t="shared" si="3"/>
        <v>29500</v>
      </c>
      <c r="N8" s="49">
        <f t="shared" si="3"/>
        <v>16500</v>
      </c>
      <c r="O8" s="50">
        <f>SUM(C8:N8)</f>
        <v>328000</v>
      </c>
    </row>
    <row r="9" spans="1:15" s="42" customFormat="1" ht="19.5" hidden="1" x14ac:dyDescent="0.4">
      <c r="B9" s="10" t="s">
        <v>32</v>
      </c>
      <c r="C9" s="40">
        <f>SUM(C10:C15)</f>
        <v>0</v>
      </c>
      <c r="D9" s="40">
        <f>SUM(D10:D15)</f>
        <v>0</v>
      </c>
      <c r="E9" s="40">
        <f>SUM(E10:E15)</f>
        <v>0</v>
      </c>
      <c r="F9" s="40">
        <f t="shared" ref="F9:N9" si="4">SUM(F10:F15)</f>
        <v>0</v>
      </c>
      <c r="G9" s="40">
        <f>SUM(G10:G15)</f>
        <v>0</v>
      </c>
      <c r="H9" s="40">
        <f t="shared" si="4"/>
        <v>0</v>
      </c>
      <c r="I9" s="40">
        <f t="shared" si="4"/>
        <v>0</v>
      </c>
      <c r="J9" s="40">
        <f t="shared" si="4"/>
        <v>0</v>
      </c>
      <c r="K9" s="40">
        <f t="shared" si="4"/>
        <v>0</v>
      </c>
      <c r="L9" s="40">
        <f t="shared" si="4"/>
        <v>0</v>
      </c>
      <c r="M9" s="40">
        <f t="shared" si="4"/>
        <v>0</v>
      </c>
      <c r="N9" s="40">
        <f t="shared" si="4"/>
        <v>0</v>
      </c>
      <c r="O9" s="41">
        <f>SUM(C9:N9)</f>
        <v>0</v>
      </c>
    </row>
    <row r="10" spans="1:15" s="9" customFormat="1" ht="15.75" hidden="1" x14ac:dyDescent="0.25">
      <c r="B10" s="36" t="s">
        <v>33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5">
        <f t="shared" ref="O10:O73" si="5">SUM(C10:N10)</f>
        <v>0</v>
      </c>
    </row>
    <row r="11" spans="1:15" s="9" customFormat="1" ht="15.75" hidden="1" x14ac:dyDescent="0.25">
      <c r="B11" s="36" t="s">
        <v>34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5">
        <f t="shared" si="5"/>
        <v>0</v>
      </c>
    </row>
    <row r="12" spans="1:15" s="9" customFormat="1" ht="15.75" hidden="1" x14ac:dyDescent="0.25">
      <c r="B12" s="36" t="s">
        <v>35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5">
        <f t="shared" si="5"/>
        <v>0</v>
      </c>
    </row>
    <row r="13" spans="1:15" s="9" customFormat="1" ht="15.75" hidden="1" x14ac:dyDescent="0.25">
      <c r="B13" s="36" t="s">
        <v>36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5">
        <f t="shared" si="5"/>
        <v>0</v>
      </c>
    </row>
    <row r="14" spans="1:15" s="9" customFormat="1" ht="15.75" hidden="1" x14ac:dyDescent="0.25">
      <c r="B14" s="36" t="s">
        <v>37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5">
        <f t="shared" si="5"/>
        <v>0</v>
      </c>
    </row>
    <row r="15" spans="1:15" s="9" customFormat="1" ht="15.75" hidden="1" x14ac:dyDescent="0.25">
      <c r="B15" s="36" t="s">
        <v>38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5">
        <f t="shared" si="5"/>
        <v>0</v>
      </c>
    </row>
    <row r="16" spans="1:15" s="42" customFormat="1" ht="19.5" hidden="1" x14ac:dyDescent="0.4">
      <c r="B16" s="10" t="s">
        <v>39</v>
      </c>
      <c r="C16" s="40">
        <f>SUM(C17:C21)</f>
        <v>0</v>
      </c>
      <c r="D16" s="40">
        <f>SUM(D17:D21)</f>
        <v>0</v>
      </c>
      <c r="E16" s="40">
        <f t="shared" ref="E16:L16" si="6">SUM(E17:E21)</f>
        <v>0</v>
      </c>
      <c r="F16" s="40">
        <f t="shared" si="6"/>
        <v>0</v>
      </c>
      <c r="G16" s="40">
        <f>SUM(G17:G21)</f>
        <v>0</v>
      </c>
      <c r="H16" s="40">
        <f t="shared" si="6"/>
        <v>0</v>
      </c>
      <c r="I16" s="40">
        <f t="shared" si="6"/>
        <v>0</v>
      </c>
      <c r="J16" s="40">
        <f t="shared" si="6"/>
        <v>0</v>
      </c>
      <c r="K16" s="40">
        <f t="shared" si="6"/>
        <v>0</v>
      </c>
      <c r="L16" s="40">
        <f t="shared" si="6"/>
        <v>0</v>
      </c>
      <c r="M16" s="40">
        <f>SUM(M17:M21)</f>
        <v>0</v>
      </c>
      <c r="N16" s="40">
        <f>SUM(N17:N21)</f>
        <v>0</v>
      </c>
      <c r="O16" s="41">
        <f>SUM(C16:N16)</f>
        <v>0</v>
      </c>
    </row>
    <row r="17" spans="2:15" s="9" customFormat="1" ht="15.75" hidden="1" x14ac:dyDescent="0.25">
      <c r="B17" s="36" t="s">
        <v>40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5">
        <f t="shared" si="5"/>
        <v>0</v>
      </c>
    </row>
    <row r="18" spans="2:15" s="9" customFormat="1" ht="15.75" hidden="1" x14ac:dyDescent="0.25">
      <c r="B18" s="36" t="s">
        <v>41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5">
        <f t="shared" si="5"/>
        <v>0</v>
      </c>
    </row>
    <row r="19" spans="2:15" s="9" customFormat="1" ht="15.75" hidden="1" x14ac:dyDescent="0.25">
      <c r="B19" s="36" t="s">
        <v>42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5">
        <f t="shared" si="5"/>
        <v>0</v>
      </c>
    </row>
    <row r="20" spans="2:15" s="9" customFormat="1" ht="15.75" hidden="1" x14ac:dyDescent="0.25">
      <c r="B20" s="36" t="s">
        <v>43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5">
        <f t="shared" si="5"/>
        <v>0</v>
      </c>
    </row>
    <row r="21" spans="2:15" s="9" customFormat="1" ht="15.75" hidden="1" x14ac:dyDescent="0.25">
      <c r="B21" s="36" t="s">
        <v>44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5">
        <f t="shared" si="5"/>
        <v>0</v>
      </c>
    </row>
    <row r="22" spans="2:15" s="42" customFormat="1" ht="19.5" x14ac:dyDescent="0.4">
      <c r="B22" s="10" t="s">
        <v>45</v>
      </c>
      <c r="C22" s="40">
        <f>SUM(C23:C27)</f>
        <v>0</v>
      </c>
      <c r="D22" s="40">
        <f t="shared" ref="D22:N22" si="7">SUM(D23:D27)</f>
        <v>0</v>
      </c>
      <c r="E22" s="40">
        <f t="shared" si="7"/>
        <v>0</v>
      </c>
      <c r="F22" s="40">
        <f t="shared" si="7"/>
        <v>0</v>
      </c>
      <c r="G22" s="40">
        <f t="shared" si="7"/>
        <v>0</v>
      </c>
      <c r="H22" s="40">
        <f t="shared" si="7"/>
        <v>0</v>
      </c>
      <c r="I22" s="40">
        <f t="shared" si="7"/>
        <v>0</v>
      </c>
      <c r="J22" s="40">
        <f t="shared" si="7"/>
        <v>0</v>
      </c>
      <c r="K22" s="40">
        <f t="shared" si="7"/>
        <v>0</v>
      </c>
      <c r="L22" s="40">
        <f t="shared" si="7"/>
        <v>0</v>
      </c>
      <c r="M22" s="40">
        <f t="shared" si="7"/>
        <v>0</v>
      </c>
      <c r="N22" s="40">
        <f t="shared" si="7"/>
        <v>0</v>
      </c>
      <c r="O22" s="41">
        <f t="shared" si="5"/>
        <v>0</v>
      </c>
    </row>
    <row r="23" spans="2:15" s="9" customFormat="1" ht="15.75" x14ac:dyDescent="0.25">
      <c r="B23" s="12" t="s">
        <v>46</v>
      </c>
      <c r="C23" s="37">
        <f>SUM(OUTLET!C23,GRIFFTE!C23)</f>
        <v>0</v>
      </c>
      <c r="D23" s="37">
        <f>SUM(OUTLET!D23,GRIFFTE!D23)</f>
        <v>0</v>
      </c>
      <c r="E23" s="37">
        <f>SUM(OUTLET!E23,GRIFFTE!E23)</f>
        <v>0</v>
      </c>
      <c r="F23" s="37">
        <f>SUM(OUTLET!F23,GRIFFTE!F23)</f>
        <v>0</v>
      </c>
      <c r="G23" s="37">
        <f>SUM(OUTLET!G23,GRIFFTE!G23)</f>
        <v>0</v>
      </c>
      <c r="H23" s="37">
        <f>SUM(OUTLET!H23,GRIFFTE!H23)</f>
        <v>0</v>
      </c>
      <c r="I23" s="37">
        <f>SUM(OUTLET!I23,GRIFFTE!I23)</f>
        <v>0</v>
      </c>
      <c r="J23" s="37">
        <f>SUM(OUTLET!J23,GRIFFTE!J23)</f>
        <v>0</v>
      </c>
      <c r="K23" s="37">
        <f>SUM(OUTLET!K23,GRIFFTE!K23)</f>
        <v>0</v>
      </c>
      <c r="L23" s="37">
        <f>SUM(OUTLET!L23,GRIFFTE!L23)</f>
        <v>0</v>
      </c>
      <c r="M23" s="37">
        <f>SUM(OUTLET!M23,GRIFFTE!M23)</f>
        <v>0</v>
      </c>
      <c r="N23" s="37">
        <f>SUM(OUTLET!N23,GRIFFTE!N23)</f>
        <v>0</v>
      </c>
      <c r="O23" s="5">
        <f t="shared" si="5"/>
        <v>0</v>
      </c>
    </row>
    <row r="24" spans="2:15" s="9" customFormat="1" ht="15.75" x14ac:dyDescent="0.25">
      <c r="B24" s="12" t="s">
        <v>47</v>
      </c>
      <c r="C24" s="37">
        <f>SUM(OUTLET!C24,GRIFFTE!C24)</f>
        <v>0</v>
      </c>
      <c r="D24" s="37">
        <f>SUM(OUTLET!D24,GRIFFTE!D24)</f>
        <v>0</v>
      </c>
      <c r="E24" s="37">
        <f>SUM(OUTLET!E24,GRIFFTE!E24)</f>
        <v>0</v>
      </c>
      <c r="F24" s="37">
        <f>SUM(OUTLET!F24,GRIFFTE!F24)</f>
        <v>0</v>
      </c>
      <c r="G24" s="37">
        <f>SUM(OUTLET!G24,GRIFFTE!G24)</f>
        <v>0</v>
      </c>
      <c r="H24" s="37">
        <f>SUM(OUTLET!H24,GRIFFTE!H24)</f>
        <v>0</v>
      </c>
      <c r="I24" s="37">
        <f>SUM(OUTLET!I24,GRIFFTE!I24)</f>
        <v>0</v>
      </c>
      <c r="J24" s="37">
        <f>SUM(OUTLET!J24,GRIFFTE!J24)</f>
        <v>0</v>
      </c>
      <c r="K24" s="37">
        <f>SUM(OUTLET!K24,GRIFFTE!K24)</f>
        <v>0</v>
      </c>
      <c r="L24" s="37">
        <f>SUM(OUTLET!L24,GRIFFTE!L24)</f>
        <v>0</v>
      </c>
      <c r="M24" s="37">
        <f>SUM(OUTLET!M24,GRIFFTE!M24)</f>
        <v>0</v>
      </c>
      <c r="N24" s="37">
        <f>SUM(OUTLET!N24,GRIFFTE!N24)</f>
        <v>0</v>
      </c>
      <c r="O24" s="5">
        <f t="shared" si="5"/>
        <v>0</v>
      </c>
    </row>
    <row r="25" spans="2:15" s="9" customFormat="1" ht="15.75" x14ac:dyDescent="0.25">
      <c r="B25" s="12" t="s">
        <v>48</v>
      </c>
      <c r="C25" s="37">
        <f>SUM(OUTLET!C25,GRIFFTE!C25)</f>
        <v>0</v>
      </c>
      <c r="D25" s="37">
        <f>SUM(OUTLET!D25,GRIFFTE!D25)</f>
        <v>0</v>
      </c>
      <c r="E25" s="37">
        <f>SUM(OUTLET!E25,GRIFFTE!E25)</f>
        <v>0</v>
      </c>
      <c r="F25" s="37">
        <f>SUM(OUTLET!F25,GRIFFTE!F25)</f>
        <v>0</v>
      </c>
      <c r="G25" s="37">
        <f>SUM(OUTLET!G25,GRIFFTE!G25)</f>
        <v>0</v>
      </c>
      <c r="H25" s="37">
        <f>SUM(OUTLET!H25,GRIFFTE!H25)</f>
        <v>0</v>
      </c>
      <c r="I25" s="37">
        <f>SUM(OUTLET!I25,GRIFFTE!I25)</f>
        <v>0</v>
      </c>
      <c r="J25" s="37">
        <f>SUM(OUTLET!J25,GRIFFTE!J25)</f>
        <v>0</v>
      </c>
      <c r="K25" s="37">
        <f>SUM(OUTLET!K25,GRIFFTE!K25)</f>
        <v>0</v>
      </c>
      <c r="L25" s="37">
        <f>SUM(OUTLET!L25,GRIFFTE!L25)</f>
        <v>0</v>
      </c>
      <c r="M25" s="37">
        <f>SUM(OUTLET!M25,GRIFFTE!M25)</f>
        <v>0</v>
      </c>
      <c r="N25" s="37">
        <f>SUM(OUTLET!N25,GRIFFTE!N25)</f>
        <v>0</v>
      </c>
      <c r="O25" s="5">
        <f t="shared" si="5"/>
        <v>0</v>
      </c>
    </row>
    <row r="26" spans="2:15" s="9" customFormat="1" ht="15.75" x14ac:dyDescent="0.25">
      <c r="B26" s="12" t="s">
        <v>49</v>
      </c>
      <c r="C26" s="37">
        <f>SUM(OUTLET!C26,GRIFFTE!C26)</f>
        <v>0</v>
      </c>
      <c r="D26" s="37">
        <f>SUM(OUTLET!D26,GRIFFTE!D26)</f>
        <v>0</v>
      </c>
      <c r="E26" s="37">
        <f>SUM(OUTLET!E26,GRIFFTE!E26)</f>
        <v>0</v>
      </c>
      <c r="F26" s="37">
        <f>SUM(OUTLET!F26,GRIFFTE!F26)</f>
        <v>0</v>
      </c>
      <c r="G26" s="37">
        <f>SUM(OUTLET!G26,GRIFFTE!G26)</f>
        <v>0</v>
      </c>
      <c r="H26" s="37">
        <f>SUM(OUTLET!H26,GRIFFTE!H26)</f>
        <v>0</v>
      </c>
      <c r="I26" s="37">
        <f>SUM(OUTLET!I26,GRIFFTE!I26)</f>
        <v>0</v>
      </c>
      <c r="J26" s="37">
        <f>SUM(OUTLET!J26,GRIFFTE!J26)</f>
        <v>0</v>
      </c>
      <c r="K26" s="37">
        <f>SUM(OUTLET!K26,GRIFFTE!K26)</f>
        <v>0</v>
      </c>
      <c r="L26" s="37">
        <f>SUM(OUTLET!L26,GRIFFTE!L26)</f>
        <v>0</v>
      </c>
      <c r="M26" s="37">
        <f>SUM(OUTLET!M26,GRIFFTE!M26)</f>
        <v>0</v>
      </c>
      <c r="N26" s="37">
        <f>SUM(OUTLET!N26,GRIFFTE!N26)</f>
        <v>0</v>
      </c>
      <c r="O26" s="5">
        <f t="shared" si="5"/>
        <v>0</v>
      </c>
    </row>
    <row r="27" spans="2:15" s="9" customFormat="1" ht="15.75" x14ac:dyDescent="0.25">
      <c r="B27" s="12" t="s">
        <v>50</v>
      </c>
      <c r="C27" s="37">
        <f>SUM(OUTLET!C27,GRIFFTE!C27)</f>
        <v>0</v>
      </c>
      <c r="D27" s="37">
        <f>SUM(OUTLET!D27,GRIFFTE!D27)</f>
        <v>0</v>
      </c>
      <c r="E27" s="37">
        <f>SUM(OUTLET!E27,GRIFFTE!E27)</f>
        <v>0</v>
      </c>
      <c r="F27" s="37">
        <f>SUM(OUTLET!F27,GRIFFTE!F27)</f>
        <v>0</v>
      </c>
      <c r="G27" s="37">
        <f>SUM(OUTLET!G27,GRIFFTE!G27)</f>
        <v>0</v>
      </c>
      <c r="H27" s="37">
        <f>SUM(OUTLET!H27,GRIFFTE!H27)</f>
        <v>0</v>
      </c>
      <c r="I27" s="37">
        <f>SUM(OUTLET!I27,GRIFFTE!I27)</f>
        <v>0</v>
      </c>
      <c r="J27" s="37">
        <f>SUM(OUTLET!J27,GRIFFTE!J27)</f>
        <v>0</v>
      </c>
      <c r="K27" s="37">
        <f>SUM(OUTLET!K27,GRIFFTE!K27)</f>
        <v>0</v>
      </c>
      <c r="L27" s="37">
        <f>SUM(OUTLET!L27,GRIFFTE!L27)</f>
        <v>0</v>
      </c>
      <c r="M27" s="37">
        <f>SUM(OUTLET!M27,GRIFFTE!M27)</f>
        <v>0</v>
      </c>
      <c r="N27" s="37">
        <f>SUM(OUTLET!N27,GRIFFTE!N27)</f>
        <v>0</v>
      </c>
      <c r="O27" s="5">
        <f t="shared" si="5"/>
        <v>0</v>
      </c>
    </row>
    <row r="28" spans="2:15" s="42" customFormat="1" ht="19.5" x14ac:dyDescent="0.4">
      <c r="B28" s="10" t="s">
        <v>51</v>
      </c>
      <c r="C28" s="40">
        <f>SUM(C29:C32)</f>
        <v>0</v>
      </c>
      <c r="D28" s="40">
        <f t="shared" ref="D28:N28" si="8">SUM(D29:D32)</f>
        <v>0</v>
      </c>
      <c r="E28" s="40">
        <f t="shared" si="8"/>
        <v>0</v>
      </c>
      <c r="F28" s="40">
        <f t="shared" si="8"/>
        <v>0</v>
      </c>
      <c r="G28" s="40">
        <f t="shared" si="8"/>
        <v>0</v>
      </c>
      <c r="H28" s="40">
        <f t="shared" si="8"/>
        <v>0</v>
      </c>
      <c r="I28" s="40">
        <f t="shared" si="8"/>
        <v>0</v>
      </c>
      <c r="J28" s="40">
        <f t="shared" si="8"/>
        <v>0</v>
      </c>
      <c r="K28" s="40">
        <f t="shared" si="8"/>
        <v>0</v>
      </c>
      <c r="L28" s="40">
        <f t="shared" si="8"/>
        <v>0</v>
      </c>
      <c r="M28" s="40">
        <f t="shared" si="8"/>
        <v>0</v>
      </c>
      <c r="N28" s="40">
        <f t="shared" si="8"/>
        <v>0</v>
      </c>
      <c r="O28" s="41">
        <f>SUM(C28:N28)</f>
        <v>0</v>
      </c>
    </row>
    <row r="29" spans="2:15" s="9" customFormat="1" ht="15.75" x14ac:dyDescent="0.25">
      <c r="B29" s="12" t="s">
        <v>52</v>
      </c>
      <c r="C29" s="37">
        <f>SUM(OUTLET!C29,GRIFFTE!C29)</f>
        <v>0</v>
      </c>
      <c r="D29" s="37">
        <f>SUM(OUTLET!D29,GRIFFTE!D29)</f>
        <v>0</v>
      </c>
      <c r="E29" s="37">
        <f>SUM(OUTLET!E29,GRIFFTE!E29)</f>
        <v>0</v>
      </c>
      <c r="F29" s="37">
        <f>SUM(OUTLET!F29,GRIFFTE!F29)</f>
        <v>0</v>
      </c>
      <c r="G29" s="37">
        <f>SUM(OUTLET!G29,GRIFFTE!G29)</f>
        <v>0</v>
      </c>
      <c r="H29" s="37">
        <f>SUM(OUTLET!H29,GRIFFTE!H29)</f>
        <v>0</v>
      </c>
      <c r="I29" s="37">
        <f>SUM(OUTLET!I29,GRIFFTE!I29)</f>
        <v>0</v>
      </c>
      <c r="J29" s="37">
        <f>SUM(OUTLET!J29,GRIFFTE!J29)</f>
        <v>0</v>
      </c>
      <c r="K29" s="37">
        <f>SUM(OUTLET!K29,GRIFFTE!K29)</f>
        <v>0</v>
      </c>
      <c r="L29" s="37">
        <f>SUM(OUTLET!L29,GRIFFTE!L29)</f>
        <v>0</v>
      </c>
      <c r="M29" s="37">
        <f>SUM(OUTLET!M29,GRIFFTE!M29)</f>
        <v>0</v>
      </c>
      <c r="N29" s="37">
        <f>SUM(OUTLET!N29,GRIFFTE!N29)</f>
        <v>0</v>
      </c>
      <c r="O29" s="5">
        <f>SUM(C29:N29)</f>
        <v>0</v>
      </c>
    </row>
    <row r="30" spans="2:15" s="9" customFormat="1" ht="15.75" x14ac:dyDescent="0.25">
      <c r="B30" s="12" t="s">
        <v>53</v>
      </c>
      <c r="C30" s="37">
        <f>SUM(OUTLET!C30,GRIFFTE!C30)</f>
        <v>0</v>
      </c>
      <c r="D30" s="37">
        <f>SUM(OUTLET!D30,GRIFFTE!D30)</f>
        <v>0</v>
      </c>
      <c r="E30" s="37">
        <f>SUM(OUTLET!E30,GRIFFTE!E30)</f>
        <v>0</v>
      </c>
      <c r="F30" s="37">
        <f>SUM(OUTLET!F30,GRIFFTE!F30)</f>
        <v>0</v>
      </c>
      <c r="G30" s="37">
        <f>SUM(OUTLET!G30,GRIFFTE!G30)</f>
        <v>0</v>
      </c>
      <c r="H30" s="37">
        <f>SUM(OUTLET!H30,GRIFFTE!H30)</f>
        <v>0</v>
      </c>
      <c r="I30" s="37">
        <f>SUM(OUTLET!I30,GRIFFTE!I30)</f>
        <v>0</v>
      </c>
      <c r="J30" s="37">
        <f>SUM(OUTLET!J30,GRIFFTE!J30)</f>
        <v>0</v>
      </c>
      <c r="K30" s="37">
        <f>SUM(OUTLET!K30,GRIFFTE!K30)</f>
        <v>0</v>
      </c>
      <c r="L30" s="37">
        <f>SUM(OUTLET!L30,GRIFFTE!L30)</f>
        <v>0</v>
      </c>
      <c r="M30" s="37">
        <f>SUM(OUTLET!M30,GRIFFTE!M30)</f>
        <v>0</v>
      </c>
      <c r="N30" s="37">
        <f>SUM(OUTLET!N30,GRIFFTE!N30)</f>
        <v>0</v>
      </c>
      <c r="O30" s="5">
        <f t="shared" si="5"/>
        <v>0</v>
      </c>
    </row>
    <row r="31" spans="2:15" s="9" customFormat="1" ht="15.75" x14ac:dyDescent="0.25">
      <c r="B31" s="12" t="s">
        <v>54</v>
      </c>
      <c r="C31" s="37">
        <f>SUM(OUTLET!C31,GRIFFTE!C31)</f>
        <v>0</v>
      </c>
      <c r="D31" s="37">
        <f>SUM(OUTLET!D31,GRIFFTE!D31)</f>
        <v>0</v>
      </c>
      <c r="E31" s="37">
        <f>SUM(OUTLET!E31,GRIFFTE!E31)</f>
        <v>0</v>
      </c>
      <c r="F31" s="37">
        <f>SUM(OUTLET!F31,GRIFFTE!F31)</f>
        <v>0</v>
      </c>
      <c r="G31" s="37">
        <f>SUM(OUTLET!G31,GRIFFTE!G31)</f>
        <v>0</v>
      </c>
      <c r="H31" s="37">
        <f>SUM(OUTLET!H31,GRIFFTE!H31)</f>
        <v>0</v>
      </c>
      <c r="I31" s="37">
        <f>SUM(OUTLET!I31,GRIFFTE!I31)</f>
        <v>0</v>
      </c>
      <c r="J31" s="37">
        <f>SUM(OUTLET!J31,GRIFFTE!J31)</f>
        <v>0</v>
      </c>
      <c r="K31" s="37">
        <f>SUM(OUTLET!K31,GRIFFTE!K31)</f>
        <v>0</v>
      </c>
      <c r="L31" s="37">
        <f>SUM(OUTLET!L31,GRIFFTE!L31)</f>
        <v>0</v>
      </c>
      <c r="M31" s="37">
        <f>SUM(OUTLET!M31,GRIFFTE!M31)</f>
        <v>0</v>
      </c>
      <c r="N31" s="37">
        <f>SUM(OUTLET!N31,GRIFFTE!N31)</f>
        <v>0</v>
      </c>
      <c r="O31" s="5">
        <f t="shared" si="5"/>
        <v>0</v>
      </c>
    </row>
    <row r="32" spans="2:15" s="9" customFormat="1" ht="15.75" x14ac:dyDescent="0.25">
      <c r="B32" s="12" t="s">
        <v>55</v>
      </c>
      <c r="C32" s="37">
        <f>SUM(OUTLET!C32,GRIFFTE!C32)</f>
        <v>0</v>
      </c>
      <c r="D32" s="37">
        <f>SUM(OUTLET!D32,GRIFFTE!D32)</f>
        <v>0</v>
      </c>
      <c r="E32" s="37">
        <f>SUM(OUTLET!E32,GRIFFTE!E32)</f>
        <v>0</v>
      </c>
      <c r="F32" s="37">
        <f>SUM(OUTLET!F32,GRIFFTE!F32)</f>
        <v>0</v>
      </c>
      <c r="G32" s="37">
        <f>SUM(OUTLET!G32,GRIFFTE!G32)</f>
        <v>0</v>
      </c>
      <c r="H32" s="37">
        <f>SUM(OUTLET!H32,GRIFFTE!H32)</f>
        <v>0</v>
      </c>
      <c r="I32" s="37">
        <f>SUM(OUTLET!I32,GRIFFTE!I32)</f>
        <v>0</v>
      </c>
      <c r="J32" s="37">
        <f>SUM(OUTLET!J32,GRIFFTE!J32)</f>
        <v>0</v>
      </c>
      <c r="K32" s="37">
        <f>SUM(OUTLET!K32,GRIFFTE!K32)</f>
        <v>0</v>
      </c>
      <c r="L32" s="37">
        <f>SUM(OUTLET!L32,GRIFFTE!L32)</f>
        <v>0</v>
      </c>
      <c r="M32" s="37">
        <f>SUM(OUTLET!M32,GRIFFTE!M32)</f>
        <v>0</v>
      </c>
      <c r="N32" s="37">
        <f>SUM(OUTLET!N32,GRIFFTE!N32)</f>
        <v>0</v>
      </c>
      <c r="O32" s="5">
        <f t="shared" si="5"/>
        <v>0</v>
      </c>
    </row>
    <row r="33" spans="2:15" s="42" customFormat="1" ht="19.5" x14ac:dyDescent="0.4">
      <c r="B33" s="10" t="s">
        <v>56</v>
      </c>
      <c r="C33" s="40">
        <f>SUM(C34:C36)</f>
        <v>0</v>
      </c>
      <c r="D33" s="40">
        <f t="shared" ref="D33:N33" si="9">SUM(D34:D36)</f>
        <v>0</v>
      </c>
      <c r="E33" s="40">
        <f t="shared" si="9"/>
        <v>0</v>
      </c>
      <c r="F33" s="40">
        <f t="shared" si="9"/>
        <v>0</v>
      </c>
      <c r="G33" s="40">
        <f t="shared" si="9"/>
        <v>0</v>
      </c>
      <c r="H33" s="40">
        <f t="shared" si="9"/>
        <v>0</v>
      </c>
      <c r="I33" s="40">
        <f t="shared" si="9"/>
        <v>0</v>
      </c>
      <c r="J33" s="40">
        <f t="shared" si="9"/>
        <v>0</v>
      </c>
      <c r="K33" s="40">
        <f t="shared" si="9"/>
        <v>0</v>
      </c>
      <c r="L33" s="40">
        <f t="shared" si="9"/>
        <v>0</v>
      </c>
      <c r="M33" s="40">
        <f t="shared" si="9"/>
        <v>0</v>
      </c>
      <c r="N33" s="40">
        <f t="shared" si="9"/>
        <v>0</v>
      </c>
      <c r="O33" s="41">
        <f t="shared" si="5"/>
        <v>0</v>
      </c>
    </row>
    <row r="34" spans="2:15" s="9" customFormat="1" ht="15.75" x14ac:dyDescent="0.25">
      <c r="B34" s="12" t="s">
        <v>57</v>
      </c>
      <c r="C34" s="37">
        <f>SUM(OUTLET!C34,GRIFFTE!C34)</f>
        <v>0</v>
      </c>
      <c r="D34" s="37">
        <f>SUM(OUTLET!D34,GRIFFTE!D34)</f>
        <v>0</v>
      </c>
      <c r="E34" s="37">
        <f>SUM(OUTLET!E34,GRIFFTE!E34)</f>
        <v>0</v>
      </c>
      <c r="F34" s="37">
        <f>SUM(OUTLET!F34,GRIFFTE!F34)</f>
        <v>0</v>
      </c>
      <c r="G34" s="37">
        <f>SUM(OUTLET!G34,GRIFFTE!G34)</f>
        <v>0</v>
      </c>
      <c r="H34" s="37">
        <f>SUM(OUTLET!H34,GRIFFTE!H34)</f>
        <v>0</v>
      </c>
      <c r="I34" s="37">
        <f>SUM(OUTLET!I34,GRIFFTE!I34)</f>
        <v>0</v>
      </c>
      <c r="J34" s="37">
        <f>SUM(OUTLET!J34,GRIFFTE!J34)</f>
        <v>0</v>
      </c>
      <c r="K34" s="37">
        <f>SUM(OUTLET!K34,GRIFFTE!K34)</f>
        <v>0</v>
      </c>
      <c r="L34" s="37">
        <f>SUM(OUTLET!L34,GRIFFTE!L34)</f>
        <v>0</v>
      </c>
      <c r="M34" s="37">
        <f>SUM(OUTLET!M34,GRIFFTE!M34)</f>
        <v>0</v>
      </c>
      <c r="N34" s="37">
        <f>SUM(OUTLET!N34,GRIFFTE!N34)</f>
        <v>0</v>
      </c>
      <c r="O34" s="5">
        <f t="shared" si="5"/>
        <v>0</v>
      </c>
    </row>
    <row r="35" spans="2:15" s="9" customFormat="1" ht="15.75" x14ac:dyDescent="0.25">
      <c r="B35" s="12" t="s">
        <v>58</v>
      </c>
      <c r="C35" s="37">
        <f>SUM(OUTLET!C35,GRIFFTE!C35)</f>
        <v>0</v>
      </c>
      <c r="D35" s="37">
        <f>SUM(OUTLET!D35,GRIFFTE!D35)</f>
        <v>0</v>
      </c>
      <c r="E35" s="37">
        <f>SUM(OUTLET!E35,GRIFFTE!E35)</f>
        <v>0</v>
      </c>
      <c r="F35" s="37">
        <f>SUM(OUTLET!F35,GRIFFTE!F35)</f>
        <v>0</v>
      </c>
      <c r="G35" s="37">
        <f>SUM(OUTLET!G35,GRIFFTE!G35)</f>
        <v>0</v>
      </c>
      <c r="H35" s="37">
        <f>SUM(OUTLET!H35,GRIFFTE!H35)</f>
        <v>0</v>
      </c>
      <c r="I35" s="37">
        <f>SUM(OUTLET!I35,GRIFFTE!I35)</f>
        <v>0</v>
      </c>
      <c r="J35" s="37">
        <f>SUM(OUTLET!J35,GRIFFTE!J35)</f>
        <v>0</v>
      </c>
      <c r="K35" s="37">
        <f>SUM(OUTLET!K35,GRIFFTE!K35)</f>
        <v>0</v>
      </c>
      <c r="L35" s="37">
        <f>SUM(OUTLET!L35,GRIFFTE!L35)</f>
        <v>0</v>
      </c>
      <c r="M35" s="37">
        <f>SUM(OUTLET!M35,GRIFFTE!M35)</f>
        <v>0</v>
      </c>
      <c r="N35" s="37">
        <f>SUM(OUTLET!N35,GRIFFTE!N35)</f>
        <v>0</v>
      </c>
      <c r="O35" s="5">
        <f t="shared" si="5"/>
        <v>0</v>
      </c>
    </row>
    <row r="36" spans="2:15" s="9" customFormat="1" ht="15.75" x14ac:dyDescent="0.25">
      <c r="B36" s="12" t="s">
        <v>59</v>
      </c>
      <c r="C36" s="37">
        <f>SUM(OUTLET!C36,GRIFFTE!C36)</f>
        <v>0</v>
      </c>
      <c r="D36" s="37">
        <f>SUM(OUTLET!D36,GRIFFTE!D36)</f>
        <v>0</v>
      </c>
      <c r="E36" s="37">
        <f>SUM(OUTLET!E36,GRIFFTE!E36)</f>
        <v>0</v>
      </c>
      <c r="F36" s="37">
        <f>SUM(OUTLET!F36,GRIFFTE!F36)</f>
        <v>0</v>
      </c>
      <c r="G36" s="37">
        <f>SUM(OUTLET!G36,GRIFFTE!G36)</f>
        <v>0</v>
      </c>
      <c r="H36" s="37">
        <f>SUM(OUTLET!H36,GRIFFTE!H36)</f>
        <v>0</v>
      </c>
      <c r="I36" s="37">
        <f>SUM(OUTLET!I36,GRIFFTE!I36)</f>
        <v>0</v>
      </c>
      <c r="J36" s="37">
        <f>SUM(OUTLET!J36,GRIFFTE!J36)</f>
        <v>0</v>
      </c>
      <c r="K36" s="37">
        <f>SUM(OUTLET!K36,GRIFFTE!K36)</f>
        <v>0</v>
      </c>
      <c r="L36" s="37">
        <f>SUM(OUTLET!L36,GRIFFTE!L36)</f>
        <v>0</v>
      </c>
      <c r="M36" s="37">
        <f>SUM(OUTLET!M36,GRIFFTE!M36)</f>
        <v>0</v>
      </c>
      <c r="N36" s="37">
        <f>SUM(OUTLET!N36,GRIFFTE!N36)</f>
        <v>0</v>
      </c>
      <c r="O36" s="5">
        <f t="shared" si="5"/>
        <v>0</v>
      </c>
    </row>
    <row r="37" spans="2:15" s="42" customFormat="1" ht="19.5" x14ac:dyDescent="0.4">
      <c r="B37" s="10" t="s">
        <v>60</v>
      </c>
      <c r="C37" s="40">
        <f>SUM(C38:C39)</f>
        <v>16500</v>
      </c>
      <c r="D37" s="40">
        <f t="shared" ref="D37:N37" si="10">SUM(D38:D39)</f>
        <v>29500</v>
      </c>
      <c r="E37" s="40">
        <f t="shared" si="10"/>
        <v>29500</v>
      </c>
      <c r="F37" s="40">
        <f t="shared" si="10"/>
        <v>29500</v>
      </c>
      <c r="G37" s="40">
        <f t="shared" si="10"/>
        <v>29500</v>
      </c>
      <c r="H37" s="40">
        <f t="shared" si="10"/>
        <v>29500</v>
      </c>
      <c r="I37" s="40">
        <f t="shared" si="10"/>
        <v>29500</v>
      </c>
      <c r="J37" s="40">
        <f t="shared" si="10"/>
        <v>29500</v>
      </c>
      <c r="K37" s="40">
        <f t="shared" si="10"/>
        <v>29500</v>
      </c>
      <c r="L37" s="40">
        <f t="shared" si="10"/>
        <v>29500</v>
      </c>
      <c r="M37" s="40">
        <f t="shared" si="10"/>
        <v>29500</v>
      </c>
      <c r="N37" s="40">
        <f t="shared" si="10"/>
        <v>16500</v>
      </c>
      <c r="O37" s="41">
        <f t="shared" si="5"/>
        <v>328000</v>
      </c>
    </row>
    <row r="38" spans="2:15" s="9" customFormat="1" ht="15.75" x14ac:dyDescent="0.25">
      <c r="B38" s="12" t="s">
        <v>61</v>
      </c>
      <c r="C38" s="37">
        <f>SUM(OUTLET!C38,GRIFFTE!C38)</f>
        <v>16500</v>
      </c>
      <c r="D38" s="37">
        <f>SUM(OUTLET!D38,GRIFFTE!D38)</f>
        <v>16500</v>
      </c>
      <c r="E38" s="37">
        <f>SUM(OUTLET!E38,GRIFFTE!E38)</f>
        <v>16500</v>
      </c>
      <c r="F38" s="37">
        <f>SUM(OUTLET!F38,GRIFFTE!F38)</f>
        <v>16500</v>
      </c>
      <c r="G38" s="37">
        <f>SUM(OUTLET!G38,GRIFFTE!G38)</f>
        <v>16500</v>
      </c>
      <c r="H38" s="37">
        <f>SUM(OUTLET!H38,GRIFFTE!H38)</f>
        <v>16500</v>
      </c>
      <c r="I38" s="37">
        <f>SUM(OUTLET!I38,GRIFFTE!I38)</f>
        <v>16500</v>
      </c>
      <c r="J38" s="37">
        <f>SUM(OUTLET!J38,GRIFFTE!J38)</f>
        <v>16500</v>
      </c>
      <c r="K38" s="37">
        <f>SUM(OUTLET!K38,GRIFFTE!K38)</f>
        <v>16500</v>
      </c>
      <c r="L38" s="37">
        <f>SUM(OUTLET!L38,GRIFFTE!L38)</f>
        <v>16500</v>
      </c>
      <c r="M38" s="37">
        <f>SUM(OUTLET!M38,GRIFFTE!M38)</f>
        <v>16500</v>
      </c>
      <c r="N38" s="37">
        <f>SUM(OUTLET!N38,GRIFFTE!N38)</f>
        <v>16500</v>
      </c>
      <c r="O38" s="5">
        <f t="shared" si="5"/>
        <v>198000</v>
      </c>
    </row>
    <row r="39" spans="2:15" s="9" customFormat="1" ht="15.75" x14ac:dyDescent="0.25">
      <c r="B39" s="12" t="s">
        <v>62</v>
      </c>
      <c r="C39" s="37">
        <f>SUM(OUTLET!C39,GRIFFTE!C39)</f>
        <v>0</v>
      </c>
      <c r="D39" s="37">
        <f>SUM(OUTLET!D39,GRIFFTE!D39)</f>
        <v>13000</v>
      </c>
      <c r="E39" s="37">
        <f>SUM(OUTLET!E39,GRIFFTE!E39)</f>
        <v>13000</v>
      </c>
      <c r="F39" s="37">
        <f>SUM(OUTLET!F39,GRIFFTE!F39)</f>
        <v>13000</v>
      </c>
      <c r="G39" s="37">
        <f>SUM(OUTLET!G39,GRIFFTE!G39)</f>
        <v>13000</v>
      </c>
      <c r="H39" s="37">
        <f>SUM(OUTLET!H39,GRIFFTE!H39)</f>
        <v>13000</v>
      </c>
      <c r="I39" s="37">
        <f>SUM(OUTLET!I39,GRIFFTE!I39)</f>
        <v>13000</v>
      </c>
      <c r="J39" s="37">
        <f>SUM(OUTLET!J39,GRIFFTE!J39)</f>
        <v>13000</v>
      </c>
      <c r="K39" s="37">
        <f>SUM(OUTLET!K39,GRIFFTE!K39)</f>
        <v>13000</v>
      </c>
      <c r="L39" s="37">
        <f>SUM(OUTLET!L39,GRIFFTE!L39)</f>
        <v>13000</v>
      </c>
      <c r="M39" s="37">
        <f>SUM(OUTLET!M39,GRIFFTE!M39)</f>
        <v>13000</v>
      </c>
      <c r="N39" s="37">
        <f>SUM(OUTLET!N39,GRIFFTE!N39)</f>
        <v>0</v>
      </c>
      <c r="O39" s="5">
        <f t="shared" si="5"/>
        <v>130000</v>
      </c>
    </row>
    <row r="40" spans="2:15" s="42" customFormat="1" ht="19.5" x14ac:dyDescent="0.4">
      <c r="B40" s="10" t="s">
        <v>63</v>
      </c>
      <c r="C40" s="40">
        <f>SUM(C41:C42)</f>
        <v>0</v>
      </c>
      <c r="D40" s="40">
        <f t="shared" ref="D40:N40" si="11">SUM(D41:D42)</f>
        <v>0</v>
      </c>
      <c r="E40" s="40">
        <f t="shared" si="11"/>
        <v>0</v>
      </c>
      <c r="F40" s="40">
        <f t="shared" si="11"/>
        <v>0</v>
      </c>
      <c r="G40" s="40">
        <f t="shared" si="11"/>
        <v>0</v>
      </c>
      <c r="H40" s="40">
        <f t="shared" si="11"/>
        <v>0</v>
      </c>
      <c r="I40" s="40">
        <f t="shared" si="11"/>
        <v>0</v>
      </c>
      <c r="J40" s="40">
        <f t="shared" si="11"/>
        <v>0</v>
      </c>
      <c r="K40" s="40">
        <f t="shared" si="11"/>
        <v>0</v>
      </c>
      <c r="L40" s="40">
        <f t="shared" si="11"/>
        <v>0</v>
      </c>
      <c r="M40" s="40">
        <f t="shared" si="11"/>
        <v>0</v>
      </c>
      <c r="N40" s="40">
        <f t="shared" si="11"/>
        <v>0</v>
      </c>
      <c r="O40" s="41">
        <f t="shared" si="5"/>
        <v>0</v>
      </c>
    </row>
    <row r="41" spans="2:15" s="9" customFormat="1" ht="15.75" x14ac:dyDescent="0.25">
      <c r="B41" s="12" t="s">
        <v>64</v>
      </c>
      <c r="C41" s="37">
        <f>SUM(OUTLET!C41,GRIFFTE!C41)</f>
        <v>0</v>
      </c>
      <c r="D41" s="37">
        <f>SUM(OUTLET!D41,GRIFFTE!D41)</f>
        <v>0</v>
      </c>
      <c r="E41" s="37">
        <f>SUM(OUTLET!E41,GRIFFTE!E41)</f>
        <v>0</v>
      </c>
      <c r="F41" s="37">
        <f>SUM(OUTLET!F41,GRIFFTE!F41)</f>
        <v>0</v>
      </c>
      <c r="G41" s="37">
        <f>SUM(OUTLET!G41,GRIFFTE!G41)</f>
        <v>0</v>
      </c>
      <c r="H41" s="37">
        <f>SUM(OUTLET!H41,GRIFFTE!H41)</f>
        <v>0</v>
      </c>
      <c r="I41" s="37">
        <f>SUM(OUTLET!I41,GRIFFTE!I41)</f>
        <v>0</v>
      </c>
      <c r="J41" s="37">
        <f>SUM(OUTLET!J41,GRIFFTE!J41)</f>
        <v>0</v>
      </c>
      <c r="K41" s="37">
        <f>SUM(OUTLET!K41,GRIFFTE!K41)</f>
        <v>0</v>
      </c>
      <c r="L41" s="37">
        <f>SUM(OUTLET!L41,GRIFFTE!L41)</f>
        <v>0</v>
      </c>
      <c r="M41" s="37">
        <f>SUM(OUTLET!M41,GRIFFTE!M41)</f>
        <v>0</v>
      </c>
      <c r="N41" s="37">
        <f>SUM(OUTLET!N41,GRIFFTE!N41)</f>
        <v>0</v>
      </c>
      <c r="O41" s="5">
        <f t="shared" si="5"/>
        <v>0</v>
      </c>
    </row>
    <row r="42" spans="2:15" s="9" customFormat="1" ht="15.75" x14ac:dyDescent="0.25">
      <c r="B42" s="12" t="s">
        <v>65</v>
      </c>
      <c r="C42" s="37">
        <f>SUM(OUTLET!C42,GRIFFTE!C42)</f>
        <v>0</v>
      </c>
      <c r="D42" s="37">
        <f>SUM(OUTLET!D42,GRIFFTE!D42)</f>
        <v>0</v>
      </c>
      <c r="E42" s="37">
        <f>SUM(OUTLET!E42,GRIFFTE!E42)</f>
        <v>0</v>
      </c>
      <c r="F42" s="37">
        <f>SUM(OUTLET!F42,GRIFFTE!F42)</f>
        <v>0</v>
      </c>
      <c r="G42" s="37">
        <f>SUM(OUTLET!G42,GRIFFTE!G42)</f>
        <v>0</v>
      </c>
      <c r="H42" s="37">
        <f>SUM(OUTLET!H42,GRIFFTE!H42)</f>
        <v>0</v>
      </c>
      <c r="I42" s="37">
        <f>SUM(OUTLET!I42,GRIFFTE!I42)</f>
        <v>0</v>
      </c>
      <c r="J42" s="37">
        <f>SUM(OUTLET!J42,GRIFFTE!J42)</f>
        <v>0</v>
      </c>
      <c r="K42" s="37">
        <f>SUM(OUTLET!K42,GRIFFTE!K42)</f>
        <v>0</v>
      </c>
      <c r="L42" s="37">
        <f>SUM(OUTLET!L42,GRIFFTE!L42)</f>
        <v>0</v>
      </c>
      <c r="M42" s="37">
        <f>SUM(OUTLET!M42,GRIFFTE!M42)</f>
        <v>0</v>
      </c>
      <c r="N42" s="37">
        <f>SUM(OUTLET!N42,GRIFFTE!N42)</f>
        <v>0</v>
      </c>
      <c r="O42" s="5">
        <f t="shared" si="5"/>
        <v>0</v>
      </c>
    </row>
    <row r="43" spans="2:15" s="42" customFormat="1" ht="19.5" x14ac:dyDescent="0.4">
      <c r="B43" s="10" t="s">
        <v>66</v>
      </c>
      <c r="C43" s="40">
        <f t="shared" ref="C43" si="12">SUM(C44:C46)</f>
        <v>0</v>
      </c>
      <c r="D43" s="40">
        <f t="shared" ref="D43:N43" si="13">SUM(D44:D46)</f>
        <v>0</v>
      </c>
      <c r="E43" s="40">
        <f t="shared" si="13"/>
        <v>0</v>
      </c>
      <c r="F43" s="40">
        <f t="shared" si="13"/>
        <v>0</v>
      </c>
      <c r="G43" s="40">
        <f t="shared" si="13"/>
        <v>0</v>
      </c>
      <c r="H43" s="40">
        <f t="shared" si="13"/>
        <v>0</v>
      </c>
      <c r="I43" s="40">
        <f t="shared" si="13"/>
        <v>0</v>
      </c>
      <c r="J43" s="40">
        <f t="shared" si="13"/>
        <v>0</v>
      </c>
      <c r="K43" s="40">
        <f t="shared" si="13"/>
        <v>0</v>
      </c>
      <c r="L43" s="40">
        <f t="shared" si="13"/>
        <v>0</v>
      </c>
      <c r="M43" s="40">
        <f t="shared" si="13"/>
        <v>0</v>
      </c>
      <c r="N43" s="40">
        <f t="shared" si="13"/>
        <v>0</v>
      </c>
      <c r="O43" s="41">
        <f t="shared" si="5"/>
        <v>0</v>
      </c>
    </row>
    <row r="44" spans="2:15" s="9" customFormat="1" ht="15.75" x14ac:dyDescent="0.25">
      <c r="B44" s="47" t="s">
        <v>247</v>
      </c>
      <c r="C44" s="37">
        <f>SUM(OUTLET!C44,GRIFFTE!C44)</f>
        <v>0</v>
      </c>
      <c r="D44" s="37">
        <f>SUM(OUTLET!D44,GRIFFTE!D44)</f>
        <v>0</v>
      </c>
      <c r="E44" s="37">
        <f>SUM(OUTLET!E44,GRIFFTE!E44)</f>
        <v>0</v>
      </c>
      <c r="F44" s="37">
        <f>SUM(OUTLET!F44,GRIFFTE!F44)</f>
        <v>0</v>
      </c>
      <c r="G44" s="37">
        <f>SUM(OUTLET!G44,GRIFFTE!G44)</f>
        <v>0</v>
      </c>
      <c r="H44" s="37">
        <f>SUM(OUTLET!H44,GRIFFTE!H44)</f>
        <v>0</v>
      </c>
      <c r="I44" s="37">
        <f>SUM(OUTLET!I44,GRIFFTE!I44)</f>
        <v>0</v>
      </c>
      <c r="J44" s="37">
        <f>SUM(OUTLET!J44,GRIFFTE!J44)</f>
        <v>0</v>
      </c>
      <c r="K44" s="37">
        <f>SUM(OUTLET!K44,GRIFFTE!K44)</f>
        <v>0</v>
      </c>
      <c r="L44" s="37">
        <f>SUM(OUTLET!L44,GRIFFTE!L44)</f>
        <v>0</v>
      </c>
      <c r="M44" s="37">
        <f>SUM(OUTLET!M44,GRIFFTE!M44)</f>
        <v>0</v>
      </c>
      <c r="N44" s="37">
        <f>SUM(OUTLET!N44,GRIFFTE!N44)</f>
        <v>0</v>
      </c>
      <c r="O44" s="46">
        <f t="shared" si="5"/>
        <v>0</v>
      </c>
    </row>
    <row r="45" spans="2:15" s="9" customFormat="1" ht="15.75" x14ac:dyDescent="0.25">
      <c r="B45" s="12" t="s">
        <v>68</v>
      </c>
      <c r="C45" s="37">
        <f>SUM(OUTLET!C45,GRIFFTE!C45)</f>
        <v>0</v>
      </c>
      <c r="D45" s="37">
        <f>SUM(OUTLET!D45,GRIFFTE!D45)</f>
        <v>0</v>
      </c>
      <c r="E45" s="37">
        <f>SUM(OUTLET!E45,GRIFFTE!E45)</f>
        <v>0</v>
      </c>
      <c r="F45" s="37">
        <f>SUM(OUTLET!F45,GRIFFTE!F45)</f>
        <v>0</v>
      </c>
      <c r="G45" s="37">
        <f>SUM(OUTLET!G45,GRIFFTE!G45)</f>
        <v>0</v>
      </c>
      <c r="H45" s="37">
        <f>SUM(OUTLET!H45,GRIFFTE!H45)</f>
        <v>0</v>
      </c>
      <c r="I45" s="37">
        <f>SUM(OUTLET!I45,GRIFFTE!I45)</f>
        <v>0</v>
      </c>
      <c r="J45" s="37">
        <f>SUM(OUTLET!J45,GRIFFTE!J45)</f>
        <v>0</v>
      </c>
      <c r="K45" s="37">
        <f>SUM(OUTLET!K45,GRIFFTE!K45)</f>
        <v>0</v>
      </c>
      <c r="L45" s="37">
        <f>SUM(OUTLET!L45,GRIFFTE!L45)</f>
        <v>0</v>
      </c>
      <c r="M45" s="37">
        <f>SUM(OUTLET!M45,GRIFFTE!M45)</f>
        <v>0</v>
      </c>
      <c r="N45" s="37">
        <f>SUM(OUTLET!N45,GRIFFTE!N45)</f>
        <v>0</v>
      </c>
      <c r="O45" s="5">
        <f t="shared" si="5"/>
        <v>0</v>
      </c>
    </row>
    <row r="46" spans="2:15" s="9" customFormat="1" ht="15.75" x14ac:dyDescent="0.25">
      <c r="B46" s="12"/>
      <c r="C46" s="37">
        <f>SUM(OUTLET!C46,GRIFFTE!C46)</f>
        <v>0</v>
      </c>
      <c r="D46" s="37">
        <f>SUM(OUTLET!D46,GRIFFTE!D46)</f>
        <v>0</v>
      </c>
      <c r="E46" s="37">
        <f>SUM(OUTLET!E46,GRIFFTE!E46)</f>
        <v>0</v>
      </c>
      <c r="F46" s="37">
        <f>SUM(OUTLET!F46,GRIFFTE!F46)</f>
        <v>0</v>
      </c>
      <c r="G46" s="37">
        <f>SUM(OUTLET!G46,GRIFFTE!G46)</f>
        <v>0</v>
      </c>
      <c r="H46" s="37">
        <f>SUM(OUTLET!H46,GRIFFTE!H46)</f>
        <v>0</v>
      </c>
      <c r="I46" s="37">
        <f>SUM(OUTLET!I46,GRIFFTE!I46)</f>
        <v>0</v>
      </c>
      <c r="J46" s="37">
        <f>SUM(OUTLET!J46,GRIFFTE!J46)</f>
        <v>0</v>
      </c>
      <c r="K46" s="37">
        <f>SUM(OUTLET!K46,GRIFFTE!K46)</f>
        <v>0</v>
      </c>
      <c r="L46" s="37">
        <f>SUM(OUTLET!L46,GRIFFTE!L46)</f>
        <v>0</v>
      </c>
      <c r="M46" s="37">
        <f>SUM(OUTLET!M46,GRIFFTE!M46)</f>
        <v>0</v>
      </c>
      <c r="N46" s="37">
        <f>SUM(OUTLET!N46,GRIFFTE!N46)</f>
        <v>0</v>
      </c>
      <c r="O46" s="5">
        <f t="shared" si="5"/>
        <v>0</v>
      </c>
    </row>
    <row r="47" spans="2:15" s="9" customFormat="1" ht="19.5" x14ac:dyDescent="0.25">
      <c r="B47" s="19" t="s">
        <v>69</v>
      </c>
      <c r="C47" s="48">
        <f>SUM(C48,C50,C53,C75,C99,C105,C116,C120,C123,C126,C130,C133)</f>
        <v>24725</v>
      </c>
      <c r="D47" s="48">
        <f t="shared" ref="D47:N47" si="14">SUM(D48,D50,D53,D75,D99,D105,D116,D120,D123,D126,D130,D133)</f>
        <v>20875</v>
      </c>
      <c r="E47" s="48">
        <f t="shared" si="14"/>
        <v>20975</v>
      </c>
      <c r="F47" s="48">
        <f t="shared" si="14"/>
        <v>21275</v>
      </c>
      <c r="G47" s="48">
        <f t="shared" si="14"/>
        <v>20935</v>
      </c>
      <c r="H47" s="48">
        <f t="shared" si="14"/>
        <v>20925</v>
      </c>
      <c r="I47" s="48">
        <f t="shared" si="14"/>
        <v>20875</v>
      </c>
      <c r="J47" s="48">
        <f t="shared" si="14"/>
        <v>20875</v>
      </c>
      <c r="K47" s="48">
        <f t="shared" si="14"/>
        <v>20925</v>
      </c>
      <c r="L47" s="48">
        <f t="shared" si="14"/>
        <v>20875</v>
      </c>
      <c r="M47" s="48">
        <f t="shared" si="14"/>
        <v>20925</v>
      </c>
      <c r="N47" s="48">
        <f t="shared" si="14"/>
        <v>21075</v>
      </c>
      <c r="O47" s="6">
        <f t="shared" si="5"/>
        <v>255260</v>
      </c>
    </row>
    <row r="48" spans="2:15" s="42" customFormat="1" ht="19.5" x14ac:dyDescent="0.4">
      <c r="B48" s="15" t="s">
        <v>70</v>
      </c>
      <c r="C48" s="43">
        <f>SUM(C49)</f>
        <v>800</v>
      </c>
      <c r="D48" s="43">
        <f t="shared" ref="D48:N48" si="15">SUM(D49)</f>
        <v>800</v>
      </c>
      <c r="E48" s="43">
        <f t="shared" si="15"/>
        <v>800</v>
      </c>
      <c r="F48" s="43">
        <f t="shared" si="15"/>
        <v>800</v>
      </c>
      <c r="G48" s="43">
        <f t="shared" si="15"/>
        <v>800</v>
      </c>
      <c r="H48" s="43">
        <f t="shared" si="15"/>
        <v>800</v>
      </c>
      <c r="I48" s="43">
        <f t="shared" si="15"/>
        <v>800</v>
      </c>
      <c r="J48" s="43">
        <f t="shared" si="15"/>
        <v>800</v>
      </c>
      <c r="K48" s="43">
        <f t="shared" si="15"/>
        <v>800</v>
      </c>
      <c r="L48" s="43">
        <f t="shared" si="15"/>
        <v>800</v>
      </c>
      <c r="M48" s="43">
        <f t="shared" si="15"/>
        <v>800</v>
      </c>
      <c r="N48" s="43">
        <f t="shared" si="15"/>
        <v>800</v>
      </c>
      <c r="O48" s="44">
        <f t="shared" si="5"/>
        <v>9600</v>
      </c>
    </row>
    <row r="49" spans="2:15" s="9" customFormat="1" ht="15.75" x14ac:dyDescent="0.25">
      <c r="B49" s="12" t="s">
        <v>71</v>
      </c>
      <c r="C49" s="37">
        <f>SUM(OUTLET!C49,GRIFFTE!C49)</f>
        <v>800</v>
      </c>
      <c r="D49" s="37">
        <f>SUM(OUTLET!D49,GRIFFTE!D49)</f>
        <v>800</v>
      </c>
      <c r="E49" s="37">
        <f>SUM(OUTLET!E49,GRIFFTE!E49)</f>
        <v>800</v>
      </c>
      <c r="F49" s="37">
        <f>SUM(OUTLET!F49,GRIFFTE!F49)</f>
        <v>800</v>
      </c>
      <c r="G49" s="37">
        <f>SUM(OUTLET!G49,GRIFFTE!G49)</f>
        <v>800</v>
      </c>
      <c r="H49" s="37">
        <f>SUM(OUTLET!H49,GRIFFTE!H49)</f>
        <v>800</v>
      </c>
      <c r="I49" s="37">
        <f>SUM(OUTLET!I49,GRIFFTE!I49)</f>
        <v>800</v>
      </c>
      <c r="J49" s="37">
        <f>SUM(OUTLET!J49,GRIFFTE!J49)</f>
        <v>800</v>
      </c>
      <c r="K49" s="37">
        <f>SUM(OUTLET!K49,GRIFFTE!K49)</f>
        <v>800</v>
      </c>
      <c r="L49" s="37">
        <f>SUM(OUTLET!L49,GRIFFTE!L49)</f>
        <v>800</v>
      </c>
      <c r="M49" s="37">
        <f>SUM(OUTLET!M49,GRIFFTE!M49)</f>
        <v>800</v>
      </c>
      <c r="N49" s="37">
        <f>SUM(OUTLET!N49,GRIFFTE!N49)</f>
        <v>800</v>
      </c>
      <c r="O49" s="5">
        <f t="shared" si="5"/>
        <v>9600</v>
      </c>
    </row>
    <row r="50" spans="2:15" s="42" customFormat="1" ht="19.5" x14ac:dyDescent="0.4">
      <c r="B50" s="15" t="s">
        <v>72</v>
      </c>
      <c r="C50" s="43">
        <f t="shared" ref="C50" si="16">SUM(C51:C52)</f>
        <v>0</v>
      </c>
      <c r="D50" s="43">
        <f t="shared" ref="D50:N50" si="17">SUM(D51:D52)</f>
        <v>0</v>
      </c>
      <c r="E50" s="43">
        <f t="shared" si="17"/>
        <v>100</v>
      </c>
      <c r="F50" s="43">
        <f t="shared" si="17"/>
        <v>0</v>
      </c>
      <c r="G50" s="43">
        <f t="shared" si="17"/>
        <v>60</v>
      </c>
      <c r="H50" s="43">
        <f t="shared" si="17"/>
        <v>50</v>
      </c>
      <c r="I50" s="43">
        <f t="shared" si="17"/>
        <v>0</v>
      </c>
      <c r="J50" s="43">
        <f t="shared" si="17"/>
        <v>0</v>
      </c>
      <c r="K50" s="43">
        <f t="shared" si="17"/>
        <v>50</v>
      </c>
      <c r="L50" s="43">
        <f t="shared" si="17"/>
        <v>0</v>
      </c>
      <c r="M50" s="43">
        <f t="shared" si="17"/>
        <v>50</v>
      </c>
      <c r="N50" s="43">
        <f t="shared" si="17"/>
        <v>200</v>
      </c>
      <c r="O50" s="44">
        <f t="shared" si="5"/>
        <v>510</v>
      </c>
    </row>
    <row r="51" spans="2:15" s="9" customFormat="1" ht="15.75" x14ac:dyDescent="0.25">
      <c r="B51" s="12" t="s">
        <v>73</v>
      </c>
      <c r="C51" s="37">
        <f>SUM(OUTLET!C51,GRIFFTE!C51)</f>
        <v>0</v>
      </c>
      <c r="D51" s="37">
        <f>SUM(OUTLET!D51,GRIFFTE!D51)</f>
        <v>0</v>
      </c>
      <c r="E51" s="37">
        <f>SUM(OUTLET!E51,GRIFFTE!E51)</f>
        <v>100</v>
      </c>
      <c r="F51" s="37">
        <f>SUM(OUTLET!F51,GRIFFTE!F51)</f>
        <v>0</v>
      </c>
      <c r="G51" s="37">
        <f>SUM(OUTLET!G51,GRIFFTE!G51)</f>
        <v>60</v>
      </c>
      <c r="H51" s="37">
        <f>SUM(OUTLET!H51,GRIFFTE!H51)</f>
        <v>50</v>
      </c>
      <c r="I51" s="37">
        <f>SUM(OUTLET!I51,GRIFFTE!I51)</f>
        <v>0</v>
      </c>
      <c r="J51" s="37">
        <f>SUM(OUTLET!J51,GRIFFTE!J51)</f>
        <v>0</v>
      </c>
      <c r="K51" s="37">
        <f>SUM(OUTLET!K51,GRIFFTE!K51)</f>
        <v>50</v>
      </c>
      <c r="L51" s="37">
        <f>SUM(OUTLET!L51,GRIFFTE!L51)</f>
        <v>0</v>
      </c>
      <c r="M51" s="37">
        <f>SUM(OUTLET!M51,GRIFFTE!M51)</f>
        <v>50</v>
      </c>
      <c r="N51" s="37">
        <f>SUM(OUTLET!N51,GRIFFTE!N51)</f>
        <v>200</v>
      </c>
      <c r="O51" s="5">
        <f t="shared" si="5"/>
        <v>510</v>
      </c>
    </row>
    <row r="52" spans="2:15" s="9" customFormat="1" ht="15.75" x14ac:dyDescent="0.25">
      <c r="B52" s="12" t="s">
        <v>74</v>
      </c>
      <c r="C52" s="37">
        <f>SUM(OUTLET!C52,GRIFFTE!C52)</f>
        <v>0</v>
      </c>
      <c r="D52" s="37">
        <f>SUM(OUTLET!D52,GRIFFTE!D52)</f>
        <v>0</v>
      </c>
      <c r="E52" s="37">
        <f>SUM(OUTLET!E52,GRIFFTE!E52)</f>
        <v>0</v>
      </c>
      <c r="F52" s="37">
        <f>SUM(OUTLET!F52,GRIFFTE!F52)</f>
        <v>0</v>
      </c>
      <c r="G52" s="37">
        <f>SUM(OUTLET!G52,GRIFFTE!G52)</f>
        <v>0</v>
      </c>
      <c r="H52" s="37">
        <f>SUM(OUTLET!H52,GRIFFTE!H52)</f>
        <v>0</v>
      </c>
      <c r="I52" s="37">
        <f>SUM(OUTLET!I52,GRIFFTE!I52)</f>
        <v>0</v>
      </c>
      <c r="J52" s="37">
        <f>SUM(OUTLET!J52,GRIFFTE!J52)</f>
        <v>0</v>
      </c>
      <c r="K52" s="37">
        <f>SUM(OUTLET!K52,GRIFFTE!K52)</f>
        <v>0</v>
      </c>
      <c r="L52" s="37">
        <f>SUM(OUTLET!L52,GRIFFTE!L52)</f>
        <v>0</v>
      </c>
      <c r="M52" s="37">
        <f>SUM(OUTLET!M52,GRIFFTE!M52)</f>
        <v>0</v>
      </c>
      <c r="N52" s="37">
        <f>SUM(OUTLET!N52,GRIFFTE!N52)</f>
        <v>0</v>
      </c>
      <c r="O52" s="5">
        <f t="shared" si="5"/>
        <v>0</v>
      </c>
    </row>
    <row r="53" spans="2:15" s="42" customFormat="1" ht="19.5" x14ac:dyDescent="0.4">
      <c r="B53" s="15" t="s">
        <v>75</v>
      </c>
      <c r="C53" s="43">
        <f>SUM(C54:C74)</f>
        <v>14450</v>
      </c>
      <c r="D53" s="43">
        <f t="shared" ref="D53:N53" si="18">SUM(D54:D74)</f>
        <v>14450</v>
      </c>
      <c r="E53" s="43">
        <f t="shared" si="18"/>
        <v>14450</v>
      </c>
      <c r="F53" s="43">
        <f t="shared" si="18"/>
        <v>14450</v>
      </c>
      <c r="G53" s="43">
        <f t="shared" si="18"/>
        <v>14450</v>
      </c>
      <c r="H53" s="43">
        <f t="shared" si="18"/>
        <v>14450</v>
      </c>
      <c r="I53" s="43">
        <f t="shared" si="18"/>
        <v>14450</v>
      </c>
      <c r="J53" s="43">
        <f t="shared" si="18"/>
        <v>14450</v>
      </c>
      <c r="K53" s="43">
        <f t="shared" si="18"/>
        <v>14450</v>
      </c>
      <c r="L53" s="43">
        <f t="shared" si="18"/>
        <v>14450</v>
      </c>
      <c r="M53" s="43">
        <f t="shared" si="18"/>
        <v>14450</v>
      </c>
      <c r="N53" s="43">
        <f t="shared" si="18"/>
        <v>14450</v>
      </c>
      <c r="O53" s="44">
        <f>SUM(C53:N53)</f>
        <v>173400</v>
      </c>
    </row>
    <row r="54" spans="2:15" s="9" customFormat="1" ht="15.75" x14ac:dyDescent="0.25">
      <c r="B54" s="12" t="s">
        <v>76</v>
      </c>
      <c r="C54" s="37">
        <f>SUM(OUTLET!C54,GRIFFTE!C54)</f>
        <v>0</v>
      </c>
      <c r="D54" s="37">
        <f>SUM(OUTLET!D54,GRIFFTE!D54)</f>
        <v>0</v>
      </c>
      <c r="E54" s="37">
        <f>SUM(OUTLET!E54,GRIFFTE!E54)</f>
        <v>0</v>
      </c>
      <c r="F54" s="37">
        <f>SUM(OUTLET!F54,GRIFFTE!F54)</f>
        <v>0</v>
      </c>
      <c r="G54" s="37">
        <f>SUM(OUTLET!G54,GRIFFTE!G54)</f>
        <v>0</v>
      </c>
      <c r="H54" s="37">
        <f>SUM(OUTLET!H54,GRIFFTE!H54)</f>
        <v>0</v>
      </c>
      <c r="I54" s="37">
        <f>SUM(OUTLET!I54,GRIFFTE!I54)</f>
        <v>0</v>
      </c>
      <c r="J54" s="37">
        <f>SUM(OUTLET!J54,GRIFFTE!J54)</f>
        <v>0</v>
      </c>
      <c r="K54" s="37">
        <f>SUM(OUTLET!K54,GRIFFTE!K54)</f>
        <v>0</v>
      </c>
      <c r="L54" s="37">
        <f>SUM(OUTLET!L54,GRIFFTE!L54)</f>
        <v>0</v>
      </c>
      <c r="M54" s="37">
        <f>SUM(OUTLET!M54,GRIFFTE!M54)</f>
        <v>0</v>
      </c>
      <c r="N54" s="37">
        <f>SUM(OUTLET!N54,GRIFFTE!N54)</f>
        <v>0</v>
      </c>
      <c r="O54" s="5">
        <f t="shared" si="5"/>
        <v>0</v>
      </c>
    </row>
    <row r="55" spans="2:15" s="9" customFormat="1" ht="15.75" x14ac:dyDescent="0.25">
      <c r="B55" s="12" t="s">
        <v>77</v>
      </c>
      <c r="C55" s="37">
        <f>SUM(OUTLET!C55,GRIFFTE!C55)</f>
        <v>0</v>
      </c>
      <c r="D55" s="37">
        <f>SUM(OUTLET!D55,GRIFFTE!D55)</f>
        <v>0</v>
      </c>
      <c r="E55" s="37">
        <f>SUM(OUTLET!E55,GRIFFTE!E55)</f>
        <v>0</v>
      </c>
      <c r="F55" s="37">
        <f>SUM(OUTLET!F55,GRIFFTE!F55)</f>
        <v>0</v>
      </c>
      <c r="G55" s="37">
        <f>SUM(OUTLET!G55,GRIFFTE!G55)</f>
        <v>0</v>
      </c>
      <c r="H55" s="37">
        <f>SUM(OUTLET!H55,GRIFFTE!H55)</f>
        <v>0</v>
      </c>
      <c r="I55" s="37">
        <f>SUM(OUTLET!I55,GRIFFTE!I55)</f>
        <v>0</v>
      </c>
      <c r="J55" s="37">
        <f>SUM(OUTLET!J55,GRIFFTE!J55)</f>
        <v>0</v>
      </c>
      <c r="K55" s="37">
        <f>SUM(OUTLET!K55,GRIFFTE!K55)</f>
        <v>0</v>
      </c>
      <c r="L55" s="37">
        <f>SUM(OUTLET!L55,GRIFFTE!L55)</f>
        <v>0</v>
      </c>
      <c r="M55" s="37">
        <f>SUM(OUTLET!M55,GRIFFTE!M55)</f>
        <v>0</v>
      </c>
      <c r="N55" s="37">
        <f>SUM(OUTLET!N55,GRIFFTE!N55)</f>
        <v>0</v>
      </c>
      <c r="O55" s="5">
        <f t="shared" si="5"/>
        <v>0</v>
      </c>
    </row>
    <row r="56" spans="2:15" s="9" customFormat="1" ht="15.75" x14ac:dyDescent="0.25">
      <c r="B56" s="12" t="s">
        <v>78</v>
      </c>
      <c r="C56" s="37">
        <f>SUM(OUTLET!C56,GRIFFTE!C56)</f>
        <v>0</v>
      </c>
      <c r="D56" s="37">
        <f>SUM(OUTLET!D56,GRIFFTE!D56)</f>
        <v>0</v>
      </c>
      <c r="E56" s="37">
        <f>SUM(OUTLET!E56,GRIFFTE!E56)</f>
        <v>0</v>
      </c>
      <c r="F56" s="37">
        <f>SUM(OUTLET!F56,GRIFFTE!F56)</f>
        <v>0</v>
      </c>
      <c r="G56" s="37">
        <f>SUM(OUTLET!G56,GRIFFTE!G56)</f>
        <v>0</v>
      </c>
      <c r="H56" s="37">
        <f>SUM(OUTLET!H56,GRIFFTE!H56)</f>
        <v>0</v>
      </c>
      <c r="I56" s="37">
        <f>SUM(OUTLET!I56,GRIFFTE!I56)</f>
        <v>0</v>
      </c>
      <c r="J56" s="37">
        <f>SUM(OUTLET!J56,GRIFFTE!J56)</f>
        <v>0</v>
      </c>
      <c r="K56" s="37">
        <f>SUM(OUTLET!K56,GRIFFTE!K56)</f>
        <v>0</v>
      </c>
      <c r="L56" s="37">
        <f>SUM(OUTLET!L56,GRIFFTE!L56)</f>
        <v>0</v>
      </c>
      <c r="M56" s="37">
        <f>SUM(OUTLET!M56,GRIFFTE!M56)</f>
        <v>0</v>
      </c>
      <c r="N56" s="37">
        <f>SUM(OUTLET!N56,GRIFFTE!N56)</f>
        <v>0</v>
      </c>
      <c r="O56" s="5">
        <f t="shared" si="5"/>
        <v>0</v>
      </c>
    </row>
    <row r="57" spans="2:15" s="9" customFormat="1" ht="15.75" x14ac:dyDescent="0.25">
      <c r="B57" s="12" t="s">
        <v>79</v>
      </c>
      <c r="C57" s="37">
        <f>SUM(OUTLET!C57,GRIFFTE!C57)</f>
        <v>0</v>
      </c>
      <c r="D57" s="37">
        <f>SUM(OUTLET!D57,GRIFFTE!D57)</f>
        <v>0</v>
      </c>
      <c r="E57" s="37">
        <f>SUM(OUTLET!E57,GRIFFTE!E57)</f>
        <v>0</v>
      </c>
      <c r="F57" s="37">
        <f>SUM(OUTLET!F57,GRIFFTE!F57)</f>
        <v>0</v>
      </c>
      <c r="G57" s="37">
        <f>SUM(OUTLET!G57,GRIFFTE!G57)</f>
        <v>0</v>
      </c>
      <c r="H57" s="37">
        <f>SUM(OUTLET!H57,GRIFFTE!H57)</f>
        <v>0</v>
      </c>
      <c r="I57" s="37">
        <f>SUM(OUTLET!I57,GRIFFTE!I57)</f>
        <v>0</v>
      </c>
      <c r="J57" s="37">
        <f>SUM(OUTLET!J57,GRIFFTE!J57)</f>
        <v>0</v>
      </c>
      <c r="K57" s="37">
        <f>SUM(OUTLET!K57,GRIFFTE!K57)</f>
        <v>0</v>
      </c>
      <c r="L57" s="37">
        <f>SUM(OUTLET!L57,GRIFFTE!L57)</f>
        <v>0</v>
      </c>
      <c r="M57" s="37">
        <f>SUM(OUTLET!M57,GRIFFTE!M57)</f>
        <v>0</v>
      </c>
      <c r="N57" s="37">
        <f>SUM(OUTLET!N57,GRIFFTE!N57)</f>
        <v>0</v>
      </c>
      <c r="O57" s="5">
        <f t="shared" si="5"/>
        <v>0</v>
      </c>
    </row>
    <row r="58" spans="2:15" s="9" customFormat="1" ht="15.75" x14ac:dyDescent="0.25">
      <c r="B58" s="12" t="s">
        <v>80</v>
      </c>
      <c r="C58" s="37">
        <f>SUM(OUTLET!C58,GRIFFTE!C58)</f>
        <v>0</v>
      </c>
      <c r="D58" s="37">
        <f>SUM(OUTLET!D58,GRIFFTE!D58)</f>
        <v>0</v>
      </c>
      <c r="E58" s="37">
        <f>SUM(OUTLET!E58,GRIFFTE!E58)</f>
        <v>0</v>
      </c>
      <c r="F58" s="37">
        <f>SUM(OUTLET!F58,GRIFFTE!F58)</f>
        <v>0</v>
      </c>
      <c r="G58" s="37">
        <f>SUM(OUTLET!G58,GRIFFTE!G58)</f>
        <v>0</v>
      </c>
      <c r="H58" s="37">
        <f>SUM(OUTLET!H58,GRIFFTE!H58)</f>
        <v>0</v>
      </c>
      <c r="I58" s="37">
        <f>SUM(OUTLET!I58,GRIFFTE!I58)</f>
        <v>0</v>
      </c>
      <c r="J58" s="37">
        <f>SUM(OUTLET!J58,GRIFFTE!J58)</f>
        <v>0</v>
      </c>
      <c r="K58" s="37">
        <f>SUM(OUTLET!K58,GRIFFTE!K58)</f>
        <v>0</v>
      </c>
      <c r="L58" s="37">
        <f>SUM(OUTLET!L58,GRIFFTE!L58)</f>
        <v>0</v>
      </c>
      <c r="M58" s="37">
        <f>SUM(OUTLET!M58,GRIFFTE!M58)</f>
        <v>0</v>
      </c>
      <c r="N58" s="37">
        <f>SUM(OUTLET!N58,GRIFFTE!N58)</f>
        <v>0</v>
      </c>
      <c r="O58" s="5">
        <f t="shared" si="5"/>
        <v>0</v>
      </c>
    </row>
    <row r="59" spans="2:15" s="9" customFormat="1" ht="15.75" x14ac:dyDescent="0.25">
      <c r="B59" s="12" t="s">
        <v>81</v>
      </c>
      <c r="C59" s="37">
        <f>SUM(OUTLET!C59,GRIFFTE!C59)</f>
        <v>0</v>
      </c>
      <c r="D59" s="37">
        <f>SUM(OUTLET!D59,GRIFFTE!D59)</f>
        <v>0</v>
      </c>
      <c r="E59" s="37">
        <f>SUM(OUTLET!E59,GRIFFTE!E59)</f>
        <v>0</v>
      </c>
      <c r="F59" s="37">
        <f>SUM(OUTLET!F59,GRIFFTE!F59)</f>
        <v>0</v>
      </c>
      <c r="G59" s="37">
        <f>SUM(OUTLET!G59,GRIFFTE!G59)</f>
        <v>0</v>
      </c>
      <c r="H59" s="37">
        <f>SUM(OUTLET!H59,GRIFFTE!H59)</f>
        <v>0</v>
      </c>
      <c r="I59" s="37">
        <f>SUM(OUTLET!I59,GRIFFTE!I59)</f>
        <v>0</v>
      </c>
      <c r="J59" s="37">
        <f>SUM(OUTLET!J59,GRIFFTE!J59)</f>
        <v>0</v>
      </c>
      <c r="K59" s="37">
        <f>SUM(OUTLET!K59,GRIFFTE!K59)</f>
        <v>0</v>
      </c>
      <c r="L59" s="37">
        <f>SUM(OUTLET!L59,GRIFFTE!L59)</f>
        <v>0</v>
      </c>
      <c r="M59" s="37">
        <f>SUM(OUTLET!M59,GRIFFTE!M59)</f>
        <v>0</v>
      </c>
      <c r="N59" s="37">
        <f>SUM(OUTLET!N59,GRIFFTE!N59)</f>
        <v>0</v>
      </c>
      <c r="O59" s="5">
        <f t="shared" si="5"/>
        <v>0</v>
      </c>
    </row>
    <row r="60" spans="2:15" s="9" customFormat="1" ht="15.75" x14ac:dyDescent="0.25">
      <c r="B60" s="12" t="s">
        <v>82</v>
      </c>
      <c r="C60" s="37">
        <f>SUM(OUTLET!C60,GRIFFTE!C60)</f>
        <v>0</v>
      </c>
      <c r="D60" s="37">
        <f>SUM(OUTLET!D60,GRIFFTE!D60)</f>
        <v>0</v>
      </c>
      <c r="E60" s="37">
        <f>SUM(OUTLET!E60,GRIFFTE!E60)</f>
        <v>0</v>
      </c>
      <c r="F60" s="37">
        <f>SUM(OUTLET!F60,GRIFFTE!F60)</f>
        <v>0</v>
      </c>
      <c r="G60" s="37">
        <f>SUM(OUTLET!G60,GRIFFTE!G60)</f>
        <v>0</v>
      </c>
      <c r="H60" s="37">
        <f>SUM(OUTLET!H60,GRIFFTE!H60)</f>
        <v>0</v>
      </c>
      <c r="I60" s="37">
        <f>SUM(OUTLET!I60,GRIFFTE!I60)</f>
        <v>0</v>
      </c>
      <c r="J60" s="37">
        <f>SUM(OUTLET!J60,GRIFFTE!J60)</f>
        <v>0</v>
      </c>
      <c r="K60" s="37">
        <f>SUM(OUTLET!K60,GRIFFTE!K60)</f>
        <v>0</v>
      </c>
      <c r="L60" s="37">
        <f>SUM(OUTLET!L60,GRIFFTE!L60)</f>
        <v>0</v>
      </c>
      <c r="M60" s="37">
        <f>SUM(OUTLET!M60,GRIFFTE!M60)</f>
        <v>0</v>
      </c>
      <c r="N60" s="37">
        <f>SUM(OUTLET!N60,GRIFFTE!N60)</f>
        <v>0</v>
      </c>
      <c r="O60" s="5">
        <f t="shared" si="5"/>
        <v>0</v>
      </c>
    </row>
    <row r="61" spans="2:15" s="9" customFormat="1" ht="15.75" x14ac:dyDescent="0.25">
      <c r="B61" s="12" t="s">
        <v>83</v>
      </c>
      <c r="C61" s="37">
        <f>SUM(OUTLET!C61,GRIFFTE!C61)</f>
        <v>0</v>
      </c>
      <c r="D61" s="37">
        <f>SUM(OUTLET!D61,GRIFFTE!D61)</f>
        <v>0</v>
      </c>
      <c r="E61" s="37">
        <f>SUM(OUTLET!E61,GRIFFTE!E61)</f>
        <v>0</v>
      </c>
      <c r="F61" s="37">
        <f>SUM(OUTLET!F61,GRIFFTE!F61)</f>
        <v>0</v>
      </c>
      <c r="G61" s="37">
        <f>SUM(OUTLET!G61,GRIFFTE!G61)</f>
        <v>0</v>
      </c>
      <c r="H61" s="37">
        <f>SUM(OUTLET!H61,GRIFFTE!H61)</f>
        <v>0</v>
      </c>
      <c r="I61" s="37">
        <f>SUM(OUTLET!I61,GRIFFTE!I61)</f>
        <v>0</v>
      </c>
      <c r="J61" s="37">
        <f>SUM(OUTLET!J61,GRIFFTE!J61)</f>
        <v>0</v>
      </c>
      <c r="K61" s="37">
        <f>SUM(OUTLET!K61,GRIFFTE!K61)</f>
        <v>0</v>
      </c>
      <c r="L61" s="37">
        <f>SUM(OUTLET!L61,GRIFFTE!L61)</f>
        <v>0</v>
      </c>
      <c r="M61" s="37">
        <f>SUM(OUTLET!M61,GRIFFTE!M61)</f>
        <v>0</v>
      </c>
      <c r="N61" s="37">
        <f>SUM(OUTLET!N61,GRIFFTE!N61)</f>
        <v>0</v>
      </c>
      <c r="O61" s="5">
        <f t="shared" si="5"/>
        <v>0</v>
      </c>
    </row>
    <row r="62" spans="2:15" s="9" customFormat="1" ht="15.75" x14ac:dyDescent="0.25">
      <c r="B62" s="12" t="s">
        <v>84</v>
      </c>
      <c r="C62" s="37">
        <f>SUM(OUTLET!C62,GRIFFTE!C62)</f>
        <v>0</v>
      </c>
      <c r="D62" s="37">
        <f>SUM(OUTLET!D62,GRIFFTE!D62)</f>
        <v>0</v>
      </c>
      <c r="E62" s="37">
        <f>SUM(OUTLET!E62,GRIFFTE!E62)</f>
        <v>0</v>
      </c>
      <c r="F62" s="37">
        <f>SUM(OUTLET!F62,GRIFFTE!F62)</f>
        <v>0</v>
      </c>
      <c r="G62" s="37">
        <f>SUM(OUTLET!G62,GRIFFTE!G62)</f>
        <v>0</v>
      </c>
      <c r="H62" s="37">
        <f>SUM(OUTLET!H62,GRIFFTE!H62)</f>
        <v>0</v>
      </c>
      <c r="I62" s="37">
        <f>SUM(OUTLET!I62,GRIFFTE!I62)</f>
        <v>0</v>
      </c>
      <c r="J62" s="37">
        <f>SUM(OUTLET!J62,GRIFFTE!J62)</f>
        <v>0</v>
      </c>
      <c r="K62" s="37">
        <f>SUM(OUTLET!K62,GRIFFTE!K62)</f>
        <v>0</v>
      </c>
      <c r="L62" s="37">
        <f>SUM(OUTLET!L62,GRIFFTE!L62)</f>
        <v>0</v>
      </c>
      <c r="M62" s="37">
        <f>SUM(OUTLET!M62,GRIFFTE!M62)</f>
        <v>0</v>
      </c>
      <c r="N62" s="37">
        <f>SUM(OUTLET!N62,GRIFFTE!N62)</f>
        <v>0</v>
      </c>
      <c r="O62" s="5">
        <f t="shared" si="5"/>
        <v>0</v>
      </c>
    </row>
    <row r="63" spans="2:15" s="9" customFormat="1" ht="15.75" x14ac:dyDescent="0.25">
      <c r="B63" s="12" t="s">
        <v>85</v>
      </c>
      <c r="C63" s="37">
        <f>SUM(OUTLET!C63,GRIFFTE!C63)</f>
        <v>0</v>
      </c>
      <c r="D63" s="37">
        <f>SUM(OUTLET!D63,GRIFFTE!D63)</f>
        <v>0</v>
      </c>
      <c r="E63" s="37">
        <f>SUM(OUTLET!E63,GRIFFTE!E63)</f>
        <v>0</v>
      </c>
      <c r="F63" s="37">
        <f>SUM(OUTLET!F63,GRIFFTE!F63)</f>
        <v>0</v>
      </c>
      <c r="G63" s="37">
        <f>SUM(OUTLET!G63,GRIFFTE!G63)</f>
        <v>0</v>
      </c>
      <c r="H63" s="37">
        <f>SUM(OUTLET!H63,GRIFFTE!H63)</f>
        <v>0</v>
      </c>
      <c r="I63" s="37">
        <f>SUM(OUTLET!I63,GRIFFTE!I63)</f>
        <v>0</v>
      </c>
      <c r="J63" s="37">
        <f>SUM(OUTLET!J63,GRIFFTE!J63)</f>
        <v>0</v>
      </c>
      <c r="K63" s="37">
        <f>SUM(OUTLET!K63,GRIFFTE!K63)</f>
        <v>0</v>
      </c>
      <c r="L63" s="37">
        <f>SUM(OUTLET!L63,GRIFFTE!L63)</f>
        <v>0</v>
      </c>
      <c r="M63" s="37">
        <f>SUM(OUTLET!M63,GRIFFTE!M63)</f>
        <v>0</v>
      </c>
      <c r="N63" s="37">
        <f>SUM(OUTLET!N63,GRIFFTE!N63)</f>
        <v>0</v>
      </c>
      <c r="O63" s="5">
        <f t="shared" si="5"/>
        <v>0</v>
      </c>
    </row>
    <row r="64" spans="2:15" s="9" customFormat="1" ht="15.75" x14ac:dyDescent="0.25">
      <c r="B64" s="12" t="s">
        <v>86</v>
      </c>
      <c r="C64" s="37">
        <f>SUM(OUTLET!C64,GRIFFTE!C64)</f>
        <v>600</v>
      </c>
      <c r="D64" s="37">
        <f>SUM(OUTLET!D64,GRIFFTE!D64)</f>
        <v>600</v>
      </c>
      <c r="E64" s="37">
        <f>SUM(OUTLET!E64,GRIFFTE!E64)</f>
        <v>600</v>
      </c>
      <c r="F64" s="37">
        <f>SUM(OUTLET!F64,GRIFFTE!F64)</f>
        <v>600</v>
      </c>
      <c r="G64" s="37">
        <f>SUM(OUTLET!G64,GRIFFTE!G64)</f>
        <v>600</v>
      </c>
      <c r="H64" s="37">
        <f>SUM(OUTLET!H64,GRIFFTE!H64)</f>
        <v>600</v>
      </c>
      <c r="I64" s="37">
        <f>SUM(OUTLET!I64,GRIFFTE!I64)</f>
        <v>600</v>
      </c>
      <c r="J64" s="37">
        <f>SUM(OUTLET!J64,GRIFFTE!J64)</f>
        <v>600</v>
      </c>
      <c r="K64" s="37">
        <f>SUM(OUTLET!K64,GRIFFTE!K64)</f>
        <v>600</v>
      </c>
      <c r="L64" s="37">
        <f>SUM(OUTLET!L64,GRIFFTE!L64)</f>
        <v>600</v>
      </c>
      <c r="M64" s="37">
        <f>SUM(OUTLET!M64,GRIFFTE!M64)</f>
        <v>600</v>
      </c>
      <c r="N64" s="37">
        <f>SUM(OUTLET!N64,GRIFFTE!N64)</f>
        <v>600</v>
      </c>
      <c r="O64" s="5">
        <f t="shared" si="5"/>
        <v>7200</v>
      </c>
    </row>
    <row r="65" spans="2:15" s="9" customFormat="1" ht="15.75" x14ac:dyDescent="0.25">
      <c r="B65" s="12" t="s">
        <v>87</v>
      </c>
      <c r="C65" s="37">
        <f>SUM(OUTLET!C65,GRIFFTE!C65)</f>
        <v>0</v>
      </c>
      <c r="D65" s="37">
        <f>SUM(OUTLET!D65,GRIFFTE!D65)</f>
        <v>0</v>
      </c>
      <c r="E65" s="37">
        <f>SUM(OUTLET!E65,GRIFFTE!E65)</f>
        <v>0</v>
      </c>
      <c r="F65" s="37">
        <f>SUM(OUTLET!F65,GRIFFTE!F65)</f>
        <v>0</v>
      </c>
      <c r="G65" s="37">
        <f>SUM(OUTLET!G65,GRIFFTE!G65)</f>
        <v>0</v>
      </c>
      <c r="H65" s="37">
        <f>SUM(OUTLET!H65,GRIFFTE!H65)</f>
        <v>0</v>
      </c>
      <c r="I65" s="37">
        <f>SUM(OUTLET!I65,GRIFFTE!I65)</f>
        <v>0</v>
      </c>
      <c r="J65" s="37">
        <f>SUM(OUTLET!J65,GRIFFTE!J65)</f>
        <v>0</v>
      </c>
      <c r="K65" s="37">
        <f>SUM(OUTLET!K65,GRIFFTE!K65)</f>
        <v>0</v>
      </c>
      <c r="L65" s="37">
        <f>SUM(OUTLET!L65,GRIFFTE!L65)</f>
        <v>0</v>
      </c>
      <c r="M65" s="37">
        <f>SUM(OUTLET!M65,GRIFFTE!M65)</f>
        <v>0</v>
      </c>
      <c r="N65" s="37">
        <f>SUM(OUTLET!N65,GRIFFTE!N65)</f>
        <v>0</v>
      </c>
      <c r="O65" s="5">
        <f t="shared" si="5"/>
        <v>0</v>
      </c>
    </row>
    <row r="66" spans="2:15" s="9" customFormat="1" ht="15.75" x14ac:dyDescent="0.25">
      <c r="B66" s="12" t="s">
        <v>88</v>
      </c>
      <c r="C66" s="37">
        <f>SUM(OUTLET!C66,GRIFFTE!C66)</f>
        <v>0</v>
      </c>
      <c r="D66" s="37">
        <f>SUM(OUTLET!D66,GRIFFTE!D66)</f>
        <v>0</v>
      </c>
      <c r="E66" s="37">
        <f>SUM(OUTLET!E66,GRIFFTE!E66)</f>
        <v>0</v>
      </c>
      <c r="F66" s="37">
        <f>SUM(OUTLET!F66,GRIFFTE!F66)</f>
        <v>0</v>
      </c>
      <c r="G66" s="37">
        <f>SUM(OUTLET!G66,GRIFFTE!G66)</f>
        <v>0</v>
      </c>
      <c r="H66" s="37">
        <f>SUM(OUTLET!H66,GRIFFTE!H66)</f>
        <v>0</v>
      </c>
      <c r="I66" s="37">
        <f>SUM(OUTLET!I66,GRIFFTE!I66)</f>
        <v>0</v>
      </c>
      <c r="J66" s="37">
        <f>SUM(OUTLET!J66,GRIFFTE!J66)</f>
        <v>0</v>
      </c>
      <c r="K66" s="37">
        <f>SUM(OUTLET!K66,GRIFFTE!K66)</f>
        <v>0</v>
      </c>
      <c r="L66" s="37">
        <f>SUM(OUTLET!L66,GRIFFTE!L66)</f>
        <v>0</v>
      </c>
      <c r="M66" s="37">
        <f>SUM(OUTLET!M66,GRIFFTE!M66)</f>
        <v>0</v>
      </c>
      <c r="N66" s="37">
        <f>SUM(OUTLET!N66,GRIFFTE!N66)</f>
        <v>0</v>
      </c>
      <c r="O66" s="5">
        <f t="shared" si="5"/>
        <v>0</v>
      </c>
    </row>
    <row r="67" spans="2:15" s="9" customFormat="1" ht="15.75" x14ac:dyDescent="0.25">
      <c r="B67" s="12" t="s">
        <v>89</v>
      </c>
      <c r="C67" s="37">
        <f>SUM(OUTLET!C67,GRIFFTE!C67)</f>
        <v>13450</v>
      </c>
      <c r="D67" s="37">
        <f>SUM(OUTLET!D67,GRIFFTE!D67)</f>
        <v>13450</v>
      </c>
      <c r="E67" s="37">
        <f>SUM(OUTLET!E67,GRIFFTE!E67)</f>
        <v>13450</v>
      </c>
      <c r="F67" s="37">
        <f>SUM(OUTLET!F67,GRIFFTE!F67)</f>
        <v>13450</v>
      </c>
      <c r="G67" s="37">
        <f>SUM(OUTLET!G67,GRIFFTE!G67)</f>
        <v>13450</v>
      </c>
      <c r="H67" s="37">
        <f>SUM(OUTLET!H67,GRIFFTE!H67)</f>
        <v>13450</v>
      </c>
      <c r="I67" s="37">
        <f>SUM(OUTLET!I67,GRIFFTE!I67)</f>
        <v>13450</v>
      </c>
      <c r="J67" s="37">
        <f>SUM(OUTLET!J67,GRIFFTE!J67)</f>
        <v>13450</v>
      </c>
      <c r="K67" s="37">
        <f>SUM(OUTLET!K67,GRIFFTE!K67)</f>
        <v>13450</v>
      </c>
      <c r="L67" s="37">
        <f>SUM(OUTLET!L67,GRIFFTE!L67)</f>
        <v>13450</v>
      </c>
      <c r="M67" s="37">
        <f>SUM(OUTLET!M67,GRIFFTE!M67)</f>
        <v>13450</v>
      </c>
      <c r="N67" s="37">
        <f>SUM(OUTLET!N67,GRIFFTE!N67)</f>
        <v>13450</v>
      </c>
      <c r="O67" s="5">
        <f t="shared" si="5"/>
        <v>161400</v>
      </c>
    </row>
    <row r="68" spans="2:15" s="9" customFormat="1" ht="15.75" x14ac:dyDescent="0.25">
      <c r="B68" s="12" t="s">
        <v>90</v>
      </c>
      <c r="C68" s="37">
        <f>SUM(OUTLET!C68,GRIFFTE!C68)</f>
        <v>0</v>
      </c>
      <c r="D68" s="37">
        <f>SUM(OUTLET!D68,GRIFFTE!D68)</f>
        <v>0</v>
      </c>
      <c r="E68" s="37">
        <f>SUM(OUTLET!E68,GRIFFTE!E68)</f>
        <v>0</v>
      </c>
      <c r="F68" s="37">
        <f>SUM(OUTLET!F68,GRIFFTE!F68)</f>
        <v>0</v>
      </c>
      <c r="G68" s="37">
        <f>SUM(OUTLET!G68,GRIFFTE!G68)</f>
        <v>0</v>
      </c>
      <c r="H68" s="37">
        <f>SUM(OUTLET!H68,GRIFFTE!H68)</f>
        <v>0</v>
      </c>
      <c r="I68" s="37">
        <f>SUM(OUTLET!I68,GRIFFTE!I68)</f>
        <v>0</v>
      </c>
      <c r="J68" s="37">
        <f>SUM(OUTLET!J68,GRIFFTE!J68)</f>
        <v>0</v>
      </c>
      <c r="K68" s="37">
        <f>SUM(OUTLET!K68,GRIFFTE!K68)</f>
        <v>0</v>
      </c>
      <c r="L68" s="37">
        <f>SUM(OUTLET!L68,GRIFFTE!L68)</f>
        <v>0</v>
      </c>
      <c r="M68" s="37">
        <f>SUM(OUTLET!M68,GRIFFTE!M68)</f>
        <v>0</v>
      </c>
      <c r="N68" s="37">
        <f>SUM(OUTLET!N68,GRIFFTE!N68)</f>
        <v>0</v>
      </c>
      <c r="O68" s="5">
        <f>SUM(C68:N68)</f>
        <v>0</v>
      </c>
    </row>
    <row r="69" spans="2:15" s="9" customFormat="1" ht="15.75" x14ac:dyDescent="0.25">
      <c r="B69" s="12" t="s">
        <v>91</v>
      </c>
      <c r="C69" s="37">
        <f>SUM(OUTLET!C69,GRIFFTE!C69)</f>
        <v>0</v>
      </c>
      <c r="D69" s="37">
        <f>SUM(OUTLET!D69,GRIFFTE!D69)</f>
        <v>0</v>
      </c>
      <c r="E69" s="37">
        <f>SUM(OUTLET!E69,GRIFFTE!E69)</f>
        <v>0</v>
      </c>
      <c r="F69" s="37">
        <f>SUM(OUTLET!F69,GRIFFTE!F69)</f>
        <v>0</v>
      </c>
      <c r="G69" s="37">
        <f>SUM(OUTLET!G69,GRIFFTE!G69)</f>
        <v>0</v>
      </c>
      <c r="H69" s="37">
        <f>SUM(OUTLET!H69,GRIFFTE!H69)</f>
        <v>0</v>
      </c>
      <c r="I69" s="37">
        <f>SUM(OUTLET!I69,GRIFFTE!I69)</f>
        <v>0</v>
      </c>
      <c r="J69" s="37">
        <f>SUM(OUTLET!J69,GRIFFTE!J69)</f>
        <v>0</v>
      </c>
      <c r="K69" s="37">
        <f>SUM(OUTLET!K69,GRIFFTE!K69)</f>
        <v>0</v>
      </c>
      <c r="L69" s="37">
        <f>SUM(OUTLET!L69,GRIFFTE!L69)</f>
        <v>0</v>
      </c>
      <c r="M69" s="37">
        <f>SUM(OUTLET!M69,GRIFFTE!M69)</f>
        <v>0</v>
      </c>
      <c r="N69" s="37">
        <f>SUM(OUTLET!N69,GRIFFTE!N69)</f>
        <v>0</v>
      </c>
      <c r="O69" s="5">
        <f t="shared" si="5"/>
        <v>0</v>
      </c>
    </row>
    <row r="70" spans="2:15" s="9" customFormat="1" ht="15.75" x14ac:dyDescent="0.25">
      <c r="B70" s="12" t="s">
        <v>92</v>
      </c>
      <c r="C70" s="37">
        <f>SUM(OUTLET!C70,GRIFFTE!C70)</f>
        <v>0</v>
      </c>
      <c r="D70" s="37">
        <f>SUM(OUTLET!D70,GRIFFTE!D70)</f>
        <v>0</v>
      </c>
      <c r="E70" s="37">
        <f>SUM(OUTLET!E70,GRIFFTE!E70)</f>
        <v>0</v>
      </c>
      <c r="F70" s="37">
        <f>SUM(OUTLET!F70,GRIFFTE!F70)</f>
        <v>0</v>
      </c>
      <c r="G70" s="37">
        <f>SUM(OUTLET!G70,GRIFFTE!G70)</f>
        <v>0</v>
      </c>
      <c r="H70" s="37">
        <f>SUM(OUTLET!H70,GRIFFTE!H70)</f>
        <v>0</v>
      </c>
      <c r="I70" s="37">
        <f>SUM(OUTLET!I70,GRIFFTE!I70)</f>
        <v>0</v>
      </c>
      <c r="J70" s="37">
        <f>SUM(OUTLET!J70,GRIFFTE!J70)</f>
        <v>0</v>
      </c>
      <c r="K70" s="37">
        <f>SUM(OUTLET!K70,GRIFFTE!K70)</f>
        <v>0</v>
      </c>
      <c r="L70" s="37">
        <f>SUM(OUTLET!L70,GRIFFTE!L70)</f>
        <v>0</v>
      </c>
      <c r="M70" s="37">
        <f>SUM(OUTLET!M70,GRIFFTE!M70)</f>
        <v>0</v>
      </c>
      <c r="N70" s="37">
        <f>SUM(OUTLET!N70,GRIFFTE!N70)</f>
        <v>0</v>
      </c>
      <c r="O70" s="5">
        <f t="shared" si="5"/>
        <v>0</v>
      </c>
    </row>
    <row r="71" spans="2:15" s="9" customFormat="1" ht="15.75" x14ac:dyDescent="0.25">
      <c r="B71" s="12" t="s">
        <v>93</v>
      </c>
      <c r="C71" s="37">
        <f>SUM(OUTLET!C71,GRIFFTE!C71)</f>
        <v>0</v>
      </c>
      <c r="D71" s="37">
        <f>SUM(OUTLET!D71,GRIFFTE!D71)</f>
        <v>0</v>
      </c>
      <c r="E71" s="37">
        <f>SUM(OUTLET!E71,GRIFFTE!E71)</f>
        <v>0</v>
      </c>
      <c r="F71" s="37">
        <f>SUM(OUTLET!F71,GRIFFTE!F71)</f>
        <v>0</v>
      </c>
      <c r="G71" s="37">
        <f>SUM(OUTLET!G71,GRIFFTE!G71)</f>
        <v>0</v>
      </c>
      <c r="H71" s="37">
        <f>SUM(OUTLET!H71,GRIFFTE!H71)</f>
        <v>0</v>
      </c>
      <c r="I71" s="37">
        <f>SUM(OUTLET!I71,GRIFFTE!I71)</f>
        <v>0</v>
      </c>
      <c r="J71" s="37">
        <f>SUM(OUTLET!J71,GRIFFTE!J71)</f>
        <v>0</v>
      </c>
      <c r="K71" s="37">
        <f>SUM(OUTLET!K71,GRIFFTE!K71)</f>
        <v>0</v>
      </c>
      <c r="L71" s="37">
        <f>SUM(OUTLET!L71,GRIFFTE!L71)</f>
        <v>0</v>
      </c>
      <c r="M71" s="37">
        <f>SUM(OUTLET!M71,GRIFFTE!M71)</f>
        <v>0</v>
      </c>
      <c r="N71" s="37">
        <f>SUM(OUTLET!N71,GRIFFTE!N71)</f>
        <v>0</v>
      </c>
      <c r="O71" s="5">
        <f t="shared" si="5"/>
        <v>0</v>
      </c>
    </row>
    <row r="72" spans="2:15" s="9" customFormat="1" ht="15.75" x14ac:dyDescent="0.25">
      <c r="B72" s="12" t="s">
        <v>94</v>
      </c>
      <c r="C72" s="37">
        <f>SUM(OUTLET!C72,GRIFFTE!C72)</f>
        <v>400</v>
      </c>
      <c r="D72" s="37">
        <f>SUM(OUTLET!D72,GRIFFTE!D72)</f>
        <v>400</v>
      </c>
      <c r="E72" s="37">
        <f>SUM(OUTLET!E72,GRIFFTE!E72)</f>
        <v>400</v>
      </c>
      <c r="F72" s="37">
        <f>SUM(OUTLET!F72,GRIFFTE!F72)</f>
        <v>400</v>
      </c>
      <c r="G72" s="37">
        <f>SUM(OUTLET!G72,GRIFFTE!G72)</f>
        <v>400</v>
      </c>
      <c r="H72" s="37">
        <f>SUM(OUTLET!H72,GRIFFTE!H72)</f>
        <v>400</v>
      </c>
      <c r="I72" s="37">
        <f>SUM(OUTLET!I72,GRIFFTE!I72)</f>
        <v>400</v>
      </c>
      <c r="J72" s="37">
        <f>SUM(OUTLET!J72,GRIFFTE!J72)</f>
        <v>400</v>
      </c>
      <c r="K72" s="37">
        <f>SUM(OUTLET!K72,GRIFFTE!K72)</f>
        <v>400</v>
      </c>
      <c r="L72" s="37">
        <f>SUM(OUTLET!L72,GRIFFTE!L72)</f>
        <v>400</v>
      </c>
      <c r="M72" s="37">
        <f>SUM(OUTLET!M72,GRIFFTE!M72)</f>
        <v>400</v>
      </c>
      <c r="N72" s="37">
        <f>SUM(OUTLET!N72,GRIFFTE!N72)</f>
        <v>400</v>
      </c>
      <c r="O72" s="5">
        <f t="shared" si="5"/>
        <v>4800</v>
      </c>
    </row>
    <row r="73" spans="2:15" s="9" customFormat="1" ht="15.75" x14ac:dyDescent="0.25">
      <c r="B73" s="12" t="s">
        <v>95</v>
      </c>
      <c r="C73" s="37">
        <f>SUM(OUTLET!C73,GRIFFTE!C73)</f>
        <v>0</v>
      </c>
      <c r="D73" s="37">
        <f>SUM(OUTLET!D73,GRIFFTE!D73)</f>
        <v>0</v>
      </c>
      <c r="E73" s="37">
        <f>SUM(OUTLET!E73,GRIFFTE!E73)</f>
        <v>0</v>
      </c>
      <c r="F73" s="37">
        <f>SUM(OUTLET!F73,GRIFFTE!F73)</f>
        <v>0</v>
      </c>
      <c r="G73" s="37">
        <f>SUM(OUTLET!G73,GRIFFTE!G73)</f>
        <v>0</v>
      </c>
      <c r="H73" s="37">
        <f>SUM(OUTLET!H73,GRIFFTE!H73)</f>
        <v>0</v>
      </c>
      <c r="I73" s="37">
        <f>SUM(OUTLET!I73,GRIFFTE!I73)</f>
        <v>0</v>
      </c>
      <c r="J73" s="37">
        <f>SUM(OUTLET!J73,GRIFFTE!J73)</f>
        <v>0</v>
      </c>
      <c r="K73" s="37">
        <f>SUM(OUTLET!K73,GRIFFTE!K73)</f>
        <v>0</v>
      </c>
      <c r="L73" s="37">
        <f>SUM(OUTLET!L73,GRIFFTE!L73)</f>
        <v>0</v>
      </c>
      <c r="M73" s="37">
        <f>SUM(OUTLET!M73,GRIFFTE!M73)</f>
        <v>0</v>
      </c>
      <c r="N73" s="37">
        <f>SUM(OUTLET!N73,GRIFFTE!N73)</f>
        <v>0</v>
      </c>
      <c r="O73" s="5">
        <f t="shared" si="5"/>
        <v>0</v>
      </c>
    </row>
    <row r="74" spans="2:15" s="9" customFormat="1" ht="15.75" x14ac:dyDescent="0.25">
      <c r="B74" s="12" t="s">
        <v>96</v>
      </c>
      <c r="C74" s="37">
        <f>SUM(OUTLET!C74,GRIFFTE!C74)</f>
        <v>0</v>
      </c>
      <c r="D74" s="37">
        <f>SUM(OUTLET!D74,GRIFFTE!D74)</f>
        <v>0</v>
      </c>
      <c r="E74" s="37">
        <f>SUM(OUTLET!E74,GRIFFTE!E74)</f>
        <v>0</v>
      </c>
      <c r="F74" s="37">
        <f>SUM(OUTLET!F74,GRIFFTE!F74)</f>
        <v>0</v>
      </c>
      <c r="G74" s="37">
        <f>SUM(OUTLET!G74,GRIFFTE!G74)</f>
        <v>0</v>
      </c>
      <c r="H74" s="37">
        <f>SUM(OUTLET!H74,GRIFFTE!H74)</f>
        <v>0</v>
      </c>
      <c r="I74" s="37">
        <f>SUM(OUTLET!I74,GRIFFTE!I74)</f>
        <v>0</v>
      </c>
      <c r="J74" s="37">
        <f>SUM(OUTLET!J74,GRIFFTE!J74)</f>
        <v>0</v>
      </c>
      <c r="K74" s="37">
        <f>SUM(OUTLET!K74,GRIFFTE!K74)</f>
        <v>0</v>
      </c>
      <c r="L74" s="37">
        <f>SUM(OUTLET!L74,GRIFFTE!L74)</f>
        <v>0</v>
      </c>
      <c r="M74" s="37">
        <f>SUM(OUTLET!M74,GRIFFTE!M74)</f>
        <v>0</v>
      </c>
      <c r="N74" s="37">
        <f>SUM(OUTLET!N74,GRIFFTE!N74)</f>
        <v>0</v>
      </c>
      <c r="O74" s="5">
        <f>SUM(C74:N74)</f>
        <v>0</v>
      </c>
    </row>
    <row r="75" spans="2:15" s="9" customFormat="1" ht="19.5" x14ac:dyDescent="0.25">
      <c r="B75" s="15" t="s">
        <v>97</v>
      </c>
      <c r="C75" s="38">
        <f t="shared" ref="C75" si="19">SUM(C76:C98)</f>
        <v>9375</v>
      </c>
      <c r="D75" s="38">
        <f t="shared" ref="D75:N75" si="20">SUM(D76:D98)</f>
        <v>5525</v>
      </c>
      <c r="E75" s="38">
        <f t="shared" si="20"/>
        <v>5525</v>
      </c>
      <c r="F75" s="38">
        <f t="shared" si="20"/>
        <v>5925</v>
      </c>
      <c r="G75" s="38">
        <f t="shared" si="20"/>
        <v>5525</v>
      </c>
      <c r="H75" s="38">
        <f t="shared" si="20"/>
        <v>5525</v>
      </c>
      <c r="I75" s="38">
        <f t="shared" si="20"/>
        <v>5525</v>
      </c>
      <c r="J75" s="38">
        <f t="shared" si="20"/>
        <v>5525</v>
      </c>
      <c r="K75" s="38">
        <f t="shared" si="20"/>
        <v>5525</v>
      </c>
      <c r="L75" s="38">
        <f t="shared" si="20"/>
        <v>5525</v>
      </c>
      <c r="M75" s="38">
        <f t="shared" si="20"/>
        <v>5525</v>
      </c>
      <c r="N75" s="38">
        <f t="shared" si="20"/>
        <v>5525</v>
      </c>
      <c r="O75" s="7">
        <f>SUM(C75:N75)</f>
        <v>70550</v>
      </c>
    </row>
    <row r="76" spans="2:15" s="9" customFormat="1" ht="15.75" x14ac:dyDescent="0.25">
      <c r="B76" s="12" t="s">
        <v>98</v>
      </c>
      <c r="C76" s="37">
        <f>SUM(OUTLET!C76,GRIFFTE!C76)</f>
        <v>1375</v>
      </c>
      <c r="D76" s="37">
        <f>SUM(OUTLET!D76,GRIFFTE!D76)</f>
        <v>1375</v>
      </c>
      <c r="E76" s="37">
        <f>SUM(OUTLET!E76,GRIFFTE!E76)</f>
        <v>1375</v>
      </c>
      <c r="F76" s="37">
        <f>SUM(OUTLET!F76,GRIFFTE!F76)</f>
        <v>1375</v>
      </c>
      <c r="G76" s="37">
        <f>SUM(OUTLET!G76,GRIFFTE!G76)</f>
        <v>1375</v>
      </c>
      <c r="H76" s="37">
        <f>SUM(OUTLET!H76,GRIFFTE!H76)</f>
        <v>1375</v>
      </c>
      <c r="I76" s="37">
        <f>SUM(OUTLET!I76,GRIFFTE!I76)</f>
        <v>1375</v>
      </c>
      <c r="J76" s="37">
        <f>SUM(OUTLET!J76,GRIFFTE!J76)</f>
        <v>1375</v>
      </c>
      <c r="K76" s="37">
        <f>SUM(OUTLET!K76,GRIFFTE!K76)</f>
        <v>1375</v>
      </c>
      <c r="L76" s="37">
        <f>SUM(OUTLET!L76,GRIFFTE!L76)</f>
        <v>1375</v>
      </c>
      <c r="M76" s="37">
        <f>SUM(OUTLET!M76,GRIFFTE!M76)</f>
        <v>1375</v>
      </c>
      <c r="N76" s="37">
        <f>SUM(OUTLET!N76,GRIFFTE!N76)</f>
        <v>1375</v>
      </c>
      <c r="O76" s="5">
        <f t="shared" ref="O76:O138" si="21">SUM(C76:N76)</f>
        <v>16500</v>
      </c>
    </row>
    <row r="77" spans="2:15" s="9" customFormat="1" ht="15.75" x14ac:dyDescent="0.25">
      <c r="B77" s="12" t="s">
        <v>99</v>
      </c>
      <c r="C77" s="37">
        <f>SUM(OUTLET!C77,GRIFFTE!C77)</f>
        <v>0</v>
      </c>
      <c r="D77" s="37">
        <f>SUM(OUTLET!D77,GRIFFTE!D77)</f>
        <v>0</v>
      </c>
      <c r="E77" s="37">
        <f>SUM(OUTLET!E77,GRIFFTE!E77)</f>
        <v>0</v>
      </c>
      <c r="F77" s="37">
        <f>SUM(OUTLET!F77,GRIFFTE!F77)</f>
        <v>0</v>
      </c>
      <c r="G77" s="37">
        <f>SUM(OUTLET!G77,GRIFFTE!G77)</f>
        <v>0</v>
      </c>
      <c r="H77" s="37">
        <f>SUM(OUTLET!H77,GRIFFTE!H77)</f>
        <v>0</v>
      </c>
      <c r="I77" s="37">
        <f>SUM(OUTLET!I77,GRIFFTE!I77)</f>
        <v>0</v>
      </c>
      <c r="J77" s="37">
        <f>SUM(OUTLET!J77,GRIFFTE!J77)</f>
        <v>0</v>
      </c>
      <c r="K77" s="37">
        <f>SUM(OUTLET!K77,GRIFFTE!K77)</f>
        <v>0</v>
      </c>
      <c r="L77" s="37">
        <f>SUM(OUTLET!L77,GRIFFTE!L77)</f>
        <v>0</v>
      </c>
      <c r="M77" s="37">
        <f>SUM(OUTLET!M77,GRIFFTE!M77)</f>
        <v>0</v>
      </c>
      <c r="N77" s="37">
        <f>SUM(OUTLET!N77,GRIFFTE!N77)</f>
        <v>0</v>
      </c>
      <c r="O77" s="5">
        <f t="shared" si="21"/>
        <v>0</v>
      </c>
    </row>
    <row r="78" spans="2:15" s="9" customFormat="1" ht="15.75" x14ac:dyDescent="0.25">
      <c r="B78" s="12" t="s">
        <v>100</v>
      </c>
      <c r="C78" s="37">
        <f>SUM(OUTLET!C78,GRIFFTE!C78)</f>
        <v>250</v>
      </c>
      <c r="D78" s="37">
        <f>SUM(OUTLET!D78,GRIFFTE!D78)</f>
        <v>250</v>
      </c>
      <c r="E78" s="37">
        <f>SUM(OUTLET!E78,GRIFFTE!E78)</f>
        <v>250</v>
      </c>
      <c r="F78" s="37">
        <f>SUM(OUTLET!F78,GRIFFTE!F78)</f>
        <v>250</v>
      </c>
      <c r="G78" s="37">
        <f>SUM(OUTLET!G78,GRIFFTE!G78)</f>
        <v>250</v>
      </c>
      <c r="H78" s="37">
        <f>SUM(OUTLET!H78,GRIFFTE!H78)</f>
        <v>250</v>
      </c>
      <c r="I78" s="37">
        <f>SUM(OUTLET!I78,GRIFFTE!I78)</f>
        <v>250</v>
      </c>
      <c r="J78" s="37">
        <f>SUM(OUTLET!J78,GRIFFTE!J78)</f>
        <v>250</v>
      </c>
      <c r="K78" s="37">
        <f>SUM(OUTLET!K78,GRIFFTE!K78)</f>
        <v>250</v>
      </c>
      <c r="L78" s="37">
        <f>SUM(OUTLET!L78,GRIFFTE!L78)</f>
        <v>250</v>
      </c>
      <c r="M78" s="37">
        <f>SUM(OUTLET!M78,GRIFFTE!M78)</f>
        <v>250</v>
      </c>
      <c r="N78" s="37">
        <f>SUM(OUTLET!N78,GRIFFTE!N78)</f>
        <v>250</v>
      </c>
      <c r="O78" s="5">
        <f t="shared" si="21"/>
        <v>3000</v>
      </c>
    </row>
    <row r="79" spans="2:15" s="9" customFormat="1" ht="15.75" x14ac:dyDescent="0.25">
      <c r="B79" s="12" t="s">
        <v>101</v>
      </c>
      <c r="C79" s="37">
        <f>SUM(OUTLET!C79,GRIFFTE!C79)</f>
        <v>750</v>
      </c>
      <c r="D79" s="37">
        <f>SUM(OUTLET!D79,GRIFFTE!D79)</f>
        <v>950</v>
      </c>
      <c r="E79" s="37">
        <f>SUM(OUTLET!E79,GRIFFTE!E79)</f>
        <v>950</v>
      </c>
      <c r="F79" s="37">
        <f>SUM(OUTLET!F79,GRIFFTE!F79)</f>
        <v>950</v>
      </c>
      <c r="G79" s="37">
        <f>SUM(OUTLET!G79,GRIFFTE!G79)</f>
        <v>950</v>
      </c>
      <c r="H79" s="37">
        <f>SUM(OUTLET!H79,GRIFFTE!H79)</f>
        <v>950</v>
      </c>
      <c r="I79" s="37">
        <f>SUM(OUTLET!I79,GRIFFTE!I79)</f>
        <v>950</v>
      </c>
      <c r="J79" s="37">
        <f>SUM(OUTLET!J79,GRIFFTE!J79)</f>
        <v>950</v>
      </c>
      <c r="K79" s="37">
        <f>SUM(OUTLET!K79,GRIFFTE!K79)</f>
        <v>950</v>
      </c>
      <c r="L79" s="37">
        <f>SUM(OUTLET!L79,GRIFFTE!L79)</f>
        <v>950</v>
      </c>
      <c r="M79" s="37">
        <f>SUM(OUTLET!M79,GRIFFTE!M79)</f>
        <v>950</v>
      </c>
      <c r="N79" s="37">
        <f>SUM(OUTLET!N79,GRIFFTE!N79)</f>
        <v>950</v>
      </c>
      <c r="O79" s="5">
        <f t="shared" si="21"/>
        <v>11200</v>
      </c>
    </row>
    <row r="80" spans="2:15" s="9" customFormat="1" ht="15.75" x14ac:dyDescent="0.25">
      <c r="B80" s="12" t="s">
        <v>102</v>
      </c>
      <c r="C80" s="37">
        <f>SUM(OUTLET!C80,GRIFFTE!C80)</f>
        <v>400</v>
      </c>
      <c r="D80" s="37">
        <f>SUM(OUTLET!D80,GRIFFTE!D80)</f>
        <v>400</v>
      </c>
      <c r="E80" s="37">
        <f>SUM(OUTLET!E80,GRIFFTE!E80)</f>
        <v>400</v>
      </c>
      <c r="F80" s="37">
        <f>SUM(OUTLET!F80,GRIFFTE!F80)</f>
        <v>400</v>
      </c>
      <c r="G80" s="37">
        <f>SUM(OUTLET!G80,GRIFFTE!G80)</f>
        <v>400</v>
      </c>
      <c r="H80" s="37">
        <f>SUM(OUTLET!H80,GRIFFTE!H80)</f>
        <v>400</v>
      </c>
      <c r="I80" s="37">
        <f>SUM(OUTLET!I80,GRIFFTE!I80)</f>
        <v>400</v>
      </c>
      <c r="J80" s="37">
        <f>SUM(OUTLET!J80,GRIFFTE!J80)</f>
        <v>400</v>
      </c>
      <c r="K80" s="37">
        <f>SUM(OUTLET!K80,GRIFFTE!K80)</f>
        <v>400</v>
      </c>
      <c r="L80" s="37">
        <f>SUM(OUTLET!L80,GRIFFTE!L80)</f>
        <v>400</v>
      </c>
      <c r="M80" s="37">
        <f>SUM(OUTLET!M80,GRIFFTE!M80)</f>
        <v>400</v>
      </c>
      <c r="N80" s="37">
        <f>SUM(OUTLET!N80,GRIFFTE!N80)</f>
        <v>400</v>
      </c>
      <c r="O80" s="5">
        <f t="shared" si="21"/>
        <v>4800</v>
      </c>
    </row>
    <row r="81" spans="2:15" s="9" customFormat="1" ht="15.75" x14ac:dyDescent="0.25">
      <c r="B81" s="12" t="s">
        <v>103</v>
      </c>
      <c r="C81" s="37">
        <f>SUM(OUTLET!C81,GRIFFTE!C81)</f>
        <v>200</v>
      </c>
      <c r="D81" s="37">
        <f>SUM(OUTLET!D81,GRIFFTE!D81)</f>
        <v>200</v>
      </c>
      <c r="E81" s="37">
        <f>SUM(OUTLET!E81,GRIFFTE!E81)</f>
        <v>200</v>
      </c>
      <c r="F81" s="37">
        <f>SUM(OUTLET!F81,GRIFFTE!F81)</f>
        <v>200</v>
      </c>
      <c r="G81" s="37">
        <f>SUM(OUTLET!G81,GRIFFTE!G81)</f>
        <v>200</v>
      </c>
      <c r="H81" s="37">
        <f>SUM(OUTLET!H81,GRIFFTE!H81)</f>
        <v>200</v>
      </c>
      <c r="I81" s="37">
        <f>SUM(OUTLET!I81,GRIFFTE!I81)</f>
        <v>200</v>
      </c>
      <c r="J81" s="37">
        <f>SUM(OUTLET!J81,GRIFFTE!J81)</f>
        <v>200</v>
      </c>
      <c r="K81" s="37">
        <f>SUM(OUTLET!K81,GRIFFTE!K81)</f>
        <v>200</v>
      </c>
      <c r="L81" s="37">
        <f>SUM(OUTLET!L81,GRIFFTE!L81)</f>
        <v>200</v>
      </c>
      <c r="M81" s="37">
        <f>SUM(OUTLET!M81,GRIFFTE!M81)</f>
        <v>200</v>
      </c>
      <c r="N81" s="37">
        <f>SUM(OUTLET!N81,GRIFFTE!N81)</f>
        <v>200</v>
      </c>
      <c r="O81" s="5">
        <f t="shared" si="21"/>
        <v>2400</v>
      </c>
    </row>
    <row r="82" spans="2:15" s="9" customFormat="1" ht="15.75" x14ac:dyDescent="0.25">
      <c r="B82" s="12" t="s">
        <v>104</v>
      </c>
      <c r="C82" s="37">
        <f>SUM(OUTLET!C82,GRIFFTE!C82)</f>
        <v>0</v>
      </c>
      <c r="D82" s="37">
        <f>SUM(OUTLET!D82,GRIFFTE!D82)</f>
        <v>0</v>
      </c>
      <c r="E82" s="37">
        <f>SUM(OUTLET!E82,GRIFFTE!E82)</f>
        <v>0</v>
      </c>
      <c r="F82" s="37">
        <f>SUM(OUTLET!F82,GRIFFTE!F82)</f>
        <v>0</v>
      </c>
      <c r="G82" s="37">
        <f>SUM(OUTLET!G82,GRIFFTE!G82)</f>
        <v>0</v>
      </c>
      <c r="H82" s="37">
        <f>SUM(OUTLET!H82,GRIFFTE!H82)</f>
        <v>0</v>
      </c>
      <c r="I82" s="37">
        <f>SUM(OUTLET!I82,GRIFFTE!I82)</f>
        <v>0</v>
      </c>
      <c r="J82" s="37">
        <f>SUM(OUTLET!J82,GRIFFTE!J82)</f>
        <v>0</v>
      </c>
      <c r="K82" s="37">
        <f>SUM(OUTLET!K82,GRIFFTE!K82)</f>
        <v>0</v>
      </c>
      <c r="L82" s="37">
        <f>SUM(OUTLET!L82,GRIFFTE!L82)</f>
        <v>0</v>
      </c>
      <c r="M82" s="37">
        <f>SUM(OUTLET!M82,GRIFFTE!M82)</f>
        <v>0</v>
      </c>
      <c r="N82" s="37">
        <f>SUM(OUTLET!N82,GRIFFTE!N82)</f>
        <v>0</v>
      </c>
      <c r="O82" s="5">
        <f t="shared" si="21"/>
        <v>0</v>
      </c>
    </row>
    <row r="83" spans="2:15" s="9" customFormat="1" ht="15.75" x14ac:dyDescent="0.25">
      <c r="B83" s="12" t="s">
        <v>105</v>
      </c>
      <c r="C83" s="37">
        <f>SUM(OUTLET!C83,GRIFFTE!C83)</f>
        <v>0</v>
      </c>
      <c r="D83" s="37">
        <f>SUM(OUTLET!D83,GRIFFTE!D83)</f>
        <v>0</v>
      </c>
      <c r="E83" s="37">
        <f>SUM(OUTLET!E83,GRIFFTE!E83)</f>
        <v>0</v>
      </c>
      <c r="F83" s="37">
        <f>SUM(OUTLET!F83,GRIFFTE!F83)</f>
        <v>0</v>
      </c>
      <c r="G83" s="37">
        <f>SUM(OUTLET!G83,GRIFFTE!G83)</f>
        <v>0</v>
      </c>
      <c r="H83" s="37">
        <f>SUM(OUTLET!H83,GRIFFTE!H83)</f>
        <v>0</v>
      </c>
      <c r="I83" s="37">
        <f>SUM(OUTLET!I83,GRIFFTE!I83)</f>
        <v>0</v>
      </c>
      <c r="J83" s="37">
        <f>SUM(OUTLET!J83,GRIFFTE!J83)</f>
        <v>0</v>
      </c>
      <c r="K83" s="37">
        <f>SUM(OUTLET!K83,GRIFFTE!K83)</f>
        <v>0</v>
      </c>
      <c r="L83" s="37">
        <f>SUM(OUTLET!L83,GRIFFTE!L83)</f>
        <v>0</v>
      </c>
      <c r="M83" s="37">
        <f>SUM(OUTLET!M83,GRIFFTE!M83)</f>
        <v>0</v>
      </c>
      <c r="N83" s="37">
        <f>SUM(OUTLET!N83,GRIFFTE!N83)</f>
        <v>0</v>
      </c>
      <c r="O83" s="5">
        <f t="shared" si="21"/>
        <v>0</v>
      </c>
    </row>
    <row r="84" spans="2:15" s="9" customFormat="1" ht="15.75" x14ac:dyDescent="0.25">
      <c r="B84" s="12" t="s">
        <v>106</v>
      </c>
      <c r="C84" s="37">
        <f>SUM(OUTLET!C84,GRIFFTE!C84)</f>
        <v>0</v>
      </c>
      <c r="D84" s="37">
        <f>SUM(OUTLET!D84,GRIFFTE!D84)</f>
        <v>0</v>
      </c>
      <c r="E84" s="37">
        <f>SUM(OUTLET!E84,GRIFFTE!E84)</f>
        <v>0</v>
      </c>
      <c r="F84" s="37">
        <v>400</v>
      </c>
      <c r="G84" s="37">
        <f>SUM(OUTLET!G84,GRIFFTE!G84)</f>
        <v>0</v>
      </c>
      <c r="H84" s="37">
        <f>SUM(OUTLET!H84,GRIFFTE!H84)</f>
        <v>0</v>
      </c>
      <c r="I84" s="37">
        <f>SUM(OUTLET!I84,GRIFFTE!I84)</f>
        <v>0</v>
      </c>
      <c r="J84" s="37">
        <f>SUM(OUTLET!J84,GRIFFTE!J84)</f>
        <v>0</v>
      </c>
      <c r="K84" s="37">
        <f>SUM(OUTLET!K84,GRIFFTE!K84)</f>
        <v>0</v>
      </c>
      <c r="L84" s="37">
        <f>SUM(OUTLET!L84,GRIFFTE!L84)</f>
        <v>0</v>
      </c>
      <c r="M84" s="37">
        <f>SUM(OUTLET!M84,GRIFFTE!M84)</f>
        <v>0</v>
      </c>
      <c r="N84" s="37">
        <f>SUM(OUTLET!N84,GRIFFTE!N84)</f>
        <v>0</v>
      </c>
      <c r="O84" s="5">
        <f t="shared" si="21"/>
        <v>400</v>
      </c>
    </row>
    <row r="85" spans="2:15" s="9" customFormat="1" ht="15.75" x14ac:dyDescent="0.25">
      <c r="B85" s="12" t="s">
        <v>107</v>
      </c>
      <c r="C85" s="37">
        <f>SUM(OUTLET!C85,GRIFFTE!C85)</f>
        <v>450</v>
      </c>
      <c r="D85" s="37">
        <f>SUM(OUTLET!D85,GRIFFTE!D85)</f>
        <v>450</v>
      </c>
      <c r="E85" s="37">
        <f>SUM(OUTLET!E85,GRIFFTE!E85)</f>
        <v>450</v>
      </c>
      <c r="F85" s="37">
        <f>SUM(OUTLET!F85,GRIFFTE!F85)</f>
        <v>450</v>
      </c>
      <c r="G85" s="37">
        <f>SUM(OUTLET!G85,GRIFFTE!G85)</f>
        <v>450</v>
      </c>
      <c r="H85" s="37">
        <f>SUM(OUTLET!H85,GRIFFTE!H85)</f>
        <v>450</v>
      </c>
      <c r="I85" s="37">
        <f>SUM(OUTLET!I85,GRIFFTE!I85)</f>
        <v>450</v>
      </c>
      <c r="J85" s="37">
        <f>SUM(OUTLET!J85,GRIFFTE!J85)</f>
        <v>450</v>
      </c>
      <c r="K85" s="37">
        <f>SUM(OUTLET!K85,GRIFFTE!K85)</f>
        <v>450</v>
      </c>
      <c r="L85" s="37">
        <f>SUM(OUTLET!L85,GRIFFTE!L85)</f>
        <v>450</v>
      </c>
      <c r="M85" s="37">
        <f>SUM(OUTLET!M85,GRIFFTE!M85)</f>
        <v>450</v>
      </c>
      <c r="N85" s="37">
        <f>SUM(OUTLET!N85,GRIFFTE!N85)</f>
        <v>450</v>
      </c>
      <c r="O85" s="5">
        <f t="shared" si="21"/>
        <v>5400</v>
      </c>
    </row>
    <row r="86" spans="2:15" s="9" customFormat="1" ht="15.75" x14ac:dyDescent="0.25">
      <c r="B86" s="12" t="s">
        <v>108</v>
      </c>
      <c r="C86" s="37">
        <f>SUM(OUTLET!C86,GRIFFTE!C86)</f>
        <v>0</v>
      </c>
      <c r="D86" s="37">
        <f>SUM(OUTLET!D86,GRIFFTE!D86)</f>
        <v>0</v>
      </c>
      <c r="E86" s="37">
        <f>SUM(OUTLET!E86,GRIFFTE!E86)</f>
        <v>0</v>
      </c>
      <c r="F86" s="37">
        <f>SUM(OUTLET!F86,GRIFFTE!F86)</f>
        <v>0</v>
      </c>
      <c r="G86" s="37">
        <f>SUM(OUTLET!G86,GRIFFTE!G86)</f>
        <v>0</v>
      </c>
      <c r="H86" s="37">
        <f>SUM(OUTLET!H86,GRIFFTE!H86)</f>
        <v>0</v>
      </c>
      <c r="I86" s="37">
        <f>SUM(OUTLET!I86,GRIFFTE!I86)</f>
        <v>0</v>
      </c>
      <c r="J86" s="37">
        <f>SUM(OUTLET!J86,GRIFFTE!J86)</f>
        <v>0</v>
      </c>
      <c r="K86" s="37">
        <f>SUM(OUTLET!K86,GRIFFTE!K86)</f>
        <v>0</v>
      </c>
      <c r="L86" s="37">
        <f>SUM(OUTLET!L86,GRIFFTE!L86)</f>
        <v>0</v>
      </c>
      <c r="M86" s="37">
        <f>SUM(OUTLET!M86,GRIFFTE!M86)</f>
        <v>0</v>
      </c>
      <c r="N86" s="37">
        <f>SUM(OUTLET!N86,GRIFFTE!N86)</f>
        <v>0</v>
      </c>
      <c r="O86" s="5">
        <f t="shared" si="21"/>
        <v>0</v>
      </c>
    </row>
    <row r="87" spans="2:15" s="9" customFormat="1" ht="15.75" x14ac:dyDescent="0.25">
      <c r="B87" s="12" t="s">
        <v>109</v>
      </c>
      <c r="C87" s="37">
        <f>SUM(OUTLET!C87,GRIFFTE!C87)</f>
        <v>0</v>
      </c>
      <c r="D87" s="37">
        <f>SUM(OUTLET!D87,GRIFFTE!D87)</f>
        <v>0</v>
      </c>
      <c r="E87" s="37">
        <f>SUM(OUTLET!E87,GRIFFTE!E87)</f>
        <v>0</v>
      </c>
      <c r="F87" s="37">
        <f>SUM(OUTLET!F87,GRIFFTE!F87)</f>
        <v>0</v>
      </c>
      <c r="G87" s="37">
        <f>SUM(OUTLET!G87,GRIFFTE!G87)</f>
        <v>0</v>
      </c>
      <c r="H87" s="37">
        <f>SUM(OUTLET!H87,GRIFFTE!H87)</f>
        <v>0</v>
      </c>
      <c r="I87" s="37">
        <f>SUM(OUTLET!I87,GRIFFTE!I87)</f>
        <v>0</v>
      </c>
      <c r="J87" s="37">
        <f>SUM(OUTLET!J87,GRIFFTE!J87)</f>
        <v>0</v>
      </c>
      <c r="K87" s="37">
        <f>SUM(OUTLET!K87,GRIFFTE!K87)</f>
        <v>0</v>
      </c>
      <c r="L87" s="37">
        <f>SUM(OUTLET!L87,GRIFFTE!L87)</f>
        <v>0</v>
      </c>
      <c r="M87" s="37">
        <f>SUM(OUTLET!M87,GRIFFTE!M87)</f>
        <v>0</v>
      </c>
      <c r="N87" s="37">
        <f>SUM(OUTLET!N87,GRIFFTE!N87)</f>
        <v>0</v>
      </c>
      <c r="O87" s="5">
        <f t="shared" si="21"/>
        <v>0</v>
      </c>
    </row>
    <row r="88" spans="2:15" s="9" customFormat="1" ht="15.75" x14ac:dyDescent="0.25">
      <c r="B88" s="12" t="s">
        <v>110</v>
      </c>
      <c r="C88" s="37">
        <f>SUM(OUTLET!C88,GRIFFTE!C88)</f>
        <v>200</v>
      </c>
      <c r="D88" s="37">
        <f>SUM(OUTLET!D88,GRIFFTE!D88)</f>
        <v>200</v>
      </c>
      <c r="E88" s="37">
        <f>SUM(OUTLET!E88,GRIFFTE!E88)</f>
        <v>200</v>
      </c>
      <c r="F88" s="37">
        <f>SUM(OUTLET!F88,GRIFFTE!F88)</f>
        <v>200</v>
      </c>
      <c r="G88" s="37">
        <f>SUM(OUTLET!G88,GRIFFTE!G88)</f>
        <v>200</v>
      </c>
      <c r="H88" s="37">
        <f>SUM(OUTLET!H88,GRIFFTE!H88)</f>
        <v>200</v>
      </c>
      <c r="I88" s="37">
        <f>SUM(OUTLET!I88,GRIFFTE!I88)</f>
        <v>200</v>
      </c>
      <c r="J88" s="37">
        <f>SUM(OUTLET!J88,GRIFFTE!J88)</f>
        <v>200</v>
      </c>
      <c r="K88" s="37">
        <f>SUM(OUTLET!K88,GRIFFTE!K88)</f>
        <v>200</v>
      </c>
      <c r="L88" s="37">
        <f>SUM(OUTLET!L88,GRIFFTE!L88)</f>
        <v>200</v>
      </c>
      <c r="M88" s="37">
        <f>SUM(OUTLET!M88,GRIFFTE!M88)</f>
        <v>200</v>
      </c>
      <c r="N88" s="37">
        <f>SUM(OUTLET!N88,GRIFFTE!N88)</f>
        <v>200</v>
      </c>
      <c r="O88" s="5">
        <f t="shared" si="21"/>
        <v>2400</v>
      </c>
    </row>
    <row r="89" spans="2:15" s="9" customFormat="1" ht="15.75" x14ac:dyDescent="0.25">
      <c r="B89" s="12" t="s">
        <v>111</v>
      </c>
      <c r="C89" s="37">
        <f>SUM(OUTLET!C89,GRIFFTE!C89)</f>
        <v>4250</v>
      </c>
      <c r="D89" s="37">
        <f>SUM(OUTLET!D89,GRIFFTE!D89)</f>
        <v>400</v>
      </c>
      <c r="E89" s="37">
        <f>SUM(OUTLET!E89,GRIFFTE!E89)</f>
        <v>400</v>
      </c>
      <c r="F89" s="37">
        <f>SUM(OUTLET!F89,GRIFFTE!F89)</f>
        <v>400</v>
      </c>
      <c r="G89" s="37">
        <f>SUM(OUTLET!G89,GRIFFTE!G89)</f>
        <v>400</v>
      </c>
      <c r="H89" s="37">
        <f>SUM(OUTLET!H89,GRIFFTE!H89)</f>
        <v>400</v>
      </c>
      <c r="I89" s="37">
        <f>SUM(OUTLET!I89,GRIFFTE!I89)</f>
        <v>400</v>
      </c>
      <c r="J89" s="37">
        <f>SUM(OUTLET!J89,GRIFFTE!J89)</f>
        <v>400</v>
      </c>
      <c r="K89" s="37">
        <f>SUM(OUTLET!K89,GRIFFTE!K89)</f>
        <v>400</v>
      </c>
      <c r="L89" s="37">
        <f>SUM(OUTLET!L89,GRIFFTE!L89)</f>
        <v>400</v>
      </c>
      <c r="M89" s="37">
        <f>SUM(OUTLET!M89,GRIFFTE!M89)</f>
        <v>400</v>
      </c>
      <c r="N89" s="37">
        <f>SUM(OUTLET!N89,GRIFFTE!N89)</f>
        <v>400</v>
      </c>
      <c r="O89" s="5">
        <f t="shared" si="21"/>
        <v>8650</v>
      </c>
    </row>
    <row r="90" spans="2:15" s="9" customFormat="1" ht="15.75" x14ac:dyDescent="0.25">
      <c r="B90" s="12" t="s">
        <v>112</v>
      </c>
      <c r="C90" s="37">
        <f>SUM(OUTLET!C90,GRIFFTE!C90)</f>
        <v>0</v>
      </c>
      <c r="D90" s="37">
        <f>SUM(OUTLET!D90,GRIFFTE!D90)</f>
        <v>0</v>
      </c>
      <c r="E90" s="37">
        <f>SUM(OUTLET!E90,GRIFFTE!E90)</f>
        <v>0</v>
      </c>
      <c r="F90" s="37">
        <f>SUM(OUTLET!F90,GRIFFTE!F90)</f>
        <v>0</v>
      </c>
      <c r="G90" s="37">
        <f>SUM(OUTLET!G90,GRIFFTE!G90)</f>
        <v>0</v>
      </c>
      <c r="H90" s="37">
        <f>SUM(OUTLET!H90,GRIFFTE!H90)</f>
        <v>0</v>
      </c>
      <c r="I90" s="37">
        <f>SUM(OUTLET!I90,GRIFFTE!I90)</f>
        <v>0</v>
      </c>
      <c r="J90" s="37">
        <f>SUM(OUTLET!J90,GRIFFTE!J90)</f>
        <v>0</v>
      </c>
      <c r="K90" s="37">
        <f>SUM(OUTLET!K90,GRIFFTE!K90)</f>
        <v>0</v>
      </c>
      <c r="L90" s="37">
        <f>SUM(OUTLET!L90,GRIFFTE!L90)</f>
        <v>0</v>
      </c>
      <c r="M90" s="37">
        <f>SUM(OUTLET!M90,GRIFFTE!M90)</f>
        <v>0</v>
      </c>
      <c r="N90" s="37">
        <f>SUM(OUTLET!N90,GRIFFTE!N90)</f>
        <v>0</v>
      </c>
      <c r="O90" s="5">
        <f t="shared" si="21"/>
        <v>0</v>
      </c>
    </row>
    <row r="91" spans="2:15" s="9" customFormat="1" ht="15.75" x14ac:dyDescent="0.25">
      <c r="B91" s="12" t="s">
        <v>113</v>
      </c>
      <c r="C91" s="37">
        <f>SUM(OUTLET!C91,GRIFFTE!C91)</f>
        <v>0</v>
      </c>
      <c r="D91" s="37">
        <f>SUM(OUTLET!D91,GRIFFTE!D91)</f>
        <v>0</v>
      </c>
      <c r="E91" s="37">
        <f>SUM(OUTLET!E91,GRIFFTE!E91)</f>
        <v>0</v>
      </c>
      <c r="F91" s="37">
        <f>SUM(OUTLET!F91,GRIFFTE!F91)</f>
        <v>0</v>
      </c>
      <c r="G91" s="37">
        <f>SUM(OUTLET!G91,GRIFFTE!G91)</f>
        <v>0</v>
      </c>
      <c r="H91" s="37">
        <f>SUM(OUTLET!H91,GRIFFTE!H91)</f>
        <v>0</v>
      </c>
      <c r="I91" s="37">
        <f>SUM(OUTLET!I91,GRIFFTE!I91)</f>
        <v>0</v>
      </c>
      <c r="J91" s="37">
        <f>SUM(OUTLET!J91,GRIFFTE!J91)</f>
        <v>0</v>
      </c>
      <c r="K91" s="37">
        <f>SUM(OUTLET!K91,GRIFFTE!K91)</f>
        <v>0</v>
      </c>
      <c r="L91" s="37">
        <f>SUM(OUTLET!L91,GRIFFTE!L91)</f>
        <v>0</v>
      </c>
      <c r="M91" s="37">
        <f>SUM(OUTLET!M91,GRIFFTE!M91)</f>
        <v>0</v>
      </c>
      <c r="N91" s="37">
        <f>SUM(OUTLET!N91,GRIFFTE!N91)</f>
        <v>0</v>
      </c>
      <c r="O91" s="5">
        <f t="shared" si="21"/>
        <v>0</v>
      </c>
    </row>
    <row r="92" spans="2:15" s="9" customFormat="1" ht="15.75" x14ac:dyDescent="0.25">
      <c r="B92" s="12" t="s">
        <v>114</v>
      </c>
      <c r="C92" s="37">
        <f>SUM(OUTLET!C92,GRIFFTE!C92)</f>
        <v>0</v>
      </c>
      <c r="D92" s="37">
        <f>SUM(OUTLET!D92,GRIFFTE!D92)</f>
        <v>0</v>
      </c>
      <c r="E92" s="37">
        <f>SUM(OUTLET!E92,GRIFFTE!E92)</f>
        <v>0</v>
      </c>
      <c r="F92" s="37">
        <f>SUM(OUTLET!F92,GRIFFTE!F92)</f>
        <v>0</v>
      </c>
      <c r="G92" s="37">
        <f>SUM(OUTLET!G92,GRIFFTE!G92)</f>
        <v>0</v>
      </c>
      <c r="H92" s="37">
        <f>SUM(OUTLET!H92,GRIFFTE!H92)</f>
        <v>0</v>
      </c>
      <c r="I92" s="37">
        <f>SUM(OUTLET!I92,GRIFFTE!I92)</f>
        <v>0</v>
      </c>
      <c r="J92" s="37">
        <f>SUM(OUTLET!J92,GRIFFTE!J92)</f>
        <v>0</v>
      </c>
      <c r="K92" s="37">
        <f>SUM(OUTLET!K92,GRIFFTE!K92)</f>
        <v>0</v>
      </c>
      <c r="L92" s="37">
        <f>SUM(OUTLET!L92,GRIFFTE!L92)</f>
        <v>0</v>
      </c>
      <c r="M92" s="37">
        <f>SUM(OUTLET!M92,GRIFFTE!M92)</f>
        <v>0</v>
      </c>
      <c r="N92" s="37">
        <f>SUM(OUTLET!N92,GRIFFTE!N92)</f>
        <v>0</v>
      </c>
      <c r="O92" s="5">
        <f t="shared" si="21"/>
        <v>0</v>
      </c>
    </row>
    <row r="93" spans="2:15" s="9" customFormat="1" ht="15.75" x14ac:dyDescent="0.25">
      <c r="B93" s="12" t="s">
        <v>115</v>
      </c>
      <c r="C93" s="37">
        <f>SUM(OUTLET!C93,GRIFFTE!C93)</f>
        <v>1000</v>
      </c>
      <c r="D93" s="37">
        <f>SUM(OUTLET!D93,GRIFFTE!D93)</f>
        <v>1000</v>
      </c>
      <c r="E93" s="37">
        <f>SUM(OUTLET!E93,GRIFFTE!E93)</f>
        <v>1000</v>
      </c>
      <c r="F93" s="37">
        <f>SUM(OUTLET!F93,GRIFFTE!F93)</f>
        <v>1000</v>
      </c>
      <c r="G93" s="37">
        <f>SUM(OUTLET!G93,GRIFFTE!G93)</f>
        <v>1000</v>
      </c>
      <c r="H93" s="37">
        <f>SUM(OUTLET!H93,GRIFFTE!H93)</f>
        <v>1000</v>
      </c>
      <c r="I93" s="37">
        <f>SUM(OUTLET!I93,GRIFFTE!I93)</f>
        <v>1000</v>
      </c>
      <c r="J93" s="37">
        <f>SUM(OUTLET!J93,GRIFFTE!J93)</f>
        <v>1000</v>
      </c>
      <c r="K93" s="37">
        <f>SUM(OUTLET!K93,GRIFFTE!K93)</f>
        <v>1000</v>
      </c>
      <c r="L93" s="37">
        <f>SUM(OUTLET!L93,GRIFFTE!L93)</f>
        <v>1000</v>
      </c>
      <c r="M93" s="37">
        <f>SUM(OUTLET!M93,GRIFFTE!M93)</f>
        <v>1000</v>
      </c>
      <c r="N93" s="37">
        <f>SUM(OUTLET!N93,GRIFFTE!N93)</f>
        <v>1000</v>
      </c>
      <c r="O93" s="5">
        <f t="shared" si="21"/>
        <v>12000</v>
      </c>
    </row>
    <row r="94" spans="2:15" s="9" customFormat="1" ht="15.75" x14ac:dyDescent="0.25">
      <c r="B94" s="12" t="s">
        <v>116</v>
      </c>
      <c r="C94" s="37">
        <f>SUM(OUTLET!C94,GRIFFTE!C94)</f>
        <v>500</v>
      </c>
      <c r="D94" s="37">
        <v>300</v>
      </c>
      <c r="E94" s="37">
        <v>300</v>
      </c>
      <c r="F94" s="37">
        <v>300</v>
      </c>
      <c r="G94" s="37">
        <v>300</v>
      </c>
      <c r="H94" s="37">
        <v>300</v>
      </c>
      <c r="I94" s="37">
        <v>300</v>
      </c>
      <c r="J94" s="37">
        <v>300</v>
      </c>
      <c r="K94" s="37">
        <v>300</v>
      </c>
      <c r="L94" s="37">
        <v>300</v>
      </c>
      <c r="M94" s="37">
        <v>300</v>
      </c>
      <c r="N94" s="37">
        <v>300</v>
      </c>
      <c r="O94" s="5">
        <f t="shared" si="21"/>
        <v>3800</v>
      </c>
    </row>
    <row r="95" spans="2:15" s="9" customFormat="1" ht="15.75" x14ac:dyDescent="0.25">
      <c r="B95" s="12" t="s">
        <v>117</v>
      </c>
      <c r="C95" s="37">
        <f>SUM(OUTLET!C95,GRIFFTE!C95)</f>
        <v>0</v>
      </c>
      <c r="D95" s="37">
        <f>SUM(OUTLET!D95,GRIFFTE!D95)</f>
        <v>0</v>
      </c>
      <c r="E95" s="37">
        <f>SUM(OUTLET!E95,GRIFFTE!E95)</f>
        <v>0</v>
      </c>
      <c r="F95" s="37">
        <f>SUM(OUTLET!F95,GRIFFTE!F95)</f>
        <v>0</v>
      </c>
      <c r="G95" s="37">
        <f>SUM(OUTLET!G95,GRIFFTE!G95)</f>
        <v>0</v>
      </c>
      <c r="H95" s="37">
        <f>SUM(OUTLET!H95,GRIFFTE!H95)</f>
        <v>0</v>
      </c>
      <c r="I95" s="37">
        <f>SUM(OUTLET!I95,GRIFFTE!I95)</f>
        <v>0</v>
      </c>
      <c r="J95" s="37">
        <f>SUM(OUTLET!J95,GRIFFTE!J95)</f>
        <v>0</v>
      </c>
      <c r="K95" s="37">
        <f>SUM(OUTLET!K95,GRIFFTE!K95)</f>
        <v>0</v>
      </c>
      <c r="L95" s="37">
        <f>SUM(OUTLET!L95,GRIFFTE!L95)</f>
        <v>0</v>
      </c>
      <c r="M95" s="37">
        <f>SUM(OUTLET!M95,GRIFFTE!M95)</f>
        <v>0</v>
      </c>
      <c r="N95" s="37">
        <f>SUM(OUTLET!N95,GRIFFTE!N95)</f>
        <v>0</v>
      </c>
      <c r="O95" s="5">
        <f t="shared" si="21"/>
        <v>0</v>
      </c>
    </row>
    <row r="96" spans="2:15" s="9" customFormat="1" ht="15.75" x14ac:dyDescent="0.25">
      <c r="B96" s="12" t="s">
        <v>118</v>
      </c>
      <c r="C96" s="37">
        <f>SUM(OUTLET!C96,GRIFFTE!C96)</f>
        <v>0</v>
      </c>
      <c r="D96" s="37">
        <f>SUM(OUTLET!D96,GRIFFTE!D96)</f>
        <v>0</v>
      </c>
      <c r="E96" s="37">
        <f>SUM(OUTLET!E96,GRIFFTE!E96)</f>
        <v>0</v>
      </c>
      <c r="F96" s="37">
        <f>SUM(OUTLET!F96,GRIFFTE!F96)</f>
        <v>0</v>
      </c>
      <c r="G96" s="37">
        <f>SUM(OUTLET!G96,GRIFFTE!G96)</f>
        <v>0</v>
      </c>
      <c r="H96" s="37">
        <f>SUM(OUTLET!H96,GRIFFTE!H96)</f>
        <v>0</v>
      </c>
      <c r="I96" s="37">
        <f>SUM(OUTLET!I96,GRIFFTE!I96)</f>
        <v>0</v>
      </c>
      <c r="J96" s="37">
        <f>SUM(OUTLET!J96,GRIFFTE!J96)</f>
        <v>0</v>
      </c>
      <c r="K96" s="37">
        <f>SUM(OUTLET!K96,GRIFFTE!K96)</f>
        <v>0</v>
      </c>
      <c r="L96" s="37">
        <f>SUM(OUTLET!L96,GRIFFTE!L96)</f>
        <v>0</v>
      </c>
      <c r="M96" s="37">
        <f>SUM(OUTLET!M96,GRIFFTE!M96)</f>
        <v>0</v>
      </c>
      <c r="N96" s="37">
        <f>SUM(OUTLET!N96,GRIFFTE!N96)</f>
        <v>0</v>
      </c>
      <c r="O96" s="5">
        <f t="shared" si="21"/>
        <v>0</v>
      </c>
    </row>
    <row r="97" spans="2:15" s="9" customFormat="1" ht="15.75" x14ac:dyDescent="0.25">
      <c r="B97" s="12" t="s">
        <v>119</v>
      </c>
      <c r="C97" s="37">
        <f>SUM(OUTLET!C97,GRIFFTE!C97)</f>
        <v>0</v>
      </c>
      <c r="D97" s="37">
        <f>SUM(OUTLET!D97,GRIFFTE!D97)</f>
        <v>0</v>
      </c>
      <c r="E97" s="37">
        <f>SUM(OUTLET!E97,GRIFFTE!E97)</f>
        <v>0</v>
      </c>
      <c r="F97" s="37">
        <f>SUM(OUTLET!F97,GRIFFTE!F97)</f>
        <v>0</v>
      </c>
      <c r="G97" s="37">
        <f>SUM(OUTLET!G97,GRIFFTE!G97)</f>
        <v>0</v>
      </c>
      <c r="H97" s="37">
        <f>SUM(OUTLET!H97,GRIFFTE!H97)</f>
        <v>0</v>
      </c>
      <c r="I97" s="37">
        <f>SUM(OUTLET!I97,GRIFFTE!I97)</f>
        <v>0</v>
      </c>
      <c r="J97" s="37">
        <f>SUM(OUTLET!J97,GRIFFTE!J97)</f>
        <v>0</v>
      </c>
      <c r="K97" s="37">
        <f>SUM(OUTLET!K97,GRIFFTE!K97)</f>
        <v>0</v>
      </c>
      <c r="L97" s="37">
        <f>SUM(OUTLET!L97,GRIFFTE!L97)</f>
        <v>0</v>
      </c>
      <c r="M97" s="37">
        <f>SUM(OUTLET!M97,GRIFFTE!M97)</f>
        <v>0</v>
      </c>
      <c r="N97" s="37">
        <f>SUM(OUTLET!N97,GRIFFTE!N97)</f>
        <v>0</v>
      </c>
      <c r="O97" s="5">
        <f t="shared" si="21"/>
        <v>0</v>
      </c>
    </row>
    <row r="98" spans="2:15" s="9" customFormat="1" ht="15.75" x14ac:dyDescent="0.25">
      <c r="B98" s="12" t="s">
        <v>120</v>
      </c>
      <c r="C98" s="37">
        <f>SUM(OUTLET!C98,GRIFFTE!C98)</f>
        <v>0</v>
      </c>
      <c r="D98" s="37">
        <f>SUM(OUTLET!D98,GRIFFTE!D98)</f>
        <v>0</v>
      </c>
      <c r="E98" s="37">
        <f>SUM(OUTLET!E98,GRIFFTE!E98)</f>
        <v>0</v>
      </c>
      <c r="F98" s="37">
        <f>SUM(OUTLET!F98,GRIFFTE!F98)</f>
        <v>0</v>
      </c>
      <c r="G98" s="37">
        <f>SUM(OUTLET!G98,GRIFFTE!G98)</f>
        <v>0</v>
      </c>
      <c r="H98" s="37">
        <f>SUM(OUTLET!H98,GRIFFTE!H98)</f>
        <v>0</v>
      </c>
      <c r="I98" s="37">
        <f>SUM(OUTLET!I98,GRIFFTE!I98)</f>
        <v>0</v>
      </c>
      <c r="J98" s="37">
        <f>SUM(OUTLET!J98,GRIFFTE!J98)</f>
        <v>0</v>
      </c>
      <c r="K98" s="37">
        <f>SUM(OUTLET!K98,GRIFFTE!K98)</f>
        <v>0</v>
      </c>
      <c r="L98" s="37">
        <f>SUM(OUTLET!L98,GRIFFTE!L98)</f>
        <v>0</v>
      </c>
      <c r="M98" s="37">
        <f>SUM(OUTLET!M98,GRIFFTE!M98)</f>
        <v>0</v>
      </c>
      <c r="N98" s="37">
        <f>SUM(OUTLET!N98,GRIFFTE!N98)</f>
        <v>0</v>
      </c>
      <c r="O98" s="5">
        <f t="shared" si="21"/>
        <v>0</v>
      </c>
    </row>
    <row r="99" spans="2:15" s="9" customFormat="1" ht="19.5" x14ac:dyDescent="0.25">
      <c r="B99" s="15" t="s">
        <v>121</v>
      </c>
      <c r="C99" s="38">
        <f>SUM(C100:C104)</f>
        <v>100</v>
      </c>
      <c r="D99" s="38">
        <f t="shared" ref="D99:N99" si="22">SUM(D100:D104)</f>
        <v>100</v>
      </c>
      <c r="E99" s="38">
        <f t="shared" si="22"/>
        <v>100</v>
      </c>
      <c r="F99" s="38">
        <f t="shared" si="22"/>
        <v>100</v>
      </c>
      <c r="G99" s="38">
        <f t="shared" si="22"/>
        <v>100</v>
      </c>
      <c r="H99" s="38">
        <f t="shared" si="22"/>
        <v>100</v>
      </c>
      <c r="I99" s="38">
        <f t="shared" si="22"/>
        <v>100</v>
      </c>
      <c r="J99" s="38">
        <f t="shared" si="22"/>
        <v>100</v>
      </c>
      <c r="K99" s="38">
        <f t="shared" si="22"/>
        <v>100</v>
      </c>
      <c r="L99" s="38">
        <f t="shared" si="22"/>
        <v>100</v>
      </c>
      <c r="M99" s="38">
        <f t="shared" si="22"/>
        <v>100</v>
      </c>
      <c r="N99" s="38">
        <f t="shared" si="22"/>
        <v>100</v>
      </c>
      <c r="O99" s="7">
        <f>SUM(C99:N99)</f>
        <v>1200</v>
      </c>
    </row>
    <row r="100" spans="2:15" s="9" customFormat="1" ht="15.75" x14ac:dyDescent="0.25">
      <c r="B100" s="36" t="s">
        <v>122</v>
      </c>
      <c r="C100" s="37">
        <f>SUM(OUTLET!C100,GRIFFTE!C100)</f>
        <v>0</v>
      </c>
      <c r="D100" s="37">
        <f>SUM(OUTLET!D100,GRIFFTE!D100)</f>
        <v>0</v>
      </c>
      <c r="E100" s="37">
        <f>SUM(OUTLET!E100,GRIFFTE!E100)</f>
        <v>0</v>
      </c>
      <c r="F100" s="37">
        <f>SUM(OUTLET!F100,GRIFFTE!F100)</f>
        <v>0</v>
      </c>
      <c r="G100" s="37">
        <f>SUM(OUTLET!G100,GRIFFTE!G100)</f>
        <v>0</v>
      </c>
      <c r="H100" s="37">
        <f>SUM(OUTLET!H100,GRIFFTE!H100)</f>
        <v>0</v>
      </c>
      <c r="I100" s="37">
        <f>SUM(OUTLET!I100,GRIFFTE!I100)</f>
        <v>0</v>
      </c>
      <c r="J100" s="37">
        <f>SUM(OUTLET!J100,GRIFFTE!J100)</f>
        <v>0</v>
      </c>
      <c r="K100" s="37">
        <f>SUM(OUTLET!K100,GRIFFTE!K100)</f>
        <v>0</v>
      </c>
      <c r="L100" s="37">
        <f>SUM(OUTLET!L100,GRIFFTE!L100)</f>
        <v>0</v>
      </c>
      <c r="M100" s="37">
        <f>SUM(OUTLET!M100,GRIFFTE!M100)</f>
        <v>0</v>
      </c>
      <c r="N100" s="37">
        <f>SUM(OUTLET!N100,GRIFFTE!N100)</f>
        <v>0</v>
      </c>
      <c r="O100" s="5">
        <f t="shared" si="21"/>
        <v>0</v>
      </c>
    </row>
    <row r="101" spans="2:15" s="9" customFormat="1" ht="15.75" x14ac:dyDescent="0.25">
      <c r="B101" s="36" t="s">
        <v>123</v>
      </c>
      <c r="C101" s="37">
        <f>SUM(OUTLET!C101,GRIFFTE!C101)</f>
        <v>0</v>
      </c>
      <c r="D101" s="37">
        <f>SUM(OUTLET!D101,GRIFFTE!D101)</f>
        <v>0</v>
      </c>
      <c r="E101" s="37">
        <f>SUM(OUTLET!E101,GRIFFTE!E101)</f>
        <v>0</v>
      </c>
      <c r="F101" s="37">
        <f>SUM(OUTLET!F101,GRIFFTE!F101)</f>
        <v>0</v>
      </c>
      <c r="G101" s="37">
        <f>SUM(OUTLET!G101,GRIFFTE!G101)</f>
        <v>0</v>
      </c>
      <c r="H101" s="37">
        <f>SUM(OUTLET!H101,GRIFFTE!H101)</f>
        <v>0</v>
      </c>
      <c r="I101" s="37">
        <f>SUM(OUTLET!I101,GRIFFTE!I101)</f>
        <v>0</v>
      </c>
      <c r="J101" s="37">
        <f>SUM(OUTLET!J101,GRIFFTE!J101)</f>
        <v>0</v>
      </c>
      <c r="K101" s="37">
        <f>SUM(OUTLET!K101,GRIFFTE!K101)</f>
        <v>0</v>
      </c>
      <c r="L101" s="37">
        <f>SUM(OUTLET!L101,GRIFFTE!L101)</f>
        <v>0</v>
      </c>
      <c r="M101" s="37">
        <f>SUM(OUTLET!M101,GRIFFTE!M101)</f>
        <v>0</v>
      </c>
      <c r="N101" s="37">
        <f>SUM(OUTLET!N101,GRIFFTE!N101)</f>
        <v>0</v>
      </c>
      <c r="O101" s="5">
        <f t="shared" si="21"/>
        <v>0</v>
      </c>
    </row>
    <row r="102" spans="2:15" s="9" customFormat="1" ht="15.75" x14ac:dyDescent="0.25">
      <c r="B102" s="36" t="s">
        <v>124</v>
      </c>
      <c r="C102" s="37">
        <f>SUM(OUTLET!C102,GRIFFTE!C102)</f>
        <v>0</v>
      </c>
      <c r="D102" s="37">
        <f>SUM(OUTLET!D102,GRIFFTE!D102)</f>
        <v>0</v>
      </c>
      <c r="E102" s="37">
        <f>SUM(OUTLET!E102,GRIFFTE!E102)</f>
        <v>0</v>
      </c>
      <c r="F102" s="37">
        <f>SUM(OUTLET!F102,GRIFFTE!F102)</f>
        <v>0</v>
      </c>
      <c r="G102" s="37">
        <f>SUM(OUTLET!G102,GRIFFTE!G102)</f>
        <v>0</v>
      </c>
      <c r="H102" s="37">
        <f>SUM(OUTLET!H102,GRIFFTE!H102)</f>
        <v>0</v>
      </c>
      <c r="I102" s="37">
        <f>SUM(OUTLET!I102,GRIFFTE!I102)</f>
        <v>0</v>
      </c>
      <c r="J102" s="37">
        <f>SUM(OUTLET!J102,GRIFFTE!J102)</f>
        <v>0</v>
      </c>
      <c r="K102" s="37">
        <f>SUM(OUTLET!K102,GRIFFTE!K102)</f>
        <v>0</v>
      </c>
      <c r="L102" s="37">
        <f>SUM(OUTLET!L102,GRIFFTE!L102)</f>
        <v>0</v>
      </c>
      <c r="M102" s="37">
        <f>SUM(OUTLET!M102,GRIFFTE!M102)</f>
        <v>0</v>
      </c>
      <c r="N102" s="37">
        <f>SUM(OUTLET!N102,GRIFFTE!N102)</f>
        <v>0</v>
      </c>
      <c r="O102" s="5">
        <f t="shared" si="21"/>
        <v>0</v>
      </c>
    </row>
    <row r="103" spans="2:15" s="9" customFormat="1" ht="15.75" x14ac:dyDescent="0.25">
      <c r="B103" s="12" t="s">
        <v>125</v>
      </c>
      <c r="C103" s="37">
        <f>SUM(OUTLET!C103,GRIFFTE!C103)</f>
        <v>100</v>
      </c>
      <c r="D103" s="37">
        <f>SUM(OUTLET!D103,GRIFFTE!D103)</f>
        <v>100</v>
      </c>
      <c r="E103" s="37">
        <f>SUM(OUTLET!E103,GRIFFTE!E103)</f>
        <v>100</v>
      </c>
      <c r="F103" s="37">
        <f>SUM(OUTLET!F103,GRIFFTE!F103)</f>
        <v>100</v>
      </c>
      <c r="G103" s="37">
        <f>SUM(OUTLET!G103,GRIFFTE!G103)</f>
        <v>100</v>
      </c>
      <c r="H103" s="37">
        <f>SUM(OUTLET!H103,GRIFFTE!H103)</f>
        <v>100</v>
      </c>
      <c r="I103" s="37">
        <f>SUM(OUTLET!I103,GRIFFTE!I103)</f>
        <v>100</v>
      </c>
      <c r="J103" s="37">
        <f>SUM(OUTLET!J103,GRIFFTE!J103)</f>
        <v>100</v>
      </c>
      <c r="K103" s="37">
        <f>SUM(OUTLET!K103,GRIFFTE!K103)</f>
        <v>100</v>
      </c>
      <c r="L103" s="37">
        <f>SUM(OUTLET!L103,GRIFFTE!L103)</f>
        <v>100</v>
      </c>
      <c r="M103" s="37">
        <f>SUM(OUTLET!M103,GRIFFTE!M103)</f>
        <v>100</v>
      </c>
      <c r="N103" s="37">
        <f>SUM(OUTLET!N103,GRIFFTE!N103)</f>
        <v>100</v>
      </c>
      <c r="O103" s="5">
        <f t="shared" si="21"/>
        <v>1200</v>
      </c>
    </row>
    <row r="104" spans="2:15" s="9" customFormat="1" ht="15.75" x14ac:dyDescent="0.25">
      <c r="B104" s="12" t="s">
        <v>126</v>
      </c>
      <c r="C104" s="37">
        <f>SUM(OUTLET!C104,GRIFFTE!C104)</f>
        <v>0</v>
      </c>
      <c r="D104" s="37">
        <f>SUM(OUTLET!D104,GRIFFTE!D104)</f>
        <v>0</v>
      </c>
      <c r="E104" s="37">
        <f>SUM(OUTLET!E104,GRIFFTE!E104)</f>
        <v>0</v>
      </c>
      <c r="F104" s="37">
        <f>SUM(OUTLET!F104,GRIFFTE!F104)</f>
        <v>0</v>
      </c>
      <c r="G104" s="37">
        <f>SUM(OUTLET!G104,GRIFFTE!G104)</f>
        <v>0</v>
      </c>
      <c r="H104" s="37">
        <f>SUM(OUTLET!H104,GRIFFTE!H104)</f>
        <v>0</v>
      </c>
      <c r="I104" s="37">
        <f>SUM(OUTLET!I104,GRIFFTE!I104)</f>
        <v>0</v>
      </c>
      <c r="J104" s="37">
        <f>SUM(OUTLET!J104,GRIFFTE!J104)</f>
        <v>0</v>
      </c>
      <c r="K104" s="37">
        <f>SUM(OUTLET!K104,GRIFFTE!K104)</f>
        <v>0</v>
      </c>
      <c r="L104" s="37">
        <f>SUM(OUTLET!L104,GRIFFTE!L104)</f>
        <v>0</v>
      </c>
      <c r="M104" s="37">
        <f>SUM(OUTLET!M104,GRIFFTE!M104)</f>
        <v>0</v>
      </c>
      <c r="N104" s="37">
        <f>SUM(OUTLET!N104,GRIFFTE!N104)</f>
        <v>0</v>
      </c>
      <c r="O104" s="5">
        <f t="shared" si="21"/>
        <v>0</v>
      </c>
    </row>
    <row r="105" spans="2:15" s="9" customFormat="1" ht="19.5" x14ac:dyDescent="0.25">
      <c r="B105" s="15" t="s">
        <v>127</v>
      </c>
      <c r="C105" s="38">
        <f>SUM(C106:C115)</f>
        <v>0</v>
      </c>
      <c r="D105" s="38">
        <f t="shared" ref="D105:N105" si="23">SUM(D106:D115)</f>
        <v>0</v>
      </c>
      <c r="E105" s="38">
        <f t="shared" si="23"/>
        <v>0</v>
      </c>
      <c r="F105" s="38">
        <f t="shared" si="23"/>
        <v>0</v>
      </c>
      <c r="G105" s="38">
        <f t="shared" si="23"/>
        <v>0</v>
      </c>
      <c r="H105" s="38">
        <f t="shared" si="23"/>
        <v>0</v>
      </c>
      <c r="I105" s="38">
        <f t="shared" si="23"/>
        <v>0</v>
      </c>
      <c r="J105" s="38">
        <f t="shared" si="23"/>
        <v>0</v>
      </c>
      <c r="K105" s="38">
        <f t="shared" si="23"/>
        <v>0</v>
      </c>
      <c r="L105" s="38">
        <f t="shared" si="23"/>
        <v>0</v>
      </c>
      <c r="M105" s="38">
        <f t="shared" si="23"/>
        <v>0</v>
      </c>
      <c r="N105" s="38">
        <f t="shared" si="23"/>
        <v>0</v>
      </c>
      <c r="O105" s="7">
        <f t="shared" si="21"/>
        <v>0</v>
      </c>
    </row>
    <row r="106" spans="2:15" s="9" customFormat="1" ht="15.75" x14ac:dyDescent="0.25">
      <c r="B106" s="12" t="s">
        <v>128</v>
      </c>
      <c r="C106" s="37">
        <f>SUM(OUTLET!C106,GRIFFTE!C106)</f>
        <v>0</v>
      </c>
      <c r="D106" s="37">
        <f>SUM(OUTLET!D106,GRIFFTE!D106)</f>
        <v>0</v>
      </c>
      <c r="E106" s="37">
        <f>SUM(OUTLET!E106,GRIFFTE!E106)</f>
        <v>0</v>
      </c>
      <c r="F106" s="37">
        <f>SUM(OUTLET!F106,GRIFFTE!F106)</f>
        <v>0</v>
      </c>
      <c r="G106" s="37">
        <f>SUM(OUTLET!G106,GRIFFTE!G106)</f>
        <v>0</v>
      </c>
      <c r="H106" s="37">
        <f>SUM(OUTLET!H106,GRIFFTE!H106)</f>
        <v>0</v>
      </c>
      <c r="I106" s="37">
        <f>SUM(OUTLET!I106,GRIFFTE!I106)</f>
        <v>0</v>
      </c>
      <c r="J106" s="37">
        <f>SUM(OUTLET!J106,GRIFFTE!J106)</f>
        <v>0</v>
      </c>
      <c r="K106" s="37">
        <f>SUM(OUTLET!K106,GRIFFTE!K106)</f>
        <v>0</v>
      </c>
      <c r="L106" s="37">
        <f>SUM(OUTLET!L106,GRIFFTE!L106)</f>
        <v>0</v>
      </c>
      <c r="M106" s="37">
        <f>SUM(OUTLET!M106,GRIFFTE!M106)</f>
        <v>0</v>
      </c>
      <c r="N106" s="37">
        <f>SUM(OUTLET!N106,GRIFFTE!N106)</f>
        <v>0</v>
      </c>
      <c r="O106" s="5">
        <f t="shared" si="21"/>
        <v>0</v>
      </c>
    </row>
    <row r="107" spans="2:15" s="9" customFormat="1" ht="15.75" x14ac:dyDescent="0.25">
      <c r="B107" s="12" t="s">
        <v>129</v>
      </c>
      <c r="C107" s="37">
        <f>SUM(OUTLET!C107,GRIFFTE!C107)</f>
        <v>0</v>
      </c>
      <c r="D107" s="37">
        <f>SUM(OUTLET!D107,GRIFFTE!D107)</f>
        <v>0</v>
      </c>
      <c r="E107" s="37">
        <f>SUM(OUTLET!E107,GRIFFTE!E107)</f>
        <v>0</v>
      </c>
      <c r="F107" s="37">
        <f>SUM(OUTLET!F107,GRIFFTE!F107)</f>
        <v>0</v>
      </c>
      <c r="G107" s="37">
        <f>SUM(OUTLET!G107,GRIFFTE!G107)</f>
        <v>0</v>
      </c>
      <c r="H107" s="37">
        <f>SUM(OUTLET!H107,GRIFFTE!H107)</f>
        <v>0</v>
      </c>
      <c r="I107" s="37">
        <f>SUM(OUTLET!I107,GRIFFTE!I107)</f>
        <v>0</v>
      </c>
      <c r="J107" s="37">
        <f>SUM(OUTLET!J107,GRIFFTE!J107)</f>
        <v>0</v>
      </c>
      <c r="K107" s="37">
        <f>SUM(OUTLET!K107,GRIFFTE!K107)</f>
        <v>0</v>
      </c>
      <c r="L107" s="37">
        <f>SUM(OUTLET!L107,GRIFFTE!L107)</f>
        <v>0</v>
      </c>
      <c r="M107" s="37">
        <f>SUM(OUTLET!M107,GRIFFTE!M107)</f>
        <v>0</v>
      </c>
      <c r="N107" s="37">
        <f>SUM(OUTLET!N107,GRIFFTE!N107)</f>
        <v>0</v>
      </c>
      <c r="O107" s="5">
        <f t="shared" si="21"/>
        <v>0</v>
      </c>
    </row>
    <row r="108" spans="2:15" s="9" customFormat="1" ht="15.75" x14ac:dyDescent="0.25">
      <c r="B108" s="12" t="s">
        <v>130</v>
      </c>
      <c r="C108" s="37">
        <f>SUM(OUTLET!C108,GRIFFTE!C108)</f>
        <v>0</v>
      </c>
      <c r="D108" s="37">
        <f>SUM(OUTLET!D108,GRIFFTE!D108)</f>
        <v>0</v>
      </c>
      <c r="E108" s="37">
        <f>SUM(OUTLET!E108,GRIFFTE!E108)</f>
        <v>0</v>
      </c>
      <c r="F108" s="37">
        <f>SUM(OUTLET!F108,GRIFFTE!F108)</f>
        <v>0</v>
      </c>
      <c r="G108" s="37">
        <f>SUM(OUTLET!G108,GRIFFTE!G108)</f>
        <v>0</v>
      </c>
      <c r="H108" s="37">
        <f>SUM(OUTLET!H108,GRIFFTE!H108)</f>
        <v>0</v>
      </c>
      <c r="I108" s="37">
        <f>SUM(OUTLET!I108,GRIFFTE!I108)</f>
        <v>0</v>
      </c>
      <c r="J108" s="37">
        <f>SUM(OUTLET!J108,GRIFFTE!J108)</f>
        <v>0</v>
      </c>
      <c r="K108" s="37">
        <f>SUM(OUTLET!K108,GRIFFTE!K108)</f>
        <v>0</v>
      </c>
      <c r="L108" s="37">
        <f>SUM(OUTLET!L108,GRIFFTE!L108)</f>
        <v>0</v>
      </c>
      <c r="M108" s="37">
        <f>SUM(OUTLET!M108,GRIFFTE!M108)</f>
        <v>0</v>
      </c>
      <c r="N108" s="37">
        <f>SUM(OUTLET!N108,GRIFFTE!N108)</f>
        <v>0</v>
      </c>
      <c r="O108" s="5">
        <f t="shared" si="21"/>
        <v>0</v>
      </c>
    </row>
    <row r="109" spans="2:15" s="9" customFormat="1" ht="15.75" x14ac:dyDescent="0.25">
      <c r="B109" s="12" t="s">
        <v>131</v>
      </c>
      <c r="C109" s="37">
        <f>SUM(OUTLET!C109,GRIFFTE!C109)</f>
        <v>0</v>
      </c>
      <c r="D109" s="37">
        <f>SUM(OUTLET!D109,GRIFFTE!D109)</f>
        <v>0</v>
      </c>
      <c r="E109" s="37">
        <f>SUM(OUTLET!E109,GRIFFTE!E109)</f>
        <v>0</v>
      </c>
      <c r="F109" s="37">
        <f>SUM(OUTLET!F109,GRIFFTE!F109)</f>
        <v>0</v>
      </c>
      <c r="G109" s="37">
        <f>SUM(OUTLET!G109,GRIFFTE!G109)</f>
        <v>0</v>
      </c>
      <c r="H109" s="37">
        <f>SUM(OUTLET!H109,GRIFFTE!H109)</f>
        <v>0</v>
      </c>
      <c r="I109" s="37">
        <f>SUM(OUTLET!I109,GRIFFTE!I109)</f>
        <v>0</v>
      </c>
      <c r="J109" s="37">
        <f>SUM(OUTLET!J109,GRIFFTE!J109)</f>
        <v>0</v>
      </c>
      <c r="K109" s="37">
        <f>SUM(OUTLET!K109,GRIFFTE!K109)</f>
        <v>0</v>
      </c>
      <c r="L109" s="37">
        <f>SUM(OUTLET!L109,GRIFFTE!L109)</f>
        <v>0</v>
      </c>
      <c r="M109" s="37">
        <f>SUM(OUTLET!M109,GRIFFTE!M109)</f>
        <v>0</v>
      </c>
      <c r="N109" s="37">
        <f>SUM(OUTLET!N109,GRIFFTE!N109)</f>
        <v>0</v>
      </c>
      <c r="O109" s="5">
        <f t="shared" si="21"/>
        <v>0</v>
      </c>
    </row>
    <row r="110" spans="2:15" s="9" customFormat="1" ht="15.75" x14ac:dyDescent="0.25">
      <c r="B110" s="12" t="s">
        <v>132</v>
      </c>
      <c r="C110" s="37">
        <f>SUM(OUTLET!C110,GRIFFTE!C110)</f>
        <v>0</v>
      </c>
      <c r="D110" s="37">
        <f>SUM(OUTLET!D110,GRIFFTE!D110)</f>
        <v>0</v>
      </c>
      <c r="E110" s="37">
        <f>SUM(OUTLET!E110,GRIFFTE!E110)</f>
        <v>0</v>
      </c>
      <c r="F110" s="37">
        <f>SUM(OUTLET!F110,GRIFFTE!F110)</f>
        <v>0</v>
      </c>
      <c r="G110" s="37">
        <f>SUM(OUTLET!G110,GRIFFTE!G110)</f>
        <v>0</v>
      </c>
      <c r="H110" s="37">
        <f>SUM(OUTLET!H110,GRIFFTE!H110)</f>
        <v>0</v>
      </c>
      <c r="I110" s="37">
        <f>SUM(OUTLET!I110,GRIFFTE!I110)</f>
        <v>0</v>
      </c>
      <c r="J110" s="37">
        <f>SUM(OUTLET!J110,GRIFFTE!J110)</f>
        <v>0</v>
      </c>
      <c r="K110" s="37">
        <f>SUM(OUTLET!K110,GRIFFTE!K110)</f>
        <v>0</v>
      </c>
      <c r="L110" s="37">
        <f>SUM(OUTLET!L110,GRIFFTE!L110)</f>
        <v>0</v>
      </c>
      <c r="M110" s="37">
        <f>SUM(OUTLET!M110,GRIFFTE!M110)</f>
        <v>0</v>
      </c>
      <c r="N110" s="37">
        <f>SUM(OUTLET!N110,GRIFFTE!N110)</f>
        <v>0</v>
      </c>
      <c r="O110" s="5">
        <f t="shared" si="21"/>
        <v>0</v>
      </c>
    </row>
    <row r="111" spans="2:15" s="9" customFormat="1" ht="15.75" x14ac:dyDescent="0.25">
      <c r="B111" s="12" t="s">
        <v>133</v>
      </c>
      <c r="C111" s="37">
        <f>SUM(OUTLET!C111,GRIFFTE!C111)</f>
        <v>0</v>
      </c>
      <c r="D111" s="37">
        <f>SUM(OUTLET!D111,GRIFFTE!D111)</f>
        <v>0</v>
      </c>
      <c r="E111" s="37">
        <f>SUM(OUTLET!E111,GRIFFTE!E111)</f>
        <v>0</v>
      </c>
      <c r="F111" s="37">
        <f>SUM(OUTLET!F111,GRIFFTE!F111)</f>
        <v>0</v>
      </c>
      <c r="G111" s="37">
        <f>SUM(OUTLET!G111,GRIFFTE!G111)</f>
        <v>0</v>
      </c>
      <c r="H111" s="37">
        <f>SUM(OUTLET!H111,GRIFFTE!H111)</f>
        <v>0</v>
      </c>
      <c r="I111" s="37">
        <f>SUM(OUTLET!I111,GRIFFTE!I111)</f>
        <v>0</v>
      </c>
      <c r="J111" s="37">
        <f>SUM(OUTLET!J111,GRIFFTE!J111)</f>
        <v>0</v>
      </c>
      <c r="K111" s="37">
        <f>SUM(OUTLET!K111,GRIFFTE!K111)</f>
        <v>0</v>
      </c>
      <c r="L111" s="37">
        <f>SUM(OUTLET!L111,GRIFFTE!L111)</f>
        <v>0</v>
      </c>
      <c r="M111" s="37">
        <f>SUM(OUTLET!M111,GRIFFTE!M111)</f>
        <v>0</v>
      </c>
      <c r="N111" s="37">
        <f>SUM(OUTLET!N111,GRIFFTE!N111)</f>
        <v>0</v>
      </c>
      <c r="O111" s="5">
        <f t="shared" si="21"/>
        <v>0</v>
      </c>
    </row>
    <row r="112" spans="2:15" s="9" customFormat="1" ht="15.75" x14ac:dyDescent="0.25">
      <c r="B112" s="12" t="s">
        <v>134</v>
      </c>
      <c r="C112" s="37">
        <f>SUM(OUTLET!C112,GRIFFTE!C112)</f>
        <v>0</v>
      </c>
      <c r="D112" s="37">
        <f>SUM(OUTLET!D112,GRIFFTE!D112)</f>
        <v>0</v>
      </c>
      <c r="E112" s="37">
        <f>SUM(OUTLET!E112,GRIFFTE!E112)</f>
        <v>0</v>
      </c>
      <c r="F112" s="37">
        <f>SUM(OUTLET!F112,GRIFFTE!F112)</f>
        <v>0</v>
      </c>
      <c r="G112" s="37">
        <f>SUM(OUTLET!G112,GRIFFTE!G112)</f>
        <v>0</v>
      </c>
      <c r="H112" s="37">
        <f>SUM(OUTLET!H112,GRIFFTE!H112)</f>
        <v>0</v>
      </c>
      <c r="I112" s="37">
        <f>SUM(OUTLET!I112,GRIFFTE!I112)</f>
        <v>0</v>
      </c>
      <c r="J112" s="37">
        <f>SUM(OUTLET!J112,GRIFFTE!J112)</f>
        <v>0</v>
      </c>
      <c r="K112" s="37">
        <f>SUM(OUTLET!K112,GRIFFTE!K112)</f>
        <v>0</v>
      </c>
      <c r="L112" s="37">
        <f>SUM(OUTLET!L112,GRIFFTE!L112)</f>
        <v>0</v>
      </c>
      <c r="M112" s="37">
        <f>SUM(OUTLET!M112,GRIFFTE!M112)</f>
        <v>0</v>
      </c>
      <c r="N112" s="37">
        <f>SUM(OUTLET!N112,GRIFFTE!N112)</f>
        <v>0</v>
      </c>
      <c r="O112" s="5">
        <f t="shared" si="21"/>
        <v>0</v>
      </c>
    </row>
    <row r="113" spans="2:15" s="9" customFormat="1" ht="15.75" x14ac:dyDescent="0.25">
      <c r="B113" s="12" t="s">
        <v>135</v>
      </c>
      <c r="C113" s="37">
        <f>SUM(OUTLET!C113,GRIFFTE!C113)</f>
        <v>0</v>
      </c>
      <c r="D113" s="37">
        <f>SUM(OUTLET!D113,GRIFFTE!D113)</f>
        <v>0</v>
      </c>
      <c r="E113" s="37">
        <f>SUM(OUTLET!E113,GRIFFTE!E113)</f>
        <v>0</v>
      </c>
      <c r="F113" s="37">
        <f>SUM(OUTLET!F113,GRIFFTE!F113)</f>
        <v>0</v>
      </c>
      <c r="G113" s="37">
        <f>SUM(OUTLET!G113,GRIFFTE!G113)</f>
        <v>0</v>
      </c>
      <c r="H113" s="37">
        <f>SUM(OUTLET!H113,GRIFFTE!H113)</f>
        <v>0</v>
      </c>
      <c r="I113" s="37">
        <f>SUM(OUTLET!I113,GRIFFTE!I113)</f>
        <v>0</v>
      </c>
      <c r="J113" s="37">
        <f>SUM(OUTLET!J113,GRIFFTE!J113)</f>
        <v>0</v>
      </c>
      <c r="K113" s="37">
        <f>SUM(OUTLET!K113,GRIFFTE!K113)</f>
        <v>0</v>
      </c>
      <c r="L113" s="37">
        <f>SUM(OUTLET!L113,GRIFFTE!L113)</f>
        <v>0</v>
      </c>
      <c r="M113" s="37">
        <f>SUM(OUTLET!M113,GRIFFTE!M113)</f>
        <v>0</v>
      </c>
      <c r="N113" s="37">
        <f>SUM(OUTLET!N113,GRIFFTE!N113)</f>
        <v>0</v>
      </c>
      <c r="O113" s="5">
        <f t="shared" si="21"/>
        <v>0</v>
      </c>
    </row>
    <row r="114" spans="2:15" s="9" customFormat="1" ht="15.75" x14ac:dyDescent="0.25">
      <c r="B114" s="12" t="s">
        <v>136</v>
      </c>
      <c r="C114" s="37">
        <f>SUM(OUTLET!C114,GRIFFTE!C114)</f>
        <v>0</v>
      </c>
      <c r="D114" s="37">
        <f>SUM(OUTLET!D114,GRIFFTE!D114)</f>
        <v>0</v>
      </c>
      <c r="E114" s="37">
        <f>SUM(OUTLET!E114,GRIFFTE!E114)</f>
        <v>0</v>
      </c>
      <c r="F114" s="37">
        <f>SUM(OUTLET!F114,GRIFFTE!F114)</f>
        <v>0</v>
      </c>
      <c r="G114" s="37">
        <f>SUM(OUTLET!G114,GRIFFTE!G114)</f>
        <v>0</v>
      </c>
      <c r="H114" s="37">
        <f>SUM(OUTLET!H114,GRIFFTE!H114)</f>
        <v>0</v>
      </c>
      <c r="I114" s="37">
        <f>SUM(OUTLET!I114,GRIFFTE!I114)</f>
        <v>0</v>
      </c>
      <c r="J114" s="37">
        <f>SUM(OUTLET!J114,GRIFFTE!J114)</f>
        <v>0</v>
      </c>
      <c r="K114" s="37">
        <f>SUM(OUTLET!K114,GRIFFTE!K114)</f>
        <v>0</v>
      </c>
      <c r="L114" s="37">
        <f>SUM(OUTLET!L114,GRIFFTE!L114)</f>
        <v>0</v>
      </c>
      <c r="M114" s="37">
        <f>SUM(OUTLET!M114,GRIFFTE!M114)</f>
        <v>0</v>
      </c>
      <c r="N114" s="37">
        <f>SUM(OUTLET!N114,GRIFFTE!N114)</f>
        <v>0</v>
      </c>
      <c r="O114" s="5">
        <f t="shared" si="21"/>
        <v>0</v>
      </c>
    </row>
    <row r="115" spans="2:15" s="9" customFormat="1" ht="15.75" x14ac:dyDescent="0.25">
      <c r="B115" s="12" t="s">
        <v>137</v>
      </c>
      <c r="C115" s="37">
        <f>SUM(OUTLET!C115,GRIFFTE!C115)</f>
        <v>0</v>
      </c>
      <c r="D115" s="37">
        <f>SUM(OUTLET!D115,GRIFFTE!D115)</f>
        <v>0</v>
      </c>
      <c r="E115" s="37">
        <f>SUM(OUTLET!E115,GRIFFTE!E115)</f>
        <v>0</v>
      </c>
      <c r="F115" s="37">
        <f>SUM(OUTLET!F115,GRIFFTE!F115)</f>
        <v>0</v>
      </c>
      <c r="G115" s="37">
        <f>SUM(OUTLET!G115,GRIFFTE!G115)</f>
        <v>0</v>
      </c>
      <c r="H115" s="37">
        <f>SUM(OUTLET!H115,GRIFFTE!H115)</f>
        <v>0</v>
      </c>
      <c r="I115" s="37">
        <f>SUM(OUTLET!I115,GRIFFTE!I115)</f>
        <v>0</v>
      </c>
      <c r="J115" s="37">
        <f>SUM(OUTLET!J115,GRIFFTE!J115)</f>
        <v>0</v>
      </c>
      <c r="K115" s="37">
        <f>SUM(OUTLET!K115,GRIFFTE!K115)</f>
        <v>0</v>
      </c>
      <c r="L115" s="37">
        <f>SUM(OUTLET!L115,GRIFFTE!L115)</f>
        <v>0</v>
      </c>
      <c r="M115" s="37">
        <f>SUM(OUTLET!M115,GRIFFTE!M115)</f>
        <v>0</v>
      </c>
      <c r="N115" s="37">
        <f>SUM(OUTLET!N115,GRIFFTE!N115)</f>
        <v>0</v>
      </c>
      <c r="O115" s="5">
        <f t="shared" si="21"/>
        <v>0</v>
      </c>
    </row>
    <row r="116" spans="2:15" s="42" customFormat="1" ht="19.5" x14ac:dyDescent="0.4">
      <c r="B116" s="15" t="s">
        <v>138</v>
      </c>
      <c r="C116" s="45">
        <f>SUM(C117:C119)</f>
        <v>0</v>
      </c>
      <c r="D116" s="45">
        <f t="shared" ref="D116:N116" si="24">SUM(D117:D119)</f>
        <v>0</v>
      </c>
      <c r="E116" s="45">
        <f t="shared" si="24"/>
        <v>0</v>
      </c>
      <c r="F116" s="45">
        <f t="shared" si="24"/>
        <v>0</v>
      </c>
      <c r="G116" s="45">
        <f t="shared" si="24"/>
        <v>0</v>
      </c>
      <c r="H116" s="45">
        <f t="shared" si="24"/>
        <v>0</v>
      </c>
      <c r="I116" s="45">
        <f t="shared" si="24"/>
        <v>0</v>
      </c>
      <c r="J116" s="45">
        <f t="shared" si="24"/>
        <v>0</v>
      </c>
      <c r="K116" s="45">
        <f t="shared" si="24"/>
        <v>0</v>
      </c>
      <c r="L116" s="45">
        <f t="shared" si="24"/>
        <v>0</v>
      </c>
      <c r="M116" s="45">
        <f t="shared" si="24"/>
        <v>0</v>
      </c>
      <c r="N116" s="45">
        <f t="shared" si="24"/>
        <v>0</v>
      </c>
      <c r="O116" s="44">
        <f t="shared" si="21"/>
        <v>0</v>
      </c>
    </row>
    <row r="117" spans="2:15" s="9" customFormat="1" ht="15.75" x14ac:dyDescent="0.25">
      <c r="B117" s="12" t="s">
        <v>139</v>
      </c>
      <c r="C117" s="37">
        <f>SUM(OUTLET!C117,GRIFFTE!C117)</f>
        <v>0</v>
      </c>
      <c r="D117" s="37">
        <f>SUM(OUTLET!D117,GRIFFTE!D117)</f>
        <v>0</v>
      </c>
      <c r="E117" s="37">
        <f>SUM(OUTLET!E117,GRIFFTE!E117)</f>
        <v>0</v>
      </c>
      <c r="F117" s="37">
        <f>SUM(OUTLET!F117,GRIFFTE!F117)</f>
        <v>0</v>
      </c>
      <c r="G117" s="37">
        <f>SUM(OUTLET!G117,GRIFFTE!G117)</f>
        <v>0</v>
      </c>
      <c r="H117" s="37">
        <f>SUM(OUTLET!H117,GRIFFTE!H117)</f>
        <v>0</v>
      </c>
      <c r="I117" s="37">
        <f>SUM(OUTLET!I117,GRIFFTE!I117)</f>
        <v>0</v>
      </c>
      <c r="J117" s="37">
        <f>SUM(OUTLET!J117,GRIFFTE!J117)</f>
        <v>0</v>
      </c>
      <c r="K117" s="37">
        <f>SUM(OUTLET!K117,GRIFFTE!K117)</f>
        <v>0</v>
      </c>
      <c r="L117" s="37">
        <f>SUM(OUTLET!L117,GRIFFTE!L117)</f>
        <v>0</v>
      </c>
      <c r="M117" s="37">
        <f>SUM(OUTLET!M117,GRIFFTE!M117)</f>
        <v>0</v>
      </c>
      <c r="N117" s="37">
        <f>SUM(OUTLET!N117,GRIFFTE!N117)</f>
        <v>0</v>
      </c>
      <c r="O117" s="5">
        <f t="shared" si="21"/>
        <v>0</v>
      </c>
    </row>
    <row r="118" spans="2:15" s="9" customFormat="1" ht="15.75" x14ac:dyDescent="0.25">
      <c r="B118" s="12" t="s">
        <v>140</v>
      </c>
      <c r="C118" s="37">
        <f>SUM(OUTLET!C118,GRIFFTE!C118)</f>
        <v>0</v>
      </c>
      <c r="D118" s="37">
        <f>SUM(OUTLET!D118,GRIFFTE!D118)</f>
        <v>0</v>
      </c>
      <c r="E118" s="37">
        <f>SUM(OUTLET!E118,GRIFFTE!E118)</f>
        <v>0</v>
      </c>
      <c r="F118" s="37">
        <f>SUM(OUTLET!F118,GRIFFTE!F118)</f>
        <v>0</v>
      </c>
      <c r="G118" s="37">
        <f>SUM(OUTLET!G118,GRIFFTE!G118)</f>
        <v>0</v>
      </c>
      <c r="H118" s="37">
        <f>SUM(OUTLET!H118,GRIFFTE!H118)</f>
        <v>0</v>
      </c>
      <c r="I118" s="37">
        <f>SUM(OUTLET!I118,GRIFFTE!I118)</f>
        <v>0</v>
      </c>
      <c r="J118" s="37">
        <f>SUM(OUTLET!J118,GRIFFTE!J118)</f>
        <v>0</v>
      </c>
      <c r="K118" s="37">
        <f>SUM(OUTLET!K118,GRIFFTE!K118)</f>
        <v>0</v>
      </c>
      <c r="L118" s="37">
        <f>SUM(OUTLET!L118,GRIFFTE!L118)</f>
        <v>0</v>
      </c>
      <c r="M118" s="37">
        <f>SUM(OUTLET!M118,GRIFFTE!M118)</f>
        <v>0</v>
      </c>
      <c r="N118" s="37">
        <f>SUM(OUTLET!N118,GRIFFTE!N118)</f>
        <v>0</v>
      </c>
      <c r="O118" s="5">
        <f t="shared" si="21"/>
        <v>0</v>
      </c>
    </row>
    <row r="119" spans="2:15" s="9" customFormat="1" ht="15.75" x14ac:dyDescent="0.25">
      <c r="B119" s="12" t="s">
        <v>141</v>
      </c>
      <c r="C119" s="37">
        <f>SUM(OUTLET!C119,GRIFFTE!C119)</f>
        <v>0</v>
      </c>
      <c r="D119" s="37">
        <f>SUM(OUTLET!D119,GRIFFTE!D119)</f>
        <v>0</v>
      </c>
      <c r="E119" s="37">
        <f>SUM(OUTLET!E119,GRIFFTE!E119)</f>
        <v>0</v>
      </c>
      <c r="F119" s="37">
        <f>SUM(OUTLET!F119,GRIFFTE!F119)</f>
        <v>0</v>
      </c>
      <c r="G119" s="37">
        <f>SUM(OUTLET!G119,GRIFFTE!G119)</f>
        <v>0</v>
      </c>
      <c r="H119" s="37">
        <f>SUM(OUTLET!H119,GRIFFTE!H119)</f>
        <v>0</v>
      </c>
      <c r="I119" s="37">
        <f>SUM(OUTLET!I119,GRIFFTE!I119)</f>
        <v>0</v>
      </c>
      <c r="J119" s="37">
        <f>SUM(OUTLET!J119,GRIFFTE!J119)</f>
        <v>0</v>
      </c>
      <c r="K119" s="37">
        <f>SUM(OUTLET!K119,GRIFFTE!K119)</f>
        <v>0</v>
      </c>
      <c r="L119" s="37">
        <f>SUM(OUTLET!L119,GRIFFTE!L119)</f>
        <v>0</v>
      </c>
      <c r="M119" s="37">
        <f>SUM(OUTLET!M119,GRIFFTE!M119)</f>
        <v>0</v>
      </c>
      <c r="N119" s="37">
        <f>SUM(OUTLET!N119,GRIFFTE!N119)</f>
        <v>0</v>
      </c>
      <c r="O119" s="5">
        <f t="shared" si="21"/>
        <v>0</v>
      </c>
    </row>
    <row r="120" spans="2:15" s="42" customFormat="1" ht="19.5" x14ac:dyDescent="0.4">
      <c r="B120" s="15" t="s">
        <v>142</v>
      </c>
      <c r="C120" s="45">
        <f>SUM(C121:C122)</f>
        <v>0</v>
      </c>
      <c r="D120" s="45">
        <f t="shared" ref="D120:N120" si="25">SUM(D121:D122)</f>
        <v>0</v>
      </c>
      <c r="E120" s="45">
        <f t="shared" si="25"/>
        <v>0</v>
      </c>
      <c r="F120" s="45">
        <f t="shared" si="25"/>
        <v>0</v>
      </c>
      <c r="G120" s="45">
        <f t="shared" si="25"/>
        <v>0</v>
      </c>
      <c r="H120" s="45">
        <f t="shared" si="25"/>
        <v>0</v>
      </c>
      <c r="I120" s="45">
        <f t="shared" si="25"/>
        <v>0</v>
      </c>
      <c r="J120" s="45">
        <f t="shared" si="25"/>
        <v>0</v>
      </c>
      <c r="K120" s="45">
        <f t="shared" si="25"/>
        <v>0</v>
      </c>
      <c r="L120" s="45">
        <f t="shared" si="25"/>
        <v>0</v>
      </c>
      <c r="M120" s="45">
        <f t="shared" si="25"/>
        <v>0</v>
      </c>
      <c r="N120" s="45">
        <f t="shared" si="25"/>
        <v>0</v>
      </c>
      <c r="O120" s="44">
        <f t="shared" si="21"/>
        <v>0</v>
      </c>
    </row>
    <row r="121" spans="2:15" s="9" customFormat="1" ht="15.75" x14ac:dyDescent="0.25">
      <c r="B121" s="12" t="s">
        <v>143</v>
      </c>
      <c r="C121" s="37">
        <f>SUM(OUTLET!C121,GRIFFTE!C121)</f>
        <v>0</v>
      </c>
      <c r="D121" s="37">
        <f>SUM(OUTLET!D121,GRIFFTE!D121)</f>
        <v>0</v>
      </c>
      <c r="E121" s="37">
        <f>SUM(OUTLET!E121,GRIFFTE!E121)</f>
        <v>0</v>
      </c>
      <c r="F121" s="37">
        <f>SUM(OUTLET!F121,GRIFFTE!F121)</f>
        <v>0</v>
      </c>
      <c r="G121" s="37">
        <f>SUM(OUTLET!G121,GRIFFTE!G121)</f>
        <v>0</v>
      </c>
      <c r="H121" s="37">
        <f>SUM(OUTLET!H121,GRIFFTE!H121)</f>
        <v>0</v>
      </c>
      <c r="I121" s="37">
        <f>SUM(OUTLET!I121,GRIFFTE!I121)</f>
        <v>0</v>
      </c>
      <c r="J121" s="37">
        <f>SUM(OUTLET!J121,GRIFFTE!J121)</f>
        <v>0</v>
      </c>
      <c r="K121" s="37">
        <f>SUM(OUTLET!K121,GRIFFTE!K121)</f>
        <v>0</v>
      </c>
      <c r="L121" s="37">
        <f>SUM(OUTLET!L121,GRIFFTE!L121)</f>
        <v>0</v>
      </c>
      <c r="M121" s="37">
        <f>SUM(OUTLET!M121,GRIFFTE!M121)</f>
        <v>0</v>
      </c>
      <c r="N121" s="37">
        <f>SUM(OUTLET!N121,GRIFFTE!N121)</f>
        <v>0</v>
      </c>
      <c r="O121" s="5">
        <f t="shared" si="21"/>
        <v>0</v>
      </c>
    </row>
    <row r="122" spans="2:15" s="9" customFormat="1" ht="15.75" x14ac:dyDescent="0.25">
      <c r="B122" s="12" t="s">
        <v>43</v>
      </c>
      <c r="C122" s="37">
        <f>SUM(OUTLET!C122,GRIFFTE!C122)</f>
        <v>0</v>
      </c>
      <c r="D122" s="37">
        <f>SUM(OUTLET!D122,GRIFFTE!D122)</f>
        <v>0</v>
      </c>
      <c r="E122" s="37">
        <f>SUM(OUTLET!E122,GRIFFTE!E122)</f>
        <v>0</v>
      </c>
      <c r="F122" s="37">
        <f>SUM(OUTLET!F122,GRIFFTE!F122)</f>
        <v>0</v>
      </c>
      <c r="G122" s="37">
        <f>SUM(OUTLET!G122,GRIFFTE!G122)</f>
        <v>0</v>
      </c>
      <c r="H122" s="37">
        <f>SUM(OUTLET!H122,GRIFFTE!H122)</f>
        <v>0</v>
      </c>
      <c r="I122" s="37">
        <f>SUM(OUTLET!I122,GRIFFTE!I122)</f>
        <v>0</v>
      </c>
      <c r="J122" s="37">
        <f>SUM(OUTLET!J122,GRIFFTE!J122)</f>
        <v>0</v>
      </c>
      <c r="K122" s="37">
        <f>SUM(OUTLET!K122,GRIFFTE!K122)</f>
        <v>0</v>
      </c>
      <c r="L122" s="37">
        <f>SUM(OUTLET!L122,GRIFFTE!L122)</f>
        <v>0</v>
      </c>
      <c r="M122" s="37">
        <f>SUM(OUTLET!M122,GRIFFTE!M122)</f>
        <v>0</v>
      </c>
      <c r="N122" s="37">
        <f>SUM(OUTLET!N122,GRIFFTE!N122)</f>
        <v>0</v>
      </c>
      <c r="O122" s="5">
        <f t="shared" si="21"/>
        <v>0</v>
      </c>
    </row>
    <row r="123" spans="2:15" s="42" customFormat="1" ht="19.5" x14ac:dyDescent="0.4">
      <c r="B123" s="15" t="s">
        <v>32</v>
      </c>
      <c r="C123" s="45">
        <f t="shared" ref="C123" si="26">SUM(C124:C125)</f>
        <v>0</v>
      </c>
      <c r="D123" s="45">
        <f t="shared" ref="D123:N123" si="27">SUM(D124:D125)</f>
        <v>0</v>
      </c>
      <c r="E123" s="45">
        <f t="shared" si="27"/>
        <v>0</v>
      </c>
      <c r="F123" s="45">
        <f t="shared" si="27"/>
        <v>0</v>
      </c>
      <c r="G123" s="45">
        <f t="shared" si="27"/>
        <v>0</v>
      </c>
      <c r="H123" s="45">
        <f t="shared" si="27"/>
        <v>0</v>
      </c>
      <c r="I123" s="45">
        <f t="shared" si="27"/>
        <v>0</v>
      </c>
      <c r="J123" s="45">
        <f t="shared" si="27"/>
        <v>0</v>
      </c>
      <c r="K123" s="45">
        <f t="shared" si="27"/>
        <v>0</v>
      </c>
      <c r="L123" s="45">
        <f t="shared" si="27"/>
        <v>0</v>
      </c>
      <c r="M123" s="45">
        <f t="shared" si="27"/>
        <v>0</v>
      </c>
      <c r="N123" s="45">
        <f t="shared" si="27"/>
        <v>0</v>
      </c>
      <c r="O123" s="44">
        <f t="shared" si="21"/>
        <v>0</v>
      </c>
    </row>
    <row r="124" spans="2:15" s="9" customFormat="1" ht="15.75" x14ac:dyDescent="0.25">
      <c r="B124" s="12" t="s">
        <v>144</v>
      </c>
      <c r="C124" s="37">
        <f>SUM(OUTLET!C124,GRIFFTE!C124)</f>
        <v>0</v>
      </c>
      <c r="D124" s="37">
        <f>SUM(OUTLET!D124,GRIFFTE!D124)</f>
        <v>0</v>
      </c>
      <c r="E124" s="37">
        <f>SUM(OUTLET!E124,GRIFFTE!E124)</f>
        <v>0</v>
      </c>
      <c r="F124" s="37">
        <f>SUM(OUTLET!F124,GRIFFTE!F124)</f>
        <v>0</v>
      </c>
      <c r="G124" s="37">
        <f>SUM(OUTLET!G124,GRIFFTE!G124)</f>
        <v>0</v>
      </c>
      <c r="H124" s="37">
        <f>SUM(OUTLET!H124,GRIFFTE!H124)</f>
        <v>0</v>
      </c>
      <c r="I124" s="37">
        <f>SUM(OUTLET!I124,GRIFFTE!I124)</f>
        <v>0</v>
      </c>
      <c r="J124" s="37">
        <f>SUM(OUTLET!J124,GRIFFTE!J124)</f>
        <v>0</v>
      </c>
      <c r="K124" s="37">
        <f>SUM(OUTLET!K124,GRIFFTE!K124)</f>
        <v>0</v>
      </c>
      <c r="L124" s="37">
        <f>SUM(OUTLET!L124,GRIFFTE!L124)</f>
        <v>0</v>
      </c>
      <c r="M124" s="37">
        <f>SUM(OUTLET!M124,GRIFFTE!M124)</f>
        <v>0</v>
      </c>
      <c r="N124" s="37">
        <f>SUM(OUTLET!N124,GRIFFTE!N124)</f>
        <v>0</v>
      </c>
      <c r="O124" s="5">
        <f t="shared" si="21"/>
        <v>0</v>
      </c>
    </row>
    <row r="125" spans="2:15" s="9" customFormat="1" ht="15.75" x14ac:dyDescent="0.25">
      <c r="B125" s="12" t="s">
        <v>145</v>
      </c>
      <c r="C125" s="37">
        <f>SUM(OUTLET!C125,GRIFFTE!C125)</f>
        <v>0</v>
      </c>
      <c r="D125" s="37">
        <f>SUM(OUTLET!D125,GRIFFTE!D125)</f>
        <v>0</v>
      </c>
      <c r="E125" s="37">
        <f>SUM(OUTLET!E125,GRIFFTE!E125)</f>
        <v>0</v>
      </c>
      <c r="F125" s="37">
        <f>SUM(OUTLET!F125,GRIFFTE!F125)</f>
        <v>0</v>
      </c>
      <c r="G125" s="37">
        <f>SUM(OUTLET!G125,GRIFFTE!G125)</f>
        <v>0</v>
      </c>
      <c r="H125" s="37">
        <f>SUM(OUTLET!H125,GRIFFTE!H125)</f>
        <v>0</v>
      </c>
      <c r="I125" s="37">
        <f>SUM(OUTLET!I125,GRIFFTE!I125)</f>
        <v>0</v>
      </c>
      <c r="J125" s="37">
        <f>SUM(OUTLET!J125,GRIFFTE!J125)</f>
        <v>0</v>
      </c>
      <c r="K125" s="37">
        <f>SUM(OUTLET!K125,GRIFFTE!K125)</f>
        <v>0</v>
      </c>
      <c r="L125" s="37">
        <f>SUM(OUTLET!L125,GRIFFTE!L125)</f>
        <v>0</v>
      </c>
      <c r="M125" s="37">
        <f>SUM(OUTLET!M125,GRIFFTE!M125)</f>
        <v>0</v>
      </c>
      <c r="N125" s="37">
        <f>SUM(OUTLET!N125,GRIFFTE!N125)</f>
        <v>0</v>
      </c>
      <c r="O125" s="5">
        <f t="shared" si="21"/>
        <v>0</v>
      </c>
    </row>
    <row r="126" spans="2:15" s="42" customFormat="1" ht="19.5" x14ac:dyDescent="0.4">
      <c r="B126" s="15" t="s">
        <v>146</v>
      </c>
      <c r="C126" s="45">
        <f>SUM(C127:C129)</f>
        <v>0</v>
      </c>
      <c r="D126" s="45">
        <f t="shared" ref="D126:N126" si="28">SUM(D127:D129)</f>
        <v>0</v>
      </c>
      <c r="E126" s="45">
        <f t="shared" si="28"/>
        <v>0</v>
      </c>
      <c r="F126" s="45">
        <f t="shared" si="28"/>
        <v>0</v>
      </c>
      <c r="G126" s="45">
        <f t="shared" si="28"/>
        <v>0</v>
      </c>
      <c r="H126" s="45">
        <f t="shared" si="28"/>
        <v>0</v>
      </c>
      <c r="I126" s="45">
        <f t="shared" si="28"/>
        <v>0</v>
      </c>
      <c r="J126" s="45">
        <f t="shared" si="28"/>
        <v>0</v>
      </c>
      <c r="K126" s="45">
        <f t="shared" si="28"/>
        <v>0</v>
      </c>
      <c r="L126" s="45">
        <f t="shared" si="28"/>
        <v>0</v>
      </c>
      <c r="M126" s="45">
        <f t="shared" si="28"/>
        <v>0</v>
      </c>
      <c r="N126" s="45">
        <f t="shared" si="28"/>
        <v>0</v>
      </c>
      <c r="O126" s="44">
        <f t="shared" si="21"/>
        <v>0</v>
      </c>
    </row>
    <row r="127" spans="2:15" s="9" customFormat="1" ht="15.75" x14ac:dyDescent="0.25">
      <c r="B127" s="12" t="s">
        <v>147</v>
      </c>
      <c r="C127" s="37">
        <f>SUM(OUTLET!C127,GRIFFTE!C127)</f>
        <v>0</v>
      </c>
      <c r="D127" s="37">
        <f>SUM(OUTLET!D127,GRIFFTE!D127)</f>
        <v>0</v>
      </c>
      <c r="E127" s="37">
        <f>SUM(OUTLET!E127,GRIFFTE!E127)</f>
        <v>0</v>
      </c>
      <c r="F127" s="37">
        <f>SUM(OUTLET!F127,GRIFFTE!F127)</f>
        <v>0</v>
      </c>
      <c r="G127" s="37">
        <f>SUM(OUTLET!G127,GRIFFTE!G127)</f>
        <v>0</v>
      </c>
      <c r="H127" s="37">
        <f>SUM(OUTLET!H127,GRIFFTE!H127)</f>
        <v>0</v>
      </c>
      <c r="I127" s="37">
        <f>SUM(OUTLET!I127,GRIFFTE!I127)</f>
        <v>0</v>
      </c>
      <c r="J127" s="37">
        <f>SUM(OUTLET!J127,GRIFFTE!J127)</f>
        <v>0</v>
      </c>
      <c r="K127" s="37">
        <f>SUM(OUTLET!K127,GRIFFTE!K127)</f>
        <v>0</v>
      </c>
      <c r="L127" s="37">
        <f>SUM(OUTLET!L127,GRIFFTE!L127)</f>
        <v>0</v>
      </c>
      <c r="M127" s="37">
        <f>SUM(OUTLET!M127,GRIFFTE!M127)</f>
        <v>0</v>
      </c>
      <c r="N127" s="37">
        <f>SUM(OUTLET!N127,GRIFFTE!N127)</f>
        <v>0</v>
      </c>
      <c r="O127" s="5">
        <f t="shared" si="21"/>
        <v>0</v>
      </c>
    </row>
    <row r="128" spans="2:15" s="9" customFormat="1" ht="15.75" x14ac:dyDescent="0.25">
      <c r="B128" s="12" t="s">
        <v>148</v>
      </c>
      <c r="C128" s="37">
        <f>SUM(OUTLET!C128,GRIFFTE!C128)</f>
        <v>0</v>
      </c>
      <c r="D128" s="37">
        <f>SUM(OUTLET!D128,GRIFFTE!D128)</f>
        <v>0</v>
      </c>
      <c r="E128" s="37">
        <f>SUM(OUTLET!E128,GRIFFTE!E128)</f>
        <v>0</v>
      </c>
      <c r="F128" s="37">
        <f>SUM(OUTLET!F128,GRIFFTE!F128)</f>
        <v>0</v>
      </c>
      <c r="G128" s="37">
        <f>SUM(OUTLET!G128,GRIFFTE!G128)</f>
        <v>0</v>
      </c>
      <c r="H128" s="37">
        <f>SUM(OUTLET!H128,GRIFFTE!H128)</f>
        <v>0</v>
      </c>
      <c r="I128" s="37">
        <f>SUM(OUTLET!I128,GRIFFTE!I128)</f>
        <v>0</v>
      </c>
      <c r="J128" s="37">
        <f>SUM(OUTLET!J128,GRIFFTE!J128)</f>
        <v>0</v>
      </c>
      <c r="K128" s="37">
        <f>SUM(OUTLET!K128,GRIFFTE!K128)</f>
        <v>0</v>
      </c>
      <c r="L128" s="37">
        <f>SUM(OUTLET!L128,GRIFFTE!L128)</f>
        <v>0</v>
      </c>
      <c r="M128" s="37">
        <f>SUM(OUTLET!M128,GRIFFTE!M128)</f>
        <v>0</v>
      </c>
      <c r="N128" s="37">
        <f>SUM(OUTLET!N128,GRIFFTE!N128)</f>
        <v>0</v>
      </c>
      <c r="O128" s="5">
        <f t="shared" si="21"/>
        <v>0</v>
      </c>
    </row>
    <row r="129" spans="2:15" s="9" customFormat="1" ht="15.75" x14ac:dyDescent="0.25">
      <c r="B129" s="12" t="s">
        <v>149</v>
      </c>
      <c r="C129" s="37">
        <f>SUM(OUTLET!C129,GRIFFTE!C129)</f>
        <v>0</v>
      </c>
      <c r="D129" s="37">
        <f>SUM(OUTLET!D129,GRIFFTE!D129)</f>
        <v>0</v>
      </c>
      <c r="E129" s="37">
        <f>SUM(OUTLET!E129,GRIFFTE!E129)</f>
        <v>0</v>
      </c>
      <c r="F129" s="37">
        <f>SUM(OUTLET!F129,GRIFFTE!F129)</f>
        <v>0</v>
      </c>
      <c r="G129" s="37">
        <f>SUM(OUTLET!G129,GRIFFTE!G129)</f>
        <v>0</v>
      </c>
      <c r="H129" s="37">
        <f>SUM(OUTLET!H129,GRIFFTE!H129)</f>
        <v>0</v>
      </c>
      <c r="I129" s="37">
        <f>SUM(OUTLET!I129,GRIFFTE!I129)</f>
        <v>0</v>
      </c>
      <c r="J129" s="37">
        <f>SUM(OUTLET!J129,GRIFFTE!J129)</f>
        <v>0</v>
      </c>
      <c r="K129" s="37">
        <f>SUM(OUTLET!K129,GRIFFTE!K129)</f>
        <v>0</v>
      </c>
      <c r="L129" s="37">
        <f>SUM(OUTLET!L129,GRIFFTE!L129)</f>
        <v>0</v>
      </c>
      <c r="M129" s="37">
        <f>SUM(OUTLET!M129,GRIFFTE!M129)</f>
        <v>0</v>
      </c>
      <c r="N129" s="37">
        <f>SUM(OUTLET!N129,GRIFFTE!N129)</f>
        <v>0</v>
      </c>
      <c r="O129" s="5">
        <f t="shared" si="21"/>
        <v>0</v>
      </c>
    </row>
    <row r="130" spans="2:15" s="42" customFormat="1" ht="19.5" x14ac:dyDescent="0.4">
      <c r="B130" s="15" t="s">
        <v>150</v>
      </c>
      <c r="C130" s="45">
        <f>SUM(C131:C132)</f>
        <v>0</v>
      </c>
      <c r="D130" s="45">
        <f t="shared" ref="D130:N130" si="29">SUM(D131:D132)</f>
        <v>0</v>
      </c>
      <c r="E130" s="45">
        <f t="shared" si="29"/>
        <v>0</v>
      </c>
      <c r="F130" s="45">
        <f t="shared" si="29"/>
        <v>0</v>
      </c>
      <c r="G130" s="45">
        <f t="shared" si="29"/>
        <v>0</v>
      </c>
      <c r="H130" s="45">
        <f t="shared" si="29"/>
        <v>0</v>
      </c>
      <c r="I130" s="45">
        <f t="shared" si="29"/>
        <v>0</v>
      </c>
      <c r="J130" s="45">
        <f t="shared" si="29"/>
        <v>0</v>
      </c>
      <c r="K130" s="45">
        <f t="shared" si="29"/>
        <v>0</v>
      </c>
      <c r="L130" s="45">
        <f t="shared" si="29"/>
        <v>0</v>
      </c>
      <c r="M130" s="45">
        <f t="shared" si="29"/>
        <v>0</v>
      </c>
      <c r="N130" s="45">
        <f t="shared" si="29"/>
        <v>0</v>
      </c>
      <c r="O130" s="44">
        <f t="shared" si="21"/>
        <v>0</v>
      </c>
    </row>
    <row r="131" spans="2:15" s="9" customFormat="1" ht="15.75" x14ac:dyDescent="0.25">
      <c r="B131" s="12" t="s">
        <v>64</v>
      </c>
      <c r="C131" s="37">
        <f>SUM(OUTLET!C131,GRIFFTE!C131)</f>
        <v>0</v>
      </c>
      <c r="D131" s="37">
        <f>SUM(OUTLET!D131,GRIFFTE!D131)</f>
        <v>0</v>
      </c>
      <c r="E131" s="37">
        <f>SUM(OUTLET!E131,GRIFFTE!E131)</f>
        <v>0</v>
      </c>
      <c r="F131" s="37">
        <f>SUM(OUTLET!F131,GRIFFTE!F131)</f>
        <v>0</v>
      </c>
      <c r="G131" s="37">
        <f>SUM(OUTLET!G131,GRIFFTE!G131)</f>
        <v>0</v>
      </c>
      <c r="H131" s="37">
        <f>SUM(OUTLET!H131,GRIFFTE!H131)</f>
        <v>0</v>
      </c>
      <c r="I131" s="37">
        <f>SUM(OUTLET!I131,GRIFFTE!I131)</f>
        <v>0</v>
      </c>
      <c r="J131" s="37">
        <f>SUM(OUTLET!J131,GRIFFTE!J131)</f>
        <v>0</v>
      </c>
      <c r="K131" s="37">
        <f>SUM(OUTLET!K131,GRIFFTE!K131)</f>
        <v>0</v>
      </c>
      <c r="L131" s="37">
        <f>SUM(OUTLET!L131,GRIFFTE!L131)</f>
        <v>0</v>
      </c>
      <c r="M131" s="37">
        <f>SUM(OUTLET!M131,GRIFFTE!M131)</f>
        <v>0</v>
      </c>
      <c r="N131" s="37">
        <f>SUM(OUTLET!N131,GRIFFTE!N131)</f>
        <v>0</v>
      </c>
      <c r="O131" s="5">
        <f t="shared" si="21"/>
        <v>0</v>
      </c>
    </row>
    <row r="132" spans="2:15" s="9" customFormat="1" ht="15.75" x14ac:dyDescent="0.25">
      <c r="B132" s="12" t="s">
        <v>151</v>
      </c>
      <c r="C132" s="37">
        <f>SUM(OUTLET!C132,GRIFFTE!C132)</f>
        <v>0</v>
      </c>
      <c r="D132" s="37">
        <f>SUM(OUTLET!D132,GRIFFTE!D132)</f>
        <v>0</v>
      </c>
      <c r="E132" s="37">
        <f>SUM(OUTLET!E132,GRIFFTE!E132)</f>
        <v>0</v>
      </c>
      <c r="F132" s="37">
        <f>SUM(OUTLET!F132,GRIFFTE!F132)</f>
        <v>0</v>
      </c>
      <c r="G132" s="37">
        <f>SUM(OUTLET!G132,GRIFFTE!G132)</f>
        <v>0</v>
      </c>
      <c r="H132" s="37">
        <f>SUM(OUTLET!H132,GRIFFTE!H132)</f>
        <v>0</v>
      </c>
      <c r="I132" s="37">
        <f>SUM(OUTLET!I132,GRIFFTE!I132)</f>
        <v>0</v>
      </c>
      <c r="J132" s="37">
        <f>SUM(OUTLET!J132,GRIFFTE!J132)</f>
        <v>0</v>
      </c>
      <c r="K132" s="37">
        <f>SUM(OUTLET!K132,GRIFFTE!K132)</f>
        <v>0</v>
      </c>
      <c r="L132" s="37">
        <f>SUM(OUTLET!L132,GRIFFTE!L132)</f>
        <v>0</v>
      </c>
      <c r="M132" s="37">
        <f>SUM(OUTLET!M132,GRIFFTE!M132)</f>
        <v>0</v>
      </c>
      <c r="N132" s="37">
        <f>SUM(OUTLET!N132,GRIFFTE!N132)</f>
        <v>0</v>
      </c>
      <c r="O132" s="5">
        <f t="shared" si="21"/>
        <v>0</v>
      </c>
    </row>
    <row r="133" spans="2:15" s="42" customFormat="1" ht="19.5" x14ac:dyDescent="0.4">
      <c r="B133" s="15" t="s">
        <v>152</v>
      </c>
      <c r="C133" s="45">
        <f>SUM(C134:C138)</f>
        <v>0</v>
      </c>
      <c r="D133" s="45">
        <f t="shared" ref="D133:N133" si="30">SUM(D134:D138)</f>
        <v>0</v>
      </c>
      <c r="E133" s="45">
        <f t="shared" si="30"/>
        <v>0</v>
      </c>
      <c r="F133" s="45">
        <f t="shared" si="30"/>
        <v>0</v>
      </c>
      <c r="G133" s="45">
        <f t="shared" si="30"/>
        <v>0</v>
      </c>
      <c r="H133" s="45">
        <f t="shared" si="30"/>
        <v>0</v>
      </c>
      <c r="I133" s="45">
        <f t="shared" si="30"/>
        <v>0</v>
      </c>
      <c r="J133" s="45">
        <f t="shared" si="30"/>
        <v>0</v>
      </c>
      <c r="K133" s="45">
        <f t="shared" si="30"/>
        <v>0</v>
      </c>
      <c r="L133" s="45">
        <f t="shared" si="30"/>
        <v>0</v>
      </c>
      <c r="M133" s="45">
        <f t="shared" si="30"/>
        <v>0</v>
      </c>
      <c r="N133" s="45">
        <f t="shared" si="30"/>
        <v>0</v>
      </c>
      <c r="O133" s="44">
        <f t="shared" si="21"/>
        <v>0</v>
      </c>
    </row>
    <row r="134" spans="2:15" s="9" customFormat="1" ht="15.75" x14ac:dyDescent="0.25">
      <c r="B134" s="12" t="s">
        <v>153</v>
      </c>
      <c r="C134" s="37">
        <f>SUM(OUTLET!C134,GRIFFTE!C134)</f>
        <v>0</v>
      </c>
      <c r="D134" s="37">
        <f>SUM(OUTLET!D134,GRIFFTE!D134)</f>
        <v>0</v>
      </c>
      <c r="E134" s="37">
        <f>SUM(OUTLET!E134,GRIFFTE!E134)</f>
        <v>0</v>
      </c>
      <c r="F134" s="37">
        <f>SUM(OUTLET!F134,GRIFFTE!F134)</f>
        <v>0</v>
      </c>
      <c r="G134" s="37">
        <f>SUM(OUTLET!G134,GRIFFTE!G134)</f>
        <v>0</v>
      </c>
      <c r="H134" s="37">
        <f>SUM(OUTLET!H134,GRIFFTE!H134)</f>
        <v>0</v>
      </c>
      <c r="I134" s="37">
        <f>SUM(OUTLET!I134,GRIFFTE!I134)</f>
        <v>0</v>
      </c>
      <c r="J134" s="37">
        <f>SUM(OUTLET!J134,GRIFFTE!J134)</f>
        <v>0</v>
      </c>
      <c r="K134" s="37">
        <f>SUM(OUTLET!K134,GRIFFTE!K134)</f>
        <v>0</v>
      </c>
      <c r="L134" s="37">
        <f>SUM(OUTLET!L134,GRIFFTE!L134)</f>
        <v>0</v>
      </c>
      <c r="M134" s="37">
        <f>SUM(OUTLET!M134,GRIFFTE!M134)</f>
        <v>0</v>
      </c>
      <c r="N134" s="37">
        <f>SUM(OUTLET!N134,GRIFFTE!N134)</f>
        <v>0</v>
      </c>
      <c r="O134" s="5">
        <f t="shared" si="21"/>
        <v>0</v>
      </c>
    </row>
    <row r="135" spans="2:15" s="9" customFormat="1" ht="15.75" x14ac:dyDescent="0.25">
      <c r="B135" s="12" t="s">
        <v>154</v>
      </c>
      <c r="C135" s="37">
        <f>SUM(OUTLET!C135,GRIFFTE!C135)</f>
        <v>0</v>
      </c>
      <c r="D135" s="37">
        <f>SUM(OUTLET!D135,GRIFFTE!D135)</f>
        <v>0</v>
      </c>
      <c r="E135" s="37">
        <f>SUM(OUTLET!E135,GRIFFTE!E135)</f>
        <v>0</v>
      </c>
      <c r="F135" s="37">
        <f>SUM(OUTLET!F135,GRIFFTE!F135)</f>
        <v>0</v>
      </c>
      <c r="G135" s="37">
        <f>SUM(OUTLET!G135,GRIFFTE!G135)</f>
        <v>0</v>
      </c>
      <c r="H135" s="37">
        <f>SUM(OUTLET!H135,GRIFFTE!H135)</f>
        <v>0</v>
      </c>
      <c r="I135" s="37">
        <f>SUM(OUTLET!I135,GRIFFTE!I135)</f>
        <v>0</v>
      </c>
      <c r="J135" s="37">
        <f>SUM(OUTLET!J135,GRIFFTE!J135)</f>
        <v>0</v>
      </c>
      <c r="K135" s="37">
        <f>SUM(OUTLET!K135,GRIFFTE!K135)</f>
        <v>0</v>
      </c>
      <c r="L135" s="37">
        <f>SUM(OUTLET!L135,GRIFFTE!L135)</f>
        <v>0</v>
      </c>
      <c r="M135" s="37">
        <f>SUM(OUTLET!M135,GRIFFTE!M135)</f>
        <v>0</v>
      </c>
      <c r="N135" s="37">
        <f>SUM(OUTLET!N135,GRIFFTE!N135)</f>
        <v>0</v>
      </c>
      <c r="O135" s="5">
        <f t="shared" si="21"/>
        <v>0</v>
      </c>
    </row>
    <row r="136" spans="2:15" s="9" customFormat="1" ht="15.75" x14ac:dyDescent="0.25">
      <c r="B136" s="12" t="s">
        <v>155</v>
      </c>
      <c r="C136" s="37">
        <f>SUM(OUTLET!C136,GRIFFTE!C136)</f>
        <v>0</v>
      </c>
      <c r="D136" s="37">
        <f>SUM(OUTLET!D136,GRIFFTE!D136)</f>
        <v>0</v>
      </c>
      <c r="E136" s="37">
        <f>SUM(OUTLET!E136,GRIFFTE!E136)</f>
        <v>0</v>
      </c>
      <c r="F136" s="37">
        <f>SUM(OUTLET!F136,GRIFFTE!F136)</f>
        <v>0</v>
      </c>
      <c r="G136" s="37">
        <f>SUM(OUTLET!G136,GRIFFTE!G136)</f>
        <v>0</v>
      </c>
      <c r="H136" s="37">
        <f>SUM(OUTLET!H136,GRIFFTE!H136)</f>
        <v>0</v>
      </c>
      <c r="I136" s="37">
        <f>SUM(OUTLET!I136,GRIFFTE!I136)</f>
        <v>0</v>
      </c>
      <c r="J136" s="37">
        <f>SUM(OUTLET!J136,GRIFFTE!J136)</f>
        <v>0</v>
      </c>
      <c r="K136" s="37">
        <f>SUM(OUTLET!K136,GRIFFTE!K136)</f>
        <v>0</v>
      </c>
      <c r="L136" s="37">
        <f>SUM(OUTLET!L136,GRIFFTE!L136)</f>
        <v>0</v>
      </c>
      <c r="M136" s="37">
        <f>SUM(OUTLET!M136,GRIFFTE!M136)</f>
        <v>0</v>
      </c>
      <c r="N136" s="37">
        <f>SUM(OUTLET!N136,GRIFFTE!N136)</f>
        <v>0</v>
      </c>
      <c r="O136" s="5">
        <f t="shared" si="21"/>
        <v>0</v>
      </c>
    </row>
    <row r="137" spans="2:15" s="9" customFormat="1" ht="15.75" x14ac:dyDescent="0.25">
      <c r="B137" s="12" t="s">
        <v>156</v>
      </c>
      <c r="C137" s="37">
        <f>SUM(OUTLET!C137,GRIFFTE!C137)</f>
        <v>0</v>
      </c>
      <c r="D137" s="37">
        <f>SUM(OUTLET!D137,GRIFFTE!D137)</f>
        <v>0</v>
      </c>
      <c r="E137" s="37">
        <f>SUM(OUTLET!E137,GRIFFTE!E137)</f>
        <v>0</v>
      </c>
      <c r="F137" s="37">
        <f>SUM(OUTLET!F137,GRIFFTE!F137)</f>
        <v>0</v>
      </c>
      <c r="G137" s="37">
        <f>SUM(OUTLET!G137,GRIFFTE!G137)</f>
        <v>0</v>
      </c>
      <c r="H137" s="37">
        <f>SUM(OUTLET!H137,GRIFFTE!H137)</f>
        <v>0</v>
      </c>
      <c r="I137" s="37">
        <f>SUM(OUTLET!I137,GRIFFTE!I137)</f>
        <v>0</v>
      </c>
      <c r="J137" s="37">
        <f>SUM(OUTLET!J137,GRIFFTE!J137)</f>
        <v>0</v>
      </c>
      <c r="K137" s="37">
        <f>SUM(OUTLET!K137,GRIFFTE!K137)</f>
        <v>0</v>
      </c>
      <c r="L137" s="37">
        <f>SUM(OUTLET!L137,GRIFFTE!L137)</f>
        <v>0</v>
      </c>
      <c r="M137" s="37">
        <f>SUM(OUTLET!M137,GRIFFTE!M137)</f>
        <v>0</v>
      </c>
      <c r="N137" s="37">
        <f>SUM(OUTLET!N137,GRIFFTE!N137)</f>
        <v>0</v>
      </c>
      <c r="O137" s="5">
        <f t="shared" si="21"/>
        <v>0</v>
      </c>
    </row>
    <row r="138" spans="2:15" s="9" customFormat="1" ht="15.75" x14ac:dyDescent="0.25">
      <c r="C138" s="37">
        <f>SUM(OUTLET!C138,GRIFFTE!C138)</f>
        <v>0</v>
      </c>
      <c r="D138" s="37">
        <f>SUM(OUTLET!D138,GRIFFTE!D138)</f>
        <v>0</v>
      </c>
      <c r="E138" s="37">
        <f>SUM(OUTLET!E138,GRIFFTE!E138)</f>
        <v>0</v>
      </c>
      <c r="F138" s="37">
        <f>SUM(OUTLET!F138,GRIFFTE!F138)</f>
        <v>0</v>
      </c>
      <c r="G138" s="37">
        <f>SUM(OUTLET!G138,GRIFFTE!G138)</f>
        <v>0</v>
      </c>
      <c r="H138" s="37">
        <f>SUM(OUTLET!H138,GRIFFTE!H138)</f>
        <v>0</v>
      </c>
      <c r="I138" s="37">
        <f>SUM(OUTLET!I138,GRIFFTE!I138)</f>
        <v>0</v>
      </c>
      <c r="J138" s="37">
        <f>SUM(OUTLET!J138,GRIFFTE!J138)</f>
        <v>0</v>
      </c>
      <c r="K138" s="37">
        <f>SUM(OUTLET!K138,GRIFFTE!K138)</f>
        <v>0</v>
      </c>
      <c r="L138" s="37">
        <f>SUM(OUTLET!L138,GRIFFTE!L138)</f>
        <v>0</v>
      </c>
      <c r="M138" s="37">
        <f>SUM(OUTLET!M138,GRIFFTE!M138)</f>
        <v>0</v>
      </c>
      <c r="N138" s="37">
        <f>SUM(OUTLET!N138,GRIFFTE!N138)</f>
        <v>0</v>
      </c>
      <c r="O138" s="5">
        <f t="shared" si="21"/>
        <v>0</v>
      </c>
    </row>
    <row r="139" spans="2:15" s="9" customFormat="1" ht="15.75" x14ac:dyDescent="0.25"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17"/>
    </row>
    <row r="140" spans="2:15" s="9" customFormat="1" ht="15.75" x14ac:dyDescent="0.25"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17"/>
    </row>
    <row r="141" spans="2:15" s="9" customFormat="1" ht="15.75" x14ac:dyDescent="0.25"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17"/>
    </row>
    <row r="142" spans="2:15" s="9" customFormat="1" ht="15.75" x14ac:dyDescent="0.25"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17"/>
    </row>
    <row r="143" spans="2:15" s="9" customFormat="1" ht="15.75" x14ac:dyDescent="0.25"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17"/>
    </row>
    <row r="144" spans="2:15" s="9" customFormat="1" ht="15.75" x14ac:dyDescent="0.25">
      <c r="O144" s="17"/>
    </row>
    <row r="145" spans="15:15" s="9" customFormat="1" ht="15.75" x14ac:dyDescent="0.25">
      <c r="O145" s="17"/>
    </row>
    <row r="146" spans="15:15" s="9" customFormat="1" ht="15.75" x14ac:dyDescent="0.25">
      <c r="O146" s="17"/>
    </row>
    <row r="147" spans="15:15" s="9" customFormat="1" ht="15.75" x14ac:dyDescent="0.25">
      <c r="O147" s="17"/>
    </row>
    <row r="148" spans="15:15" s="9" customFormat="1" ht="15.75" x14ac:dyDescent="0.25">
      <c r="O148" s="17"/>
    </row>
    <row r="149" spans="15:15" s="9" customFormat="1" ht="15.75" x14ac:dyDescent="0.25">
      <c r="O149" s="17"/>
    </row>
    <row r="150" spans="15:15" s="9" customFormat="1" ht="15.75" x14ac:dyDescent="0.25">
      <c r="O150" s="17"/>
    </row>
    <row r="151" spans="15:15" s="9" customFormat="1" ht="15.75" x14ac:dyDescent="0.25">
      <c r="O151" s="17"/>
    </row>
    <row r="152" spans="15:15" s="9" customFormat="1" ht="15.75" x14ac:dyDescent="0.25">
      <c r="O152" s="17"/>
    </row>
    <row r="153" spans="15:15" s="9" customFormat="1" ht="15.75" x14ac:dyDescent="0.25">
      <c r="O153" s="17"/>
    </row>
    <row r="154" spans="15:15" s="9" customFormat="1" ht="15.75" x14ac:dyDescent="0.25">
      <c r="O154" s="17"/>
    </row>
    <row r="155" spans="15:15" s="9" customFormat="1" ht="15.75" x14ac:dyDescent="0.25">
      <c r="O155" s="17"/>
    </row>
    <row r="156" spans="15:15" s="9" customFormat="1" ht="15.75" x14ac:dyDescent="0.25">
      <c r="O156" s="17"/>
    </row>
    <row r="157" spans="15:15" s="9" customFormat="1" ht="15.75" x14ac:dyDescent="0.25">
      <c r="O157" s="17"/>
    </row>
    <row r="158" spans="15:15" s="9" customFormat="1" ht="15.75" x14ac:dyDescent="0.25">
      <c r="O158" s="17"/>
    </row>
    <row r="159" spans="15:15" s="9" customFormat="1" ht="15.75" x14ac:dyDescent="0.25">
      <c r="O159" s="17"/>
    </row>
    <row r="160" spans="15:15" s="9" customFormat="1" ht="15.75" x14ac:dyDescent="0.25">
      <c r="O160" s="17"/>
    </row>
    <row r="161" spans="15:15" s="9" customFormat="1" ht="15.75" x14ac:dyDescent="0.25">
      <c r="O161" s="17"/>
    </row>
    <row r="162" spans="15:15" s="9" customFormat="1" ht="15.75" x14ac:dyDescent="0.25">
      <c r="O162" s="17"/>
    </row>
    <row r="163" spans="15:15" s="9" customFormat="1" ht="15.75" x14ac:dyDescent="0.25">
      <c r="O163" s="17"/>
    </row>
    <row r="164" spans="15:15" s="9" customFormat="1" ht="15.75" x14ac:dyDescent="0.25">
      <c r="O164" s="17"/>
    </row>
    <row r="165" spans="15:15" s="9" customFormat="1" ht="15.75" x14ac:dyDescent="0.25">
      <c r="O165" s="17"/>
    </row>
  </sheetData>
  <sheetProtection formatCells="0" formatColumns="0" formatRows="0" insertColumns="0" insertRows="0" insertHyperlinks="0" deleteColumns="0" deleteRows="0" sort="0" autoFilter="0" pivotTables="0"/>
  <mergeCells count="2">
    <mergeCell ref="C1:O1"/>
    <mergeCell ref="A2:B2"/>
  </mergeCells>
  <pageMargins left="0" right="0" top="0.75" bottom="0.75" header="0.3" footer="0.3"/>
  <pageSetup paperSize="9" fitToHeight="0" orientation="landscape"/>
  <headerFooter>
    <oddFooter>&amp;L&amp;Bfinancas - previsto x realizad&amp;RPágina &amp;P de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77EF-9D42-447C-9499-ED8B3A1F0329}">
  <sheetPr>
    <tabColor rgb="FFF5740A"/>
    <pageSetUpPr fitToPage="1"/>
  </sheetPr>
  <dimension ref="A1:O165"/>
  <sheetViews>
    <sheetView showGridLines="0" zoomScale="60" zoomScaleNormal="60" workbookViewId="0">
      <pane xSplit="2" ySplit="3" topLeftCell="C4" activePane="bottomRight" state="frozen"/>
      <selection pane="topRight"/>
      <selection pane="bottomLeft"/>
      <selection pane="bottomRight" activeCell="C2" sqref="C2"/>
    </sheetView>
  </sheetViews>
  <sheetFormatPr defaultRowHeight="15" customHeight="1" x14ac:dyDescent="0.25"/>
  <cols>
    <col min="1" max="1" width="6.42578125" customWidth="1"/>
    <col min="2" max="2" width="40.85546875" bestFit="1" customWidth="1"/>
    <col min="3" max="4" width="23.28515625" bestFit="1" customWidth="1"/>
    <col min="5" max="5" width="24" bestFit="1" customWidth="1"/>
    <col min="6" max="7" width="24.42578125" bestFit="1" customWidth="1"/>
    <col min="8" max="12" width="24.85546875" bestFit="1" customWidth="1"/>
    <col min="13" max="14" width="24.42578125" bestFit="1" customWidth="1"/>
    <col min="15" max="15" width="24.85546875" style="1" bestFit="1" customWidth="1"/>
  </cols>
  <sheetData>
    <row r="1" spans="1:15" ht="68.25" customHeight="1" x14ac:dyDescent="0.25">
      <c r="C1" s="286" t="s">
        <v>253</v>
      </c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5" ht="24.95" customHeight="1" x14ac:dyDescent="0.25">
      <c r="A2" s="287" t="s">
        <v>246</v>
      </c>
      <c r="B2" s="287"/>
      <c r="C2" s="184">
        <f>C47/O$47</f>
        <v>6.455072835599647E-2</v>
      </c>
      <c r="D2" s="184">
        <f>D47/$O$47</f>
        <v>0.14838056006917719</v>
      </c>
      <c r="E2" s="184">
        <f>E47/$O$47</f>
        <v>7.3727633817003521E-2</v>
      </c>
      <c r="F2" s="184">
        <f t="shared" ref="F2:N2" si="0">F47/$O$47</f>
        <v>7.6103224151201576E-2</v>
      </c>
      <c r="G2" s="184">
        <f t="shared" si="0"/>
        <v>7.6637731976396131E-2</v>
      </c>
      <c r="H2" s="184">
        <f t="shared" si="0"/>
        <v>7.5865665117781769E-2</v>
      </c>
      <c r="I2" s="184">
        <f t="shared" si="0"/>
        <v>7.7231629559945641E-2</v>
      </c>
      <c r="J2" s="184">
        <f t="shared" si="0"/>
        <v>7.776613738514021E-2</v>
      </c>
      <c r="K2" s="184">
        <f t="shared" si="0"/>
        <v>7.2480448891549545E-2</v>
      </c>
      <c r="L2" s="184">
        <f t="shared" si="0"/>
        <v>7.9607219894143696E-2</v>
      </c>
      <c r="M2" s="184">
        <f t="shared" si="0"/>
        <v>8.6258872829898234E-2</v>
      </c>
      <c r="N2" s="184">
        <f t="shared" si="0"/>
        <v>9.1390147951766018E-2</v>
      </c>
    </row>
    <row r="3" spans="1:15" ht="22.5" x14ac:dyDescent="0.25">
      <c r="B3" s="2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4" t="s">
        <v>5</v>
      </c>
    </row>
    <row r="4" spans="1:15" ht="22.5" x14ac:dyDescent="0.25">
      <c r="B4" s="31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2"/>
    </row>
    <row r="5" spans="1:15" ht="19.5" x14ac:dyDescent="0.25">
      <c r="B5" s="33" t="s">
        <v>29</v>
      </c>
      <c r="C5" s="243">
        <f>C6</f>
        <v>119655</v>
      </c>
      <c r="D5" s="243">
        <f t="shared" ref="D5:N5" si="1">C5+D6</f>
        <v>84734</v>
      </c>
      <c r="E5" s="243">
        <f t="shared" si="1"/>
        <v>22663</v>
      </c>
      <c r="F5" s="243">
        <f t="shared" si="1"/>
        <v>-41408</v>
      </c>
      <c r="G5" s="243">
        <f t="shared" si="1"/>
        <v>-105929</v>
      </c>
      <c r="H5" s="243">
        <f t="shared" si="1"/>
        <v>-20800</v>
      </c>
      <c r="I5" s="243">
        <f t="shared" si="1"/>
        <v>-85821</v>
      </c>
      <c r="J5" s="243">
        <f t="shared" si="1"/>
        <v>-151292</v>
      </c>
      <c r="K5" s="243">
        <f t="shared" si="1"/>
        <v>-212313</v>
      </c>
      <c r="L5" s="243">
        <f t="shared" si="1"/>
        <v>-279334</v>
      </c>
      <c r="M5" s="243">
        <f t="shared" si="1"/>
        <v>-351955</v>
      </c>
      <c r="N5" s="243">
        <f t="shared" si="1"/>
        <v>-428896</v>
      </c>
      <c r="O5" s="245"/>
    </row>
    <row r="6" spans="1:15" ht="19.5" x14ac:dyDescent="0.25">
      <c r="B6" s="33" t="s">
        <v>30</v>
      </c>
      <c r="C6" s="243">
        <f t="shared" ref="C6:N6" si="2">SUM(C8-C47)</f>
        <v>119655</v>
      </c>
      <c r="D6" s="243">
        <f t="shared" si="2"/>
        <v>-34921</v>
      </c>
      <c r="E6" s="243">
        <f t="shared" si="2"/>
        <v>-62071</v>
      </c>
      <c r="F6" s="243">
        <f t="shared" si="2"/>
        <v>-64071</v>
      </c>
      <c r="G6" s="243">
        <f t="shared" si="2"/>
        <v>-64521</v>
      </c>
      <c r="H6" s="243">
        <f t="shared" si="2"/>
        <v>85129</v>
      </c>
      <c r="I6" s="243">
        <f t="shared" si="2"/>
        <v>-65021</v>
      </c>
      <c r="J6" s="243">
        <f t="shared" si="2"/>
        <v>-65471</v>
      </c>
      <c r="K6" s="243">
        <f t="shared" si="2"/>
        <v>-61021</v>
      </c>
      <c r="L6" s="243">
        <f t="shared" si="2"/>
        <v>-67021</v>
      </c>
      <c r="M6" s="243">
        <f t="shared" si="2"/>
        <v>-72621</v>
      </c>
      <c r="N6" s="243">
        <f t="shared" si="2"/>
        <v>-76941</v>
      </c>
      <c r="O6" s="245">
        <f>SUM(C6:N6)</f>
        <v>-428896</v>
      </c>
    </row>
    <row r="7" spans="1:15" ht="22.5" x14ac:dyDescent="0.25">
      <c r="B7" s="31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46"/>
    </row>
    <row r="8" spans="1:15" s="9" customFormat="1" ht="19.5" x14ac:dyDescent="0.25">
      <c r="B8" s="18" t="s">
        <v>31</v>
      </c>
      <c r="C8" s="49">
        <f>SUM(C9,C16,C22,C28,C33,C37,C40,C43)</f>
        <v>174000</v>
      </c>
      <c r="D8" s="49">
        <f t="shared" ref="D8:N8" si="3">SUM(D9,D16,D22,D28,D33,D37,D40,D43)</f>
        <v>90000</v>
      </c>
      <c r="E8" s="49">
        <f t="shared" si="3"/>
        <v>0</v>
      </c>
      <c r="F8" s="49">
        <f t="shared" si="3"/>
        <v>0</v>
      </c>
      <c r="G8" s="49">
        <f t="shared" si="3"/>
        <v>0</v>
      </c>
      <c r="H8" s="49">
        <f t="shared" si="3"/>
        <v>149000</v>
      </c>
      <c r="I8" s="49">
        <f t="shared" si="3"/>
        <v>0</v>
      </c>
      <c r="J8" s="49">
        <f t="shared" si="3"/>
        <v>0</v>
      </c>
      <c r="K8" s="49">
        <f t="shared" si="3"/>
        <v>0</v>
      </c>
      <c r="L8" s="49">
        <f t="shared" si="3"/>
        <v>0</v>
      </c>
      <c r="M8" s="49">
        <f t="shared" si="3"/>
        <v>0</v>
      </c>
      <c r="N8" s="49">
        <f t="shared" si="3"/>
        <v>0</v>
      </c>
      <c r="O8" s="50">
        <f>SUM(C8:N8)</f>
        <v>413000</v>
      </c>
    </row>
    <row r="9" spans="1:15" s="42" customFormat="1" ht="19.5" hidden="1" x14ac:dyDescent="0.4">
      <c r="B9" s="10" t="s">
        <v>32</v>
      </c>
      <c r="C9" s="40">
        <f>SUM(C10:C15)</f>
        <v>0</v>
      </c>
      <c r="D9" s="40">
        <f>SUM(D10:D15)</f>
        <v>0</v>
      </c>
      <c r="E9" s="40">
        <f>SUM(E10:E15)</f>
        <v>0</v>
      </c>
      <c r="F9" s="40">
        <f t="shared" ref="F9:N9" si="4">SUM(F10:F15)</f>
        <v>0</v>
      </c>
      <c r="G9" s="40">
        <f>SUM(G10:G15)</f>
        <v>0</v>
      </c>
      <c r="H9" s="40">
        <f t="shared" si="4"/>
        <v>0</v>
      </c>
      <c r="I9" s="40">
        <f t="shared" si="4"/>
        <v>0</v>
      </c>
      <c r="J9" s="40">
        <f t="shared" si="4"/>
        <v>0</v>
      </c>
      <c r="K9" s="40">
        <f t="shared" si="4"/>
        <v>0</v>
      </c>
      <c r="L9" s="40">
        <f t="shared" si="4"/>
        <v>0</v>
      </c>
      <c r="M9" s="40">
        <f t="shared" si="4"/>
        <v>0</v>
      </c>
      <c r="N9" s="40">
        <f t="shared" si="4"/>
        <v>0</v>
      </c>
      <c r="O9" s="41">
        <f>SUM(C9:N9)</f>
        <v>0</v>
      </c>
    </row>
    <row r="10" spans="1:15" s="9" customFormat="1" ht="15.75" hidden="1" x14ac:dyDescent="0.25">
      <c r="B10" s="36" t="s">
        <v>33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5">
        <f t="shared" ref="O10:O73" si="5">SUM(C10:N10)</f>
        <v>0</v>
      </c>
    </row>
    <row r="11" spans="1:15" s="9" customFormat="1" ht="15.75" hidden="1" x14ac:dyDescent="0.25">
      <c r="B11" s="36" t="s">
        <v>34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5">
        <f t="shared" si="5"/>
        <v>0</v>
      </c>
    </row>
    <row r="12" spans="1:15" s="9" customFormat="1" ht="15.75" hidden="1" x14ac:dyDescent="0.25">
      <c r="B12" s="36" t="s">
        <v>35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5">
        <f t="shared" si="5"/>
        <v>0</v>
      </c>
    </row>
    <row r="13" spans="1:15" s="9" customFormat="1" ht="15.75" hidden="1" x14ac:dyDescent="0.25">
      <c r="B13" s="36" t="s">
        <v>36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5">
        <f t="shared" si="5"/>
        <v>0</v>
      </c>
    </row>
    <row r="14" spans="1:15" s="9" customFormat="1" ht="15.75" hidden="1" x14ac:dyDescent="0.25">
      <c r="B14" s="36" t="s">
        <v>37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5">
        <f t="shared" si="5"/>
        <v>0</v>
      </c>
    </row>
    <row r="15" spans="1:15" s="9" customFormat="1" ht="15.75" hidden="1" x14ac:dyDescent="0.25">
      <c r="B15" s="36" t="s">
        <v>38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5">
        <f t="shared" si="5"/>
        <v>0</v>
      </c>
    </row>
    <row r="16" spans="1:15" s="42" customFormat="1" ht="19.5" hidden="1" x14ac:dyDescent="0.4">
      <c r="B16" s="10" t="s">
        <v>39</v>
      </c>
      <c r="C16" s="40">
        <f>SUM(C17:C21)</f>
        <v>0</v>
      </c>
      <c r="D16" s="40">
        <f>SUM(D17:D21)</f>
        <v>0</v>
      </c>
      <c r="E16" s="40">
        <f t="shared" ref="E16:L16" si="6">SUM(E17:E21)</f>
        <v>0</v>
      </c>
      <c r="F16" s="40">
        <f t="shared" si="6"/>
        <v>0</v>
      </c>
      <c r="G16" s="40">
        <f>SUM(G17:G21)</f>
        <v>0</v>
      </c>
      <c r="H16" s="40">
        <f t="shared" si="6"/>
        <v>0</v>
      </c>
      <c r="I16" s="40">
        <f t="shared" si="6"/>
        <v>0</v>
      </c>
      <c r="J16" s="40">
        <f t="shared" si="6"/>
        <v>0</v>
      </c>
      <c r="K16" s="40">
        <f t="shared" si="6"/>
        <v>0</v>
      </c>
      <c r="L16" s="40">
        <f t="shared" si="6"/>
        <v>0</v>
      </c>
      <c r="M16" s="40">
        <f>SUM(M17:M21)</f>
        <v>0</v>
      </c>
      <c r="N16" s="40">
        <f>SUM(N17:N21)</f>
        <v>0</v>
      </c>
      <c r="O16" s="41">
        <f>SUM(C16:N16)</f>
        <v>0</v>
      </c>
    </row>
    <row r="17" spans="2:15" s="9" customFormat="1" ht="15.75" hidden="1" x14ac:dyDescent="0.25">
      <c r="B17" s="36" t="s">
        <v>40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5">
        <f t="shared" si="5"/>
        <v>0</v>
      </c>
    </row>
    <row r="18" spans="2:15" s="9" customFormat="1" ht="15.75" hidden="1" x14ac:dyDescent="0.25">
      <c r="B18" s="36" t="s">
        <v>41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5">
        <f t="shared" si="5"/>
        <v>0</v>
      </c>
    </row>
    <row r="19" spans="2:15" s="9" customFormat="1" ht="15.75" hidden="1" x14ac:dyDescent="0.25">
      <c r="B19" s="36" t="s">
        <v>42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5">
        <f t="shared" si="5"/>
        <v>0</v>
      </c>
    </row>
    <row r="20" spans="2:15" s="9" customFormat="1" ht="15.75" hidden="1" x14ac:dyDescent="0.25">
      <c r="B20" s="36" t="s">
        <v>43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5">
        <f t="shared" si="5"/>
        <v>0</v>
      </c>
    </row>
    <row r="21" spans="2:15" s="9" customFormat="1" ht="15.75" hidden="1" x14ac:dyDescent="0.25">
      <c r="B21" s="36" t="s">
        <v>44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5">
        <f t="shared" si="5"/>
        <v>0</v>
      </c>
    </row>
    <row r="22" spans="2:15" s="42" customFormat="1" ht="19.5" x14ac:dyDescent="0.4">
      <c r="B22" s="10" t="s">
        <v>45</v>
      </c>
      <c r="C22" s="40">
        <f>SUM(C23:C27)</f>
        <v>0</v>
      </c>
      <c r="D22" s="40">
        <f t="shared" ref="D22:N22" si="7">SUM(D23:D27)</f>
        <v>0</v>
      </c>
      <c r="E22" s="40">
        <f t="shared" si="7"/>
        <v>0</v>
      </c>
      <c r="F22" s="40">
        <f t="shared" si="7"/>
        <v>0</v>
      </c>
      <c r="G22" s="40">
        <f t="shared" si="7"/>
        <v>0</v>
      </c>
      <c r="H22" s="40">
        <f t="shared" si="7"/>
        <v>0</v>
      </c>
      <c r="I22" s="40">
        <f t="shared" si="7"/>
        <v>0</v>
      </c>
      <c r="J22" s="40">
        <f t="shared" si="7"/>
        <v>0</v>
      </c>
      <c r="K22" s="40">
        <f t="shared" si="7"/>
        <v>0</v>
      </c>
      <c r="L22" s="40">
        <f t="shared" si="7"/>
        <v>0</v>
      </c>
      <c r="M22" s="40">
        <f t="shared" si="7"/>
        <v>0</v>
      </c>
      <c r="N22" s="40">
        <f t="shared" si="7"/>
        <v>0</v>
      </c>
      <c r="O22" s="41">
        <f t="shared" si="5"/>
        <v>0</v>
      </c>
    </row>
    <row r="23" spans="2:15" s="9" customFormat="1" ht="15.75" x14ac:dyDescent="0.25">
      <c r="B23" s="12" t="s">
        <v>46</v>
      </c>
      <c r="C23" s="37">
        <f>SUM(EDITAIS!C23,'CASA SONHAR'!C23,'Q. PROF.'!C23,PSICOSSOCIAL!C23,PEC!C23)</f>
        <v>0</v>
      </c>
      <c r="D23" s="37">
        <f>SUM(EDITAIS!D23,'CASA SONHAR'!D23,'Q. PROF.'!D23,PSICOSSOCIAL!D23,PEC!D23)</f>
        <v>0</v>
      </c>
      <c r="E23" s="37">
        <f>SUM(EDITAIS!E23,'CASA SONHAR'!E23,'Q. PROF.'!E23,PSICOSSOCIAL!E23,PEC!E23)</f>
        <v>0</v>
      </c>
      <c r="F23" s="37">
        <f>SUM(EDITAIS!F23,'CASA SONHAR'!F23,'Q. PROF.'!F23,PSICOSSOCIAL!F23,PEC!F23)</f>
        <v>0</v>
      </c>
      <c r="G23" s="37">
        <f>SUM(EDITAIS!G23,'CASA SONHAR'!G23,'Q. PROF.'!G23,PSICOSSOCIAL!G23,PEC!G23)</f>
        <v>0</v>
      </c>
      <c r="H23" s="37">
        <f>SUM(EDITAIS!H23,'CASA SONHAR'!H23,'Q. PROF.'!H23,PSICOSSOCIAL!H23,PEC!H23)</f>
        <v>0</v>
      </c>
      <c r="I23" s="37">
        <f>SUM(EDITAIS!I23,'CASA SONHAR'!I23,'Q. PROF.'!I23,PSICOSSOCIAL!I23,PEC!I23)</f>
        <v>0</v>
      </c>
      <c r="J23" s="37">
        <f>SUM(EDITAIS!J23,'CASA SONHAR'!J23,'Q. PROF.'!J23,PSICOSSOCIAL!J23,PEC!J23)</f>
        <v>0</v>
      </c>
      <c r="K23" s="37">
        <f>SUM(EDITAIS!K23,'CASA SONHAR'!K23,'Q. PROF.'!K23,PSICOSSOCIAL!K23,PEC!K23)</f>
        <v>0</v>
      </c>
      <c r="L23" s="37">
        <f>SUM(EDITAIS!L23,'CASA SONHAR'!L23,'Q. PROF.'!L23,PSICOSSOCIAL!L23,PEC!L23)</f>
        <v>0</v>
      </c>
      <c r="M23" s="37">
        <f>SUM(EDITAIS!M23,'CASA SONHAR'!M23,'Q. PROF.'!M23,PSICOSSOCIAL!M23,PEC!M23)</f>
        <v>0</v>
      </c>
      <c r="N23" s="37">
        <f>SUM(EDITAIS!N23,'CASA SONHAR'!N23,'Q. PROF.'!N23,PSICOSSOCIAL!N23,PEC!N23)</f>
        <v>0</v>
      </c>
      <c r="O23" s="5">
        <f t="shared" si="5"/>
        <v>0</v>
      </c>
    </row>
    <row r="24" spans="2:15" s="9" customFormat="1" ht="15.75" x14ac:dyDescent="0.25">
      <c r="B24" s="12" t="s">
        <v>47</v>
      </c>
      <c r="C24" s="37">
        <f>SUM(EDITAIS!C24,'CASA SONHAR'!C24,'Q. PROF.'!C24,PSICOSSOCIAL!C24,PEC!C24)</f>
        <v>0</v>
      </c>
      <c r="D24" s="37">
        <f>SUM(EDITAIS!D24,'CASA SONHAR'!D24,'Q. PROF.'!D24,PSICOSSOCIAL!D24,PEC!D24)</f>
        <v>0</v>
      </c>
      <c r="E24" s="37">
        <f>SUM(EDITAIS!E24,'CASA SONHAR'!E24,'Q. PROF.'!E24,PSICOSSOCIAL!E24,PEC!E24)</f>
        <v>0</v>
      </c>
      <c r="F24" s="37">
        <f>SUM(EDITAIS!F24,'CASA SONHAR'!F24,'Q. PROF.'!F24,PSICOSSOCIAL!F24,PEC!F24)</f>
        <v>0</v>
      </c>
      <c r="G24" s="37">
        <f>SUM(EDITAIS!G24,'CASA SONHAR'!G24,'Q. PROF.'!G24,PSICOSSOCIAL!G24,PEC!G24)</f>
        <v>0</v>
      </c>
      <c r="H24" s="37">
        <f>SUM(EDITAIS!H24,'CASA SONHAR'!H24,'Q. PROF.'!H24,PSICOSSOCIAL!H24,PEC!H24)</f>
        <v>0</v>
      </c>
      <c r="I24" s="37">
        <f>SUM(EDITAIS!I24,'CASA SONHAR'!I24,'Q. PROF.'!I24,PSICOSSOCIAL!I24,PEC!I24)</f>
        <v>0</v>
      </c>
      <c r="J24" s="37">
        <f>SUM(EDITAIS!J24,'CASA SONHAR'!J24,'Q. PROF.'!J24,PSICOSSOCIAL!J24,PEC!J24)</f>
        <v>0</v>
      </c>
      <c r="K24" s="37">
        <f>SUM(EDITAIS!K24,'CASA SONHAR'!K24,'Q. PROF.'!K24,PSICOSSOCIAL!K24,PEC!K24)</f>
        <v>0</v>
      </c>
      <c r="L24" s="37">
        <f>SUM(EDITAIS!L24,'CASA SONHAR'!L24,'Q. PROF.'!L24,PSICOSSOCIAL!L24,PEC!L24)</f>
        <v>0</v>
      </c>
      <c r="M24" s="37">
        <f>SUM(EDITAIS!M24,'CASA SONHAR'!M24,'Q. PROF.'!M24,PSICOSSOCIAL!M24,PEC!M24)</f>
        <v>0</v>
      </c>
      <c r="N24" s="37">
        <f>SUM(EDITAIS!N24,'CASA SONHAR'!N24,'Q. PROF.'!N24,PSICOSSOCIAL!N24,PEC!N24)</f>
        <v>0</v>
      </c>
      <c r="O24" s="5">
        <f t="shared" si="5"/>
        <v>0</v>
      </c>
    </row>
    <row r="25" spans="2:15" s="9" customFormat="1" ht="15.75" x14ac:dyDescent="0.25">
      <c r="B25" s="12" t="s">
        <v>48</v>
      </c>
      <c r="C25" s="37">
        <f>SUM(EDITAIS!C25,'CASA SONHAR'!C25,'Q. PROF.'!C25,PSICOSSOCIAL!C25,PEC!C25)</f>
        <v>0</v>
      </c>
      <c r="D25" s="37">
        <f>SUM(EDITAIS!D25,'CASA SONHAR'!D25,'Q. PROF.'!D25,PSICOSSOCIAL!D25,PEC!D25)</f>
        <v>0</v>
      </c>
      <c r="E25" s="37">
        <f>SUM(EDITAIS!E25,'CASA SONHAR'!E25,'Q. PROF.'!E25,PSICOSSOCIAL!E25,PEC!E25)</f>
        <v>0</v>
      </c>
      <c r="F25" s="37">
        <f>SUM(EDITAIS!F25,'CASA SONHAR'!F25,'Q. PROF.'!F25,PSICOSSOCIAL!F25,PEC!F25)</f>
        <v>0</v>
      </c>
      <c r="G25" s="37">
        <f>SUM(EDITAIS!G25,'CASA SONHAR'!G25,'Q. PROF.'!G25,PSICOSSOCIAL!G25,PEC!G25)</f>
        <v>0</v>
      </c>
      <c r="H25" s="37">
        <f>SUM(EDITAIS!H25,'CASA SONHAR'!H25,'Q. PROF.'!H25,PSICOSSOCIAL!H25,PEC!H25)</f>
        <v>0</v>
      </c>
      <c r="I25" s="37">
        <f>SUM(EDITAIS!I25,'CASA SONHAR'!I25,'Q. PROF.'!I25,PSICOSSOCIAL!I25,PEC!I25)</f>
        <v>0</v>
      </c>
      <c r="J25" s="37">
        <f>SUM(EDITAIS!J25,'CASA SONHAR'!J25,'Q. PROF.'!J25,PSICOSSOCIAL!J25,PEC!J25)</f>
        <v>0</v>
      </c>
      <c r="K25" s="37">
        <f>SUM(EDITAIS!K25,'CASA SONHAR'!K25,'Q. PROF.'!K25,PSICOSSOCIAL!K25,PEC!K25)</f>
        <v>0</v>
      </c>
      <c r="L25" s="37">
        <f>SUM(EDITAIS!L25,'CASA SONHAR'!L25,'Q. PROF.'!L25,PSICOSSOCIAL!L25,PEC!L25)</f>
        <v>0</v>
      </c>
      <c r="M25" s="37">
        <f>SUM(EDITAIS!M25,'CASA SONHAR'!M25,'Q. PROF.'!M25,PSICOSSOCIAL!M25,PEC!M25)</f>
        <v>0</v>
      </c>
      <c r="N25" s="37">
        <f>SUM(EDITAIS!N25,'CASA SONHAR'!N25,'Q. PROF.'!N25,PSICOSSOCIAL!N25,PEC!N25)</f>
        <v>0</v>
      </c>
      <c r="O25" s="5">
        <f t="shared" si="5"/>
        <v>0</v>
      </c>
    </row>
    <row r="26" spans="2:15" s="9" customFormat="1" ht="15.75" x14ac:dyDescent="0.25">
      <c r="B26" s="12" t="s">
        <v>49</v>
      </c>
      <c r="C26" s="37">
        <f>SUM(EDITAIS!C26,'CASA SONHAR'!C26,'Q. PROF.'!C26,PSICOSSOCIAL!C26,PEC!C26)</f>
        <v>0</v>
      </c>
      <c r="D26" s="37">
        <f>SUM(EDITAIS!D26,'CASA SONHAR'!D26,'Q. PROF.'!D26,PSICOSSOCIAL!D26,PEC!D26)</f>
        <v>0</v>
      </c>
      <c r="E26" s="37">
        <f>SUM(EDITAIS!E26,'CASA SONHAR'!E26,'Q. PROF.'!E26,PSICOSSOCIAL!E26,PEC!E26)</f>
        <v>0</v>
      </c>
      <c r="F26" s="37">
        <f>SUM(EDITAIS!F26,'CASA SONHAR'!F26,'Q. PROF.'!F26,PSICOSSOCIAL!F26,PEC!F26)</f>
        <v>0</v>
      </c>
      <c r="G26" s="37">
        <f>SUM(EDITAIS!G26,'CASA SONHAR'!G26,'Q. PROF.'!G26,PSICOSSOCIAL!G26,PEC!G26)</f>
        <v>0</v>
      </c>
      <c r="H26" s="37">
        <f>SUM(EDITAIS!H26,'CASA SONHAR'!H26,'Q. PROF.'!H26,PSICOSSOCIAL!H26,PEC!H26)</f>
        <v>0</v>
      </c>
      <c r="I26" s="37">
        <f>SUM(EDITAIS!I26,'CASA SONHAR'!I26,'Q. PROF.'!I26,PSICOSSOCIAL!I26,PEC!I26)</f>
        <v>0</v>
      </c>
      <c r="J26" s="37">
        <f>SUM(EDITAIS!J26,'CASA SONHAR'!J26,'Q. PROF.'!J26,PSICOSSOCIAL!J26,PEC!J26)</f>
        <v>0</v>
      </c>
      <c r="K26" s="37">
        <f>SUM(EDITAIS!K26,'CASA SONHAR'!K26,'Q. PROF.'!K26,PSICOSSOCIAL!K26,PEC!K26)</f>
        <v>0</v>
      </c>
      <c r="L26" s="37">
        <f>SUM(EDITAIS!L26,'CASA SONHAR'!L26,'Q. PROF.'!L26,PSICOSSOCIAL!L26,PEC!L26)</f>
        <v>0</v>
      </c>
      <c r="M26" s="37">
        <f>SUM(EDITAIS!M26,'CASA SONHAR'!M26,'Q. PROF.'!M26,PSICOSSOCIAL!M26,PEC!M26)</f>
        <v>0</v>
      </c>
      <c r="N26" s="37">
        <f>SUM(EDITAIS!N26,'CASA SONHAR'!N26,'Q. PROF.'!N26,PSICOSSOCIAL!N26,PEC!N26)</f>
        <v>0</v>
      </c>
      <c r="O26" s="5">
        <f t="shared" si="5"/>
        <v>0</v>
      </c>
    </row>
    <row r="27" spans="2:15" s="9" customFormat="1" ht="15.75" x14ac:dyDescent="0.25">
      <c r="B27" s="12" t="s">
        <v>50</v>
      </c>
      <c r="C27" s="37">
        <f>SUM(EDITAIS!C27,'CASA SONHAR'!C27,'Q. PROF.'!C27,PSICOSSOCIAL!C27,PEC!C27)</f>
        <v>0</v>
      </c>
      <c r="D27" s="37">
        <f>SUM(EDITAIS!D27,'CASA SONHAR'!D27,'Q. PROF.'!D27,PSICOSSOCIAL!D27,PEC!D27)</f>
        <v>0</v>
      </c>
      <c r="E27" s="37">
        <f>SUM(EDITAIS!E27,'CASA SONHAR'!E27,'Q. PROF.'!E27,PSICOSSOCIAL!E27,PEC!E27)</f>
        <v>0</v>
      </c>
      <c r="F27" s="37">
        <f>SUM(EDITAIS!F27,'CASA SONHAR'!F27,'Q. PROF.'!F27,PSICOSSOCIAL!F27,PEC!F27)</f>
        <v>0</v>
      </c>
      <c r="G27" s="37">
        <f>SUM(EDITAIS!G27,'CASA SONHAR'!G27,'Q. PROF.'!G27,PSICOSSOCIAL!G27,PEC!G27)</f>
        <v>0</v>
      </c>
      <c r="H27" s="37">
        <f>SUM(EDITAIS!H27,'CASA SONHAR'!H27,'Q. PROF.'!H27,PSICOSSOCIAL!H27,PEC!H27)</f>
        <v>0</v>
      </c>
      <c r="I27" s="37">
        <f>SUM(EDITAIS!I27,'CASA SONHAR'!I27,'Q. PROF.'!I27,PSICOSSOCIAL!I27,PEC!I27)</f>
        <v>0</v>
      </c>
      <c r="J27" s="37">
        <f>SUM(EDITAIS!J27,'CASA SONHAR'!J27,'Q. PROF.'!J27,PSICOSSOCIAL!J27,PEC!J27)</f>
        <v>0</v>
      </c>
      <c r="K27" s="37">
        <f>SUM(EDITAIS!K27,'CASA SONHAR'!K27,'Q. PROF.'!K27,PSICOSSOCIAL!K27,PEC!K27)</f>
        <v>0</v>
      </c>
      <c r="L27" s="37">
        <f>SUM(EDITAIS!L27,'CASA SONHAR'!L27,'Q. PROF.'!L27,PSICOSSOCIAL!L27,PEC!L27)</f>
        <v>0</v>
      </c>
      <c r="M27" s="37">
        <f>SUM(EDITAIS!M27,'CASA SONHAR'!M27,'Q. PROF.'!M27,PSICOSSOCIAL!M27,PEC!M27)</f>
        <v>0</v>
      </c>
      <c r="N27" s="37">
        <f>SUM(EDITAIS!N27,'CASA SONHAR'!N27,'Q. PROF.'!N27,PSICOSSOCIAL!N27,PEC!N27)</f>
        <v>0</v>
      </c>
      <c r="O27" s="5">
        <f t="shared" si="5"/>
        <v>0</v>
      </c>
    </row>
    <row r="28" spans="2:15" s="42" customFormat="1" ht="19.5" x14ac:dyDescent="0.4">
      <c r="B28" s="10" t="s">
        <v>51</v>
      </c>
      <c r="C28" s="40">
        <f>SUM(C29:C32)</f>
        <v>0</v>
      </c>
      <c r="D28" s="40">
        <f t="shared" ref="D28:N28" si="8">SUM(D29:D32)</f>
        <v>0</v>
      </c>
      <c r="E28" s="40">
        <f t="shared" si="8"/>
        <v>0</v>
      </c>
      <c r="F28" s="40">
        <f t="shared" si="8"/>
        <v>0</v>
      </c>
      <c r="G28" s="40">
        <f t="shared" si="8"/>
        <v>0</v>
      </c>
      <c r="H28" s="40">
        <f t="shared" si="8"/>
        <v>0</v>
      </c>
      <c r="I28" s="40">
        <f t="shared" si="8"/>
        <v>0</v>
      </c>
      <c r="J28" s="40">
        <f t="shared" si="8"/>
        <v>0</v>
      </c>
      <c r="K28" s="40">
        <f t="shared" si="8"/>
        <v>0</v>
      </c>
      <c r="L28" s="40">
        <f t="shared" si="8"/>
        <v>0</v>
      </c>
      <c r="M28" s="40">
        <f t="shared" si="8"/>
        <v>0</v>
      </c>
      <c r="N28" s="40">
        <f t="shared" si="8"/>
        <v>0</v>
      </c>
      <c r="O28" s="41">
        <f>SUM(C28:N28)</f>
        <v>0</v>
      </c>
    </row>
    <row r="29" spans="2:15" s="9" customFormat="1" ht="15.75" x14ac:dyDescent="0.25">
      <c r="B29" s="12" t="s">
        <v>52</v>
      </c>
      <c r="C29" s="37">
        <f>SUM(EDITAIS!C29,'CASA SONHAR'!C29,'Q. PROF.'!C29,PSICOSSOCIAL!C29,PEC!C29)</f>
        <v>0</v>
      </c>
      <c r="D29" s="37">
        <f>SUM(EDITAIS!D29,'CASA SONHAR'!D29,'Q. PROF.'!D29,PSICOSSOCIAL!D29,PEC!D29)</f>
        <v>0</v>
      </c>
      <c r="E29" s="37">
        <f>SUM(EDITAIS!E29,'CASA SONHAR'!E29,'Q. PROF.'!E29,PSICOSSOCIAL!E29,PEC!E29)</f>
        <v>0</v>
      </c>
      <c r="F29" s="37">
        <f>SUM(EDITAIS!F29,'CASA SONHAR'!F29,'Q. PROF.'!F29,PSICOSSOCIAL!F29,PEC!F29)</f>
        <v>0</v>
      </c>
      <c r="G29" s="37">
        <f>SUM(EDITAIS!G29,'CASA SONHAR'!G29,'Q. PROF.'!G29,PSICOSSOCIAL!G29,PEC!G29)</f>
        <v>0</v>
      </c>
      <c r="H29" s="37">
        <f>SUM(EDITAIS!H29,'CASA SONHAR'!H29,'Q. PROF.'!H29,PSICOSSOCIAL!H29,PEC!H29)</f>
        <v>0</v>
      </c>
      <c r="I29" s="37">
        <f>SUM(EDITAIS!I29,'CASA SONHAR'!I29,'Q. PROF.'!I29,PSICOSSOCIAL!I29,PEC!I29)</f>
        <v>0</v>
      </c>
      <c r="J29" s="37">
        <f>SUM(EDITAIS!J29,'CASA SONHAR'!J29,'Q. PROF.'!J29,PSICOSSOCIAL!J29,PEC!J29)</f>
        <v>0</v>
      </c>
      <c r="K29" s="37">
        <f>SUM(EDITAIS!K29,'CASA SONHAR'!K29,'Q. PROF.'!K29,PSICOSSOCIAL!K29,PEC!K29)</f>
        <v>0</v>
      </c>
      <c r="L29" s="37">
        <f>SUM(EDITAIS!L29,'CASA SONHAR'!L29,'Q. PROF.'!L29,PSICOSSOCIAL!L29,PEC!L29)</f>
        <v>0</v>
      </c>
      <c r="M29" s="37">
        <f>SUM(EDITAIS!M29,'CASA SONHAR'!M29,'Q. PROF.'!M29,PSICOSSOCIAL!M29,PEC!M29)</f>
        <v>0</v>
      </c>
      <c r="N29" s="37">
        <f>SUM(EDITAIS!N29,'CASA SONHAR'!N29,'Q. PROF.'!N29,PSICOSSOCIAL!N29,PEC!N29)</f>
        <v>0</v>
      </c>
      <c r="O29" s="5">
        <f>SUM(C29:N29)</f>
        <v>0</v>
      </c>
    </row>
    <row r="30" spans="2:15" s="9" customFormat="1" ht="15.75" x14ac:dyDescent="0.25">
      <c r="B30" s="12" t="s">
        <v>53</v>
      </c>
      <c r="C30" s="37">
        <f>SUM(EDITAIS!C30,'CASA SONHAR'!C30,'Q. PROF.'!C30,PSICOSSOCIAL!C30,PEC!C30)</f>
        <v>0</v>
      </c>
      <c r="D30" s="37">
        <f>SUM(EDITAIS!D30,'CASA SONHAR'!D30,'Q. PROF.'!D30,PSICOSSOCIAL!D30,PEC!D30)</f>
        <v>0</v>
      </c>
      <c r="E30" s="37">
        <f>SUM(EDITAIS!E30,'CASA SONHAR'!E30,'Q. PROF.'!E30,PSICOSSOCIAL!E30,PEC!E30)</f>
        <v>0</v>
      </c>
      <c r="F30" s="37">
        <f>SUM(EDITAIS!F30,'CASA SONHAR'!F30,'Q. PROF.'!F30,PSICOSSOCIAL!F30,PEC!F30)</f>
        <v>0</v>
      </c>
      <c r="G30" s="37">
        <f>SUM(EDITAIS!G30,'CASA SONHAR'!G30,'Q. PROF.'!G30,PSICOSSOCIAL!G30,PEC!G30)</f>
        <v>0</v>
      </c>
      <c r="H30" s="37">
        <f>SUM(EDITAIS!H30,'CASA SONHAR'!H30,'Q. PROF.'!H30,PSICOSSOCIAL!H30,PEC!H30)</f>
        <v>0</v>
      </c>
      <c r="I30" s="37">
        <f>SUM(EDITAIS!I30,'CASA SONHAR'!I30,'Q. PROF.'!I30,PSICOSSOCIAL!I30,PEC!I30)</f>
        <v>0</v>
      </c>
      <c r="J30" s="37">
        <f>SUM(EDITAIS!J30,'CASA SONHAR'!J30,'Q. PROF.'!J30,PSICOSSOCIAL!J30,PEC!J30)</f>
        <v>0</v>
      </c>
      <c r="K30" s="37">
        <f>SUM(EDITAIS!K30,'CASA SONHAR'!K30,'Q. PROF.'!K30,PSICOSSOCIAL!K30,PEC!K30)</f>
        <v>0</v>
      </c>
      <c r="L30" s="37">
        <f>SUM(EDITAIS!L30,'CASA SONHAR'!L30,'Q. PROF.'!L30,PSICOSSOCIAL!L30,PEC!L30)</f>
        <v>0</v>
      </c>
      <c r="M30" s="37">
        <f>SUM(EDITAIS!M30,'CASA SONHAR'!M30,'Q. PROF.'!M30,PSICOSSOCIAL!M30,PEC!M30)</f>
        <v>0</v>
      </c>
      <c r="N30" s="37">
        <f>SUM(EDITAIS!N30,'CASA SONHAR'!N30,'Q. PROF.'!N30,PSICOSSOCIAL!N30,PEC!N30)</f>
        <v>0</v>
      </c>
      <c r="O30" s="5">
        <f t="shared" si="5"/>
        <v>0</v>
      </c>
    </row>
    <row r="31" spans="2:15" s="9" customFormat="1" ht="15.75" x14ac:dyDescent="0.25">
      <c r="B31" s="12" t="s">
        <v>54</v>
      </c>
      <c r="C31" s="37">
        <f>SUM(EDITAIS!C31,'CASA SONHAR'!C31,'Q. PROF.'!C31,PSICOSSOCIAL!C31,PEC!C31)</f>
        <v>0</v>
      </c>
      <c r="D31" s="37">
        <f>SUM(EDITAIS!D31,'CASA SONHAR'!D31,'Q. PROF.'!D31,PSICOSSOCIAL!D31,PEC!D31)</f>
        <v>0</v>
      </c>
      <c r="E31" s="37">
        <f>SUM(EDITAIS!E31,'CASA SONHAR'!E31,'Q. PROF.'!E31,PSICOSSOCIAL!E31,PEC!E31)</f>
        <v>0</v>
      </c>
      <c r="F31" s="37">
        <f>SUM(EDITAIS!F31,'CASA SONHAR'!F31,'Q. PROF.'!F31,PSICOSSOCIAL!F31,PEC!F31)</f>
        <v>0</v>
      </c>
      <c r="G31" s="37">
        <f>SUM(EDITAIS!G31,'CASA SONHAR'!G31,'Q. PROF.'!G31,PSICOSSOCIAL!G31,PEC!G31)</f>
        <v>0</v>
      </c>
      <c r="H31" s="37">
        <f>SUM(EDITAIS!H31,'CASA SONHAR'!H31,'Q. PROF.'!H31,PSICOSSOCIAL!H31,PEC!H31)</f>
        <v>0</v>
      </c>
      <c r="I31" s="37">
        <f>SUM(EDITAIS!I31,'CASA SONHAR'!I31,'Q. PROF.'!I31,PSICOSSOCIAL!I31,PEC!I31)</f>
        <v>0</v>
      </c>
      <c r="J31" s="37">
        <f>SUM(EDITAIS!J31,'CASA SONHAR'!J31,'Q. PROF.'!J31,PSICOSSOCIAL!J31,PEC!J31)</f>
        <v>0</v>
      </c>
      <c r="K31" s="37">
        <f>SUM(EDITAIS!K31,'CASA SONHAR'!K31,'Q. PROF.'!K31,PSICOSSOCIAL!K31,PEC!K31)</f>
        <v>0</v>
      </c>
      <c r="L31" s="37">
        <f>SUM(EDITAIS!L31,'CASA SONHAR'!L31,'Q. PROF.'!L31,PSICOSSOCIAL!L31,PEC!L31)</f>
        <v>0</v>
      </c>
      <c r="M31" s="37">
        <f>SUM(EDITAIS!M31,'CASA SONHAR'!M31,'Q. PROF.'!M31,PSICOSSOCIAL!M31,PEC!M31)</f>
        <v>0</v>
      </c>
      <c r="N31" s="37">
        <f>SUM(EDITAIS!N31,'CASA SONHAR'!N31,'Q. PROF.'!N31,PSICOSSOCIAL!N31,PEC!N31)</f>
        <v>0</v>
      </c>
      <c r="O31" s="5">
        <f t="shared" si="5"/>
        <v>0</v>
      </c>
    </row>
    <row r="32" spans="2:15" s="9" customFormat="1" ht="15.75" x14ac:dyDescent="0.25">
      <c r="B32" s="12" t="s">
        <v>55</v>
      </c>
      <c r="C32" s="37">
        <f>SUM(EDITAIS!C32,'CASA SONHAR'!C32,'Q. PROF.'!C32,PSICOSSOCIAL!C32,PEC!C32)</f>
        <v>0</v>
      </c>
      <c r="D32" s="37">
        <f>SUM(EDITAIS!D32,'CASA SONHAR'!D32,'Q. PROF.'!D32,PSICOSSOCIAL!D32,PEC!D32)</f>
        <v>0</v>
      </c>
      <c r="E32" s="37">
        <f>SUM(EDITAIS!E32,'CASA SONHAR'!E32,'Q. PROF.'!E32,PSICOSSOCIAL!E32,PEC!E32)</f>
        <v>0</v>
      </c>
      <c r="F32" s="37">
        <f>SUM(EDITAIS!F32,'CASA SONHAR'!F32,'Q. PROF.'!F32,PSICOSSOCIAL!F32,PEC!F32)</f>
        <v>0</v>
      </c>
      <c r="G32" s="37">
        <f>SUM(EDITAIS!G32,'CASA SONHAR'!G32,'Q. PROF.'!G32,PSICOSSOCIAL!G32,PEC!G32)</f>
        <v>0</v>
      </c>
      <c r="H32" s="37">
        <f>SUM(EDITAIS!H32,'CASA SONHAR'!H32,'Q. PROF.'!H32,PSICOSSOCIAL!H32,PEC!H32)</f>
        <v>0</v>
      </c>
      <c r="I32" s="37">
        <f>SUM(EDITAIS!I32,'CASA SONHAR'!I32,'Q. PROF.'!I32,PSICOSSOCIAL!I32,PEC!I32)</f>
        <v>0</v>
      </c>
      <c r="J32" s="37">
        <f>SUM(EDITAIS!J32,'CASA SONHAR'!J32,'Q. PROF.'!J32,PSICOSSOCIAL!J32,PEC!J32)</f>
        <v>0</v>
      </c>
      <c r="K32" s="37">
        <f>SUM(EDITAIS!K32,'CASA SONHAR'!K32,'Q. PROF.'!K32,PSICOSSOCIAL!K32,PEC!K32)</f>
        <v>0</v>
      </c>
      <c r="L32" s="37">
        <f>SUM(EDITAIS!L32,'CASA SONHAR'!L32,'Q. PROF.'!L32,PSICOSSOCIAL!L32,PEC!L32)</f>
        <v>0</v>
      </c>
      <c r="M32" s="37">
        <f>SUM(EDITAIS!M32,'CASA SONHAR'!M32,'Q. PROF.'!M32,PSICOSSOCIAL!M32,PEC!M32)</f>
        <v>0</v>
      </c>
      <c r="N32" s="37">
        <f>SUM(EDITAIS!N32,'CASA SONHAR'!N32,'Q. PROF.'!N32,PSICOSSOCIAL!N32,PEC!N32)</f>
        <v>0</v>
      </c>
      <c r="O32" s="5">
        <f t="shared" si="5"/>
        <v>0</v>
      </c>
    </row>
    <row r="33" spans="2:15" s="42" customFormat="1" ht="19.5" x14ac:dyDescent="0.4">
      <c r="B33" s="10" t="s">
        <v>56</v>
      </c>
      <c r="C33" s="40">
        <f>SUM(C34:C36)</f>
        <v>174000</v>
      </c>
      <c r="D33" s="40">
        <f t="shared" ref="D33:N33" si="9">SUM(D34:D36)</f>
        <v>90000</v>
      </c>
      <c r="E33" s="40">
        <f t="shared" si="9"/>
        <v>0</v>
      </c>
      <c r="F33" s="40">
        <f t="shared" si="9"/>
        <v>0</v>
      </c>
      <c r="G33" s="40">
        <f t="shared" si="9"/>
        <v>0</v>
      </c>
      <c r="H33" s="40">
        <f t="shared" si="9"/>
        <v>149000</v>
      </c>
      <c r="I33" s="40">
        <f t="shared" si="9"/>
        <v>0</v>
      </c>
      <c r="J33" s="40">
        <f t="shared" si="9"/>
        <v>0</v>
      </c>
      <c r="K33" s="40">
        <f t="shared" si="9"/>
        <v>0</v>
      </c>
      <c r="L33" s="40">
        <f t="shared" si="9"/>
        <v>0</v>
      </c>
      <c r="M33" s="40">
        <f t="shared" si="9"/>
        <v>0</v>
      </c>
      <c r="N33" s="40">
        <f t="shared" si="9"/>
        <v>0</v>
      </c>
      <c r="O33" s="41">
        <f t="shared" si="5"/>
        <v>413000</v>
      </c>
    </row>
    <row r="34" spans="2:15" s="9" customFormat="1" ht="15.75" x14ac:dyDescent="0.25">
      <c r="B34" s="12" t="s">
        <v>57</v>
      </c>
      <c r="C34" s="37">
        <f>SUM(EDITAIS!C34,'CASA SONHAR'!C34,'Q. PROF.'!C34,PSICOSSOCIAL!C34,PEC!C34)</f>
        <v>0</v>
      </c>
      <c r="D34" s="37">
        <f>SUM(EDITAIS!D34,'CASA SONHAR'!D34,'Q. PROF.'!D34,PSICOSSOCIAL!D34,PEC!D34)</f>
        <v>0</v>
      </c>
      <c r="E34" s="37">
        <f>SUM(EDITAIS!E34,'CASA SONHAR'!E34,'Q. PROF.'!E34,PSICOSSOCIAL!E34,PEC!E34)</f>
        <v>0</v>
      </c>
      <c r="F34" s="37">
        <f>SUM(EDITAIS!F34,'CASA SONHAR'!F34,'Q. PROF.'!F34,PSICOSSOCIAL!F34,PEC!F34)</f>
        <v>0</v>
      </c>
      <c r="G34" s="37">
        <f>SUM(EDITAIS!G34,'CASA SONHAR'!G34,'Q. PROF.'!G34,PSICOSSOCIAL!G34,PEC!G34)</f>
        <v>0</v>
      </c>
      <c r="H34" s="37">
        <f>SUM(EDITAIS!H34,'CASA SONHAR'!H34,'Q. PROF.'!H34,PSICOSSOCIAL!H34,PEC!H34)</f>
        <v>0</v>
      </c>
      <c r="I34" s="37">
        <f>SUM(EDITAIS!I34,'CASA SONHAR'!I34,'Q. PROF.'!I34,PSICOSSOCIAL!I34,PEC!I34)</f>
        <v>0</v>
      </c>
      <c r="J34" s="37">
        <f>SUM(EDITAIS!J34,'CASA SONHAR'!J34,'Q. PROF.'!J34,PSICOSSOCIAL!J34,PEC!J34)</f>
        <v>0</v>
      </c>
      <c r="K34" s="37">
        <f>SUM(EDITAIS!K34,'CASA SONHAR'!K34,'Q. PROF.'!K34,PSICOSSOCIAL!K34,PEC!K34)</f>
        <v>0</v>
      </c>
      <c r="L34" s="37">
        <f>SUM(EDITAIS!L34,'CASA SONHAR'!L34,'Q. PROF.'!L34,PSICOSSOCIAL!L34,PEC!L34)</f>
        <v>0</v>
      </c>
      <c r="M34" s="37">
        <f>SUM(EDITAIS!M34,'CASA SONHAR'!M34,'Q. PROF.'!M34,PSICOSSOCIAL!M34,PEC!M34)</f>
        <v>0</v>
      </c>
      <c r="N34" s="37">
        <f>SUM(EDITAIS!N34,'CASA SONHAR'!N34,'Q. PROF.'!N34,PSICOSSOCIAL!N34,PEC!N34)</f>
        <v>0</v>
      </c>
      <c r="O34" s="5">
        <f t="shared" si="5"/>
        <v>0</v>
      </c>
    </row>
    <row r="35" spans="2:15" s="9" customFormat="1" ht="15.75" x14ac:dyDescent="0.25">
      <c r="B35" s="12" t="s">
        <v>58</v>
      </c>
      <c r="C35" s="37">
        <f>SUM(EDITAIS!C35,'CASA SONHAR'!C35,'Q. PROF.'!C35,PSICOSSOCIAL!C35,PEC!C35)</f>
        <v>0</v>
      </c>
      <c r="D35" s="37">
        <f>SUM(EDITAIS!D35,'CASA SONHAR'!D35,'Q. PROF.'!D35,PSICOSSOCIAL!D35,PEC!D35)</f>
        <v>0</v>
      </c>
      <c r="E35" s="37">
        <f>SUM(EDITAIS!E35,'CASA SONHAR'!E35,'Q. PROF.'!E35,PSICOSSOCIAL!E35,PEC!E35)</f>
        <v>0</v>
      </c>
      <c r="F35" s="37">
        <f>SUM(EDITAIS!F35,'CASA SONHAR'!F35,'Q. PROF.'!F35,PSICOSSOCIAL!F35,PEC!F35)</f>
        <v>0</v>
      </c>
      <c r="G35" s="37">
        <f>SUM(EDITAIS!G35,'CASA SONHAR'!G35,'Q. PROF.'!G35,PSICOSSOCIAL!G35,PEC!G35)</f>
        <v>0</v>
      </c>
      <c r="H35" s="37">
        <f>SUM(EDITAIS!H35,'CASA SONHAR'!H35,'Q. PROF.'!H35,PSICOSSOCIAL!H35,PEC!H35)</f>
        <v>0</v>
      </c>
      <c r="I35" s="37">
        <f>SUM(EDITAIS!I35,'CASA SONHAR'!I35,'Q. PROF.'!I35,PSICOSSOCIAL!I35,PEC!I35)</f>
        <v>0</v>
      </c>
      <c r="J35" s="37">
        <f>SUM(EDITAIS!J35,'CASA SONHAR'!J35,'Q. PROF.'!J35,PSICOSSOCIAL!J35,PEC!J35)</f>
        <v>0</v>
      </c>
      <c r="K35" s="37">
        <f>SUM(EDITAIS!K35,'CASA SONHAR'!K35,'Q. PROF.'!K35,PSICOSSOCIAL!K35,PEC!K35)</f>
        <v>0</v>
      </c>
      <c r="L35" s="37">
        <f>SUM(EDITAIS!L35,'CASA SONHAR'!L35,'Q. PROF.'!L35,PSICOSSOCIAL!L35,PEC!L35)</f>
        <v>0</v>
      </c>
      <c r="M35" s="37">
        <f>SUM(EDITAIS!M35,'CASA SONHAR'!M35,'Q. PROF.'!M35,PSICOSSOCIAL!M35,PEC!M35)</f>
        <v>0</v>
      </c>
      <c r="N35" s="37">
        <f>SUM(EDITAIS!N35,'CASA SONHAR'!N35,'Q. PROF.'!N35,PSICOSSOCIAL!N35,PEC!N35)</f>
        <v>0</v>
      </c>
      <c r="O35" s="5">
        <f t="shared" si="5"/>
        <v>0</v>
      </c>
    </row>
    <row r="36" spans="2:15" s="9" customFormat="1" ht="15.75" x14ac:dyDescent="0.25">
      <c r="B36" s="12" t="s">
        <v>59</v>
      </c>
      <c r="C36" s="37">
        <f>SUM(EDITAIS!C36,'CASA SONHAR'!C36,'Q. PROF.'!C36,PSICOSSOCIAL!C36,PEC!C36)</f>
        <v>174000</v>
      </c>
      <c r="D36" s="37">
        <f>SUM(EDITAIS!D36,'CASA SONHAR'!D36,'Q. PROF.'!D36,PSICOSSOCIAL!D36,PEC!D36)</f>
        <v>90000</v>
      </c>
      <c r="E36" s="37">
        <f>SUM(EDITAIS!E36,'CASA SONHAR'!E36,'Q. PROF.'!E36,PSICOSSOCIAL!E36,PEC!E36)</f>
        <v>0</v>
      </c>
      <c r="F36" s="37">
        <f>SUM(EDITAIS!F36,'CASA SONHAR'!F36,'Q. PROF.'!F36,PSICOSSOCIAL!F36,PEC!F36)</f>
        <v>0</v>
      </c>
      <c r="G36" s="37">
        <f>SUM(EDITAIS!G36,'CASA SONHAR'!G36,'Q. PROF.'!G36,PSICOSSOCIAL!G36,PEC!G36)</f>
        <v>0</v>
      </c>
      <c r="H36" s="37">
        <f>SUM(EDITAIS!H36,'CASA SONHAR'!H36,'Q. PROF.'!H36,PSICOSSOCIAL!H36,PEC!H36)</f>
        <v>149000</v>
      </c>
      <c r="I36" s="37">
        <f>SUM(EDITAIS!I36,'CASA SONHAR'!I36,'Q. PROF.'!I36,PSICOSSOCIAL!I36,PEC!I36)</f>
        <v>0</v>
      </c>
      <c r="J36" s="37">
        <f>SUM(EDITAIS!J36,'CASA SONHAR'!J36,'Q. PROF.'!J36,PSICOSSOCIAL!J36,PEC!J36)</f>
        <v>0</v>
      </c>
      <c r="K36" s="37">
        <f>SUM(EDITAIS!K36,'CASA SONHAR'!K36,'Q. PROF.'!K36,PSICOSSOCIAL!K36,PEC!K36)</f>
        <v>0</v>
      </c>
      <c r="L36" s="37">
        <f>SUM(EDITAIS!L36,'CASA SONHAR'!L36,'Q. PROF.'!L36,PSICOSSOCIAL!L36,PEC!L36)</f>
        <v>0</v>
      </c>
      <c r="M36" s="37">
        <f>SUM(EDITAIS!M36,'CASA SONHAR'!M36,'Q. PROF.'!M36,PSICOSSOCIAL!M36,PEC!M36)</f>
        <v>0</v>
      </c>
      <c r="N36" s="37">
        <f>SUM(EDITAIS!N36,'CASA SONHAR'!N36,'Q. PROF.'!N36,PSICOSSOCIAL!N36,PEC!N36)</f>
        <v>0</v>
      </c>
      <c r="O36" s="5">
        <f t="shared" si="5"/>
        <v>413000</v>
      </c>
    </row>
    <row r="37" spans="2:15" s="42" customFormat="1" ht="19.5" x14ac:dyDescent="0.4">
      <c r="B37" s="10" t="s">
        <v>60</v>
      </c>
      <c r="C37" s="40">
        <f>SUM(C38:C39)</f>
        <v>0</v>
      </c>
      <c r="D37" s="40">
        <f t="shared" ref="D37:N37" si="10">SUM(D38:D39)</f>
        <v>0</v>
      </c>
      <c r="E37" s="40">
        <f t="shared" si="10"/>
        <v>0</v>
      </c>
      <c r="F37" s="40">
        <f t="shared" si="10"/>
        <v>0</v>
      </c>
      <c r="G37" s="40">
        <f t="shared" si="10"/>
        <v>0</v>
      </c>
      <c r="H37" s="40">
        <f t="shared" si="10"/>
        <v>0</v>
      </c>
      <c r="I37" s="40">
        <f t="shared" si="10"/>
        <v>0</v>
      </c>
      <c r="J37" s="40">
        <f t="shared" si="10"/>
        <v>0</v>
      </c>
      <c r="K37" s="40">
        <f t="shared" si="10"/>
        <v>0</v>
      </c>
      <c r="L37" s="40">
        <f t="shared" si="10"/>
        <v>0</v>
      </c>
      <c r="M37" s="40">
        <f t="shared" si="10"/>
        <v>0</v>
      </c>
      <c r="N37" s="40">
        <f t="shared" si="10"/>
        <v>0</v>
      </c>
      <c r="O37" s="41">
        <f t="shared" si="5"/>
        <v>0</v>
      </c>
    </row>
    <row r="38" spans="2:15" s="9" customFormat="1" ht="15.75" x14ac:dyDescent="0.25">
      <c r="B38" s="12" t="s">
        <v>61</v>
      </c>
      <c r="C38" s="37">
        <f>SUM(EDITAIS!C38,'CASA SONHAR'!C38,'Q. PROF.'!C38,PSICOSSOCIAL!C38,PEC!C38)</f>
        <v>0</v>
      </c>
      <c r="D38" s="37">
        <f>SUM(EDITAIS!D38,'CASA SONHAR'!D38,'Q. PROF.'!D38,PSICOSSOCIAL!D38,PEC!D38)</f>
        <v>0</v>
      </c>
      <c r="E38" s="37">
        <f>SUM(EDITAIS!E38,'CASA SONHAR'!E38,'Q. PROF.'!E38,PSICOSSOCIAL!E38,PEC!E38)</f>
        <v>0</v>
      </c>
      <c r="F38" s="37">
        <f>SUM(EDITAIS!F38,'CASA SONHAR'!F38,'Q. PROF.'!F38,PSICOSSOCIAL!F38,PEC!F38)</f>
        <v>0</v>
      </c>
      <c r="G38" s="37">
        <f>SUM(EDITAIS!G38,'CASA SONHAR'!G38,'Q. PROF.'!G38,PSICOSSOCIAL!G38,PEC!G38)</f>
        <v>0</v>
      </c>
      <c r="H38" s="37">
        <f>SUM(EDITAIS!H38,'CASA SONHAR'!H38,'Q. PROF.'!H38,PSICOSSOCIAL!H38,PEC!H38)</f>
        <v>0</v>
      </c>
      <c r="I38" s="37">
        <f>SUM(EDITAIS!I38,'CASA SONHAR'!I38,'Q. PROF.'!I38,PSICOSSOCIAL!I38,PEC!I38)</f>
        <v>0</v>
      </c>
      <c r="J38" s="37">
        <f>SUM(EDITAIS!J38,'CASA SONHAR'!J38,'Q. PROF.'!J38,PSICOSSOCIAL!J38,PEC!J38)</f>
        <v>0</v>
      </c>
      <c r="K38" s="37">
        <f>SUM(EDITAIS!K38,'CASA SONHAR'!K38,'Q. PROF.'!K38,PSICOSSOCIAL!K38,PEC!K38)</f>
        <v>0</v>
      </c>
      <c r="L38" s="37">
        <f>SUM(EDITAIS!L38,'CASA SONHAR'!L38,'Q. PROF.'!L38,PSICOSSOCIAL!L38,PEC!L38)</f>
        <v>0</v>
      </c>
      <c r="M38" s="37">
        <f>SUM(EDITAIS!M38,'CASA SONHAR'!M38,'Q. PROF.'!M38,PSICOSSOCIAL!M38,PEC!M38)</f>
        <v>0</v>
      </c>
      <c r="N38" s="37">
        <f>SUM(EDITAIS!N38,'CASA SONHAR'!N38,'Q. PROF.'!N38,PSICOSSOCIAL!N38,PEC!N38)</f>
        <v>0</v>
      </c>
      <c r="O38" s="5">
        <f t="shared" si="5"/>
        <v>0</v>
      </c>
    </row>
    <row r="39" spans="2:15" s="9" customFormat="1" ht="15.75" x14ac:dyDescent="0.25">
      <c r="B39" s="12" t="s">
        <v>62</v>
      </c>
      <c r="C39" s="37">
        <f>SUM(EDITAIS!C39,'CASA SONHAR'!C39,'Q. PROF.'!C39,PSICOSSOCIAL!C39,PEC!C39)</f>
        <v>0</v>
      </c>
      <c r="D39" s="37">
        <f>SUM(EDITAIS!D39,'CASA SONHAR'!D39,'Q. PROF.'!D39,PSICOSSOCIAL!D39,PEC!D39)</f>
        <v>0</v>
      </c>
      <c r="E39" s="37">
        <f>SUM(EDITAIS!E39,'CASA SONHAR'!E39,'Q. PROF.'!E39,PSICOSSOCIAL!E39,PEC!E39)</f>
        <v>0</v>
      </c>
      <c r="F39" s="37">
        <f>SUM(EDITAIS!F39,'CASA SONHAR'!F39,'Q. PROF.'!F39,PSICOSSOCIAL!F39,PEC!F39)</f>
        <v>0</v>
      </c>
      <c r="G39" s="37">
        <f>SUM(EDITAIS!G39,'CASA SONHAR'!G39,'Q. PROF.'!G39,PSICOSSOCIAL!G39,PEC!G39)</f>
        <v>0</v>
      </c>
      <c r="H39" s="37">
        <f>SUM(EDITAIS!H39,'CASA SONHAR'!H39,'Q. PROF.'!H39,PSICOSSOCIAL!H39,PEC!H39)</f>
        <v>0</v>
      </c>
      <c r="I39" s="37">
        <f>SUM(EDITAIS!I39,'CASA SONHAR'!I39,'Q. PROF.'!I39,PSICOSSOCIAL!I39,PEC!I39)</f>
        <v>0</v>
      </c>
      <c r="J39" s="37">
        <f>SUM(EDITAIS!J39,'CASA SONHAR'!J39,'Q. PROF.'!J39,PSICOSSOCIAL!J39,PEC!J39)</f>
        <v>0</v>
      </c>
      <c r="K39" s="37">
        <f>SUM(EDITAIS!K39,'CASA SONHAR'!K39,'Q. PROF.'!K39,PSICOSSOCIAL!K39,PEC!K39)</f>
        <v>0</v>
      </c>
      <c r="L39" s="37">
        <f>SUM(EDITAIS!L39,'CASA SONHAR'!L39,'Q. PROF.'!L39,PSICOSSOCIAL!L39,PEC!L39)</f>
        <v>0</v>
      </c>
      <c r="M39" s="37">
        <f>SUM(EDITAIS!M39,'CASA SONHAR'!M39,'Q. PROF.'!M39,PSICOSSOCIAL!M39,PEC!M39)</f>
        <v>0</v>
      </c>
      <c r="N39" s="37">
        <f>SUM(EDITAIS!N39,'CASA SONHAR'!N39,'Q. PROF.'!N39,PSICOSSOCIAL!N39,PEC!N39)</f>
        <v>0</v>
      </c>
      <c r="O39" s="5">
        <f t="shared" si="5"/>
        <v>0</v>
      </c>
    </row>
    <row r="40" spans="2:15" s="42" customFormat="1" ht="19.5" x14ac:dyDescent="0.4">
      <c r="B40" s="10" t="s">
        <v>63</v>
      </c>
      <c r="C40" s="40">
        <f>SUM(C41:C42)</f>
        <v>0</v>
      </c>
      <c r="D40" s="40">
        <f t="shared" ref="D40:N40" si="11">SUM(D41:D42)</f>
        <v>0</v>
      </c>
      <c r="E40" s="40">
        <f t="shared" si="11"/>
        <v>0</v>
      </c>
      <c r="F40" s="40">
        <f t="shared" si="11"/>
        <v>0</v>
      </c>
      <c r="G40" s="40">
        <f t="shared" si="11"/>
        <v>0</v>
      </c>
      <c r="H40" s="40">
        <f t="shared" si="11"/>
        <v>0</v>
      </c>
      <c r="I40" s="40">
        <f t="shared" si="11"/>
        <v>0</v>
      </c>
      <c r="J40" s="40">
        <f t="shared" si="11"/>
        <v>0</v>
      </c>
      <c r="K40" s="40">
        <f t="shared" si="11"/>
        <v>0</v>
      </c>
      <c r="L40" s="40">
        <f t="shared" si="11"/>
        <v>0</v>
      </c>
      <c r="M40" s="40">
        <f t="shared" si="11"/>
        <v>0</v>
      </c>
      <c r="N40" s="40">
        <f t="shared" si="11"/>
        <v>0</v>
      </c>
      <c r="O40" s="41">
        <f t="shared" si="5"/>
        <v>0</v>
      </c>
    </row>
    <row r="41" spans="2:15" s="9" customFormat="1" ht="15.75" x14ac:dyDescent="0.25">
      <c r="B41" s="12" t="s">
        <v>64</v>
      </c>
      <c r="C41" s="37">
        <f>SUM(EDITAIS!C41,'CASA SONHAR'!C41,'Q. PROF.'!C41,PSICOSSOCIAL!C41,PEC!C41)</f>
        <v>0</v>
      </c>
      <c r="D41" s="37">
        <f>SUM(EDITAIS!D41,'CASA SONHAR'!D41,'Q. PROF.'!D41,PSICOSSOCIAL!D41,PEC!D41)</f>
        <v>0</v>
      </c>
      <c r="E41" s="37">
        <f>SUM(EDITAIS!E41,'CASA SONHAR'!E41,'Q. PROF.'!E41,PSICOSSOCIAL!E41,PEC!E41)</f>
        <v>0</v>
      </c>
      <c r="F41" s="37">
        <f>SUM(EDITAIS!F41,'CASA SONHAR'!F41,'Q. PROF.'!F41,PSICOSSOCIAL!F41,PEC!F41)</f>
        <v>0</v>
      </c>
      <c r="G41" s="37">
        <f>SUM(EDITAIS!G41,'CASA SONHAR'!G41,'Q. PROF.'!G41,PSICOSSOCIAL!G41,PEC!G41)</f>
        <v>0</v>
      </c>
      <c r="H41" s="37">
        <f>SUM(EDITAIS!H41,'CASA SONHAR'!H41,'Q. PROF.'!H41,PSICOSSOCIAL!H41,PEC!H41)</f>
        <v>0</v>
      </c>
      <c r="I41" s="37">
        <f>SUM(EDITAIS!I41,'CASA SONHAR'!I41,'Q. PROF.'!I41,PSICOSSOCIAL!I41,PEC!I41)</f>
        <v>0</v>
      </c>
      <c r="J41" s="37">
        <f>SUM(EDITAIS!J41,'CASA SONHAR'!J41,'Q. PROF.'!J41,PSICOSSOCIAL!J41,PEC!J41)</f>
        <v>0</v>
      </c>
      <c r="K41" s="37">
        <f>SUM(EDITAIS!K41,'CASA SONHAR'!K41,'Q. PROF.'!K41,PSICOSSOCIAL!K41,PEC!K41)</f>
        <v>0</v>
      </c>
      <c r="L41" s="37">
        <f>SUM(EDITAIS!L41,'CASA SONHAR'!L41,'Q. PROF.'!L41,PSICOSSOCIAL!L41,PEC!L41)</f>
        <v>0</v>
      </c>
      <c r="M41" s="37">
        <f>SUM(EDITAIS!M41,'CASA SONHAR'!M41,'Q. PROF.'!M41,PSICOSSOCIAL!M41,PEC!M41)</f>
        <v>0</v>
      </c>
      <c r="N41" s="37">
        <f>SUM(EDITAIS!N41,'CASA SONHAR'!N41,'Q. PROF.'!N41,PSICOSSOCIAL!N41,PEC!N41)</f>
        <v>0</v>
      </c>
      <c r="O41" s="5">
        <f t="shared" si="5"/>
        <v>0</v>
      </c>
    </row>
    <row r="42" spans="2:15" s="9" customFormat="1" ht="15.75" x14ac:dyDescent="0.25">
      <c r="B42" s="12" t="s">
        <v>65</v>
      </c>
      <c r="C42" s="37">
        <f>SUM(EDITAIS!C42,'CASA SONHAR'!C42,'Q. PROF.'!C42,PSICOSSOCIAL!C42,PEC!C42)</f>
        <v>0</v>
      </c>
      <c r="D42" s="37">
        <f>SUM(EDITAIS!D42,'CASA SONHAR'!D42,'Q. PROF.'!D42,PSICOSSOCIAL!D42,PEC!D42)</f>
        <v>0</v>
      </c>
      <c r="E42" s="37">
        <f>SUM(EDITAIS!E42,'CASA SONHAR'!E42,'Q. PROF.'!E42,PSICOSSOCIAL!E42,PEC!E42)</f>
        <v>0</v>
      </c>
      <c r="F42" s="37">
        <f>SUM(EDITAIS!F42,'CASA SONHAR'!F42,'Q. PROF.'!F42,PSICOSSOCIAL!F42,PEC!F42)</f>
        <v>0</v>
      </c>
      <c r="G42" s="37">
        <f>SUM(EDITAIS!G42,'CASA SONHAR'!G42,'Q. PROF.'!G42,PSICOSSOCIAL!G42,PEC!G42)</f>
        <v>0</v>
      </c>
      <c r="H42" s="37">
        <f>SUM(EDITAIS!H42,'CASA SONHAR'!H42,'Q. PROF.'!H42,PSICOSSOCIAL!H42,PEC!H42)</f>
        <v>0</v>
      </c>
      <c r="I42" s="37">
        <f>SUM(EDITAIS!I42,'CASA SONHAR'!I42,'Q. PROF.'!I42,PSICOSSOCIAL!I42,PEC!I42)</f>
        <v>0</v>
      </c>
      <c r="J42" s="37">
        <f>SUM(EDITAIS!J42,'CASA SONHAR'!J42,'Q. PROF.'!J42,PSICOSSOCIAL!J42,PEC!J42)</f>
        <v>0</v>
      </c>
      <c r="K42" s="37">
        <f>SUM(EDITAIS!K42,'CASA SONHAR'!K42,'Q. PROF.'!K42,PSICOSSOCIAL!K42,PEC!K42)</f>
        <v>0</v>
      </c>
      <c r="L42" s="37">
        <f>SUM(EDITAIS!L42,'CASA SONHAR'!L42,'Q. PROF.'!L42,PSICOSSOCIAL!L42,PEC!L42)</f>
        <v>0</v>
      </c>
      <c r="M42" s="37">
        <f>SUM(EDITAIS!M42,'CASA SONHAR'!M42,'Q. PROF.'!M42,PSICOSSOCIAL!M42,PEC!M42)</f>
        <v>0</v>
      </c>
      <c r="N42" s="37">
        <f>SUM(EDITAIS!N42,'CASA SONHAR'!N42,'Q. PROF.'!N42,PSICOSSOCIAL!N42,PEC!N42)</f>
        <v>0</v>
      </c>
      <c r="O42" s="5">
        <f t="shared" si="5"/>
        <v>0</v>
      </c>
    </row>
    <row r="43" spans="2:15" s="42" customFormat="1" ht="19.5" x14ac:dyDescent="0.4">
      <c r="B43" s="10" t="s">
        <v>66</v>
      </c>
      <c r="C43" s="40">
        <f t="shared" ref="C43" si="12">SUM(C44:C46)</f>
        <v>0</v>
      </c>
      <c r="D43" s="40">
        <f t="shared" ref="D43:N43" si="13">SUM(D44:D46)</f>
        <v>0</v>
      </c>
      <c r="E43" s="40">
        <f t="shared" si="13"/>
        <v>0</v>
      </c>
      <c r="F43" s="40">
        <f t="shared" si="13"/>
        <v>0</v>
      </c>
      <c r="G43" s="40">
        <f t="shared" si="13"/>
        <v>0</v>
      </c>
      <c r="H43" s="40">
        <f t="shared" si="13"/>
        <v>0</v>
      </c>
      <c r="I43" s="40">
        <f t="shared" si="13"/>
        <v>0</v>
      </c>
      <c r="J43" s="40">
        <f t="shared" si="13"/>
        <v>0</v>
      </c>
      <c r="K43" s="40">
        <f t="shared" si="13"/>
        <v>0</v>
      </c>
      <c r="L43" s="40">
        <f t="shared" si="13"/>
        <v>0</v>
      </c>
      <c r="M43" s="40">
        <f t="shared" si="13"/>
        <v>0</v>
      </c>
      <c r="N43" s="40">
        <f t="shared" si="13"/>
        <v>0</v>
      </c>
      <c r="O43" s="41">
        <f t="shared" si="5"/>
        <v>0</v>
      </c>
    </row>
    <row r="44" spans="2:15" s="9" customFormat="1" ht="15.75" x14ac:dyDescent="0.25">
      <c r="B44" s="47" t="s">
        <v>247</v>
      </c>
      <c r="C44" s="37">
        <f>SUM(EDITAIS!C44,'CASA SONHAR'!C44,'Q. PROF.'!C44,PSICOSSOCIAL!C44,PEC!C44)</f>
        <v>0</v>
      </c>
      <c r="D44" s="37">
        <f>SUM(EDITAIS!D44,'CASA SONHAR'!D44,'Q. PROF.'!D44,PSICOSSOCIAL!D44,PEC!D44)</f>
        <v>0</v>
      </c>
      <c r="E44" s="37">
        <f>SUM(EDITAIS!E44,'CASA SONHAR'!E44,'Q. PROF.'!E44,PSICOSSOCIAL!E44,PEC!E44)</f>
        <v>0</v>
      </c>
      <c r="F44" s="37">
        <f>SUM(EDITAIS!F44,'CASA SONHAR'!F44,'Q. PROF.'!F44,PSICOSSOCIAL!F44,PEC!F44)</f>
        <v>0</v>
      </c>
      <c r="G44" s="37">
        <f>SUM(EDITAIS!G44,'CASA SONHAR'!G44,'Q. PROF.'!G44,PSICOSSOCIAL!G44,PEC!G44)</f>
        <v>0</v>
      </c>
      <c r="H44" s="37">
        <f>SUM(EDITAIS!H44,'CASA SONHAR'!H44,'Q. PROF.'!H44,PSICOSSOCIAL!H44,PEC!H44)</f>
        <v>0</v>
      </c>
      <c r="I44" s="37">
        <f>SUM(EDITAIS!I44,'CASA SONHAR'!I44,'Q. PROF.'!I44,PSICOSSOCIAL!I44,PEC!I44)</f>
        <v>0</v>
      </c>
      <c r="J44" s="37">
        <f>SUM(EDITAIS!J44,'CASA SONHAR'!J44,'Q. PROF.'!J44,PSICOSSOCIAL!J44,PEC!J44)</f>
        <v>0</v>
      </c>
      <c r="K44" s="37">
        <f>SUM(EDITAIS!K44,'CASA SONHAR'!K44,'Q. PROF.'!K44,PSICOSSOCIAL!K44,PEC!K44)</f>
        <v>0</v>
      </c>
      <c r="L44" s="37">
        <f>SUM(EDITAIS!L44,'CASA SONHAR'!L44,'Q. PROF.'!L44,PSICOSSOCIAL!L44,PEC!L44)</f>
        <v>0</v>
      </c>
      <c r="M44" s="37">
        <f>SUM(EDITAIS!M44,'CASA SONHAR'!M44,'Q. PROF.'!M44,PSICOSSOCIAL!M44,PEC!M44)</f>
        <v>0</v>
      </c>
      <c r="N44" s="37">
        <f>SUM(EDITAIS!N44,'CASA SONHAR'!N44,'Q. PROF.'!N44,PSICOSSOCIAL!N44,PEC!N44)</f>
        <v>0</v>
      </c>
      <c r="O44" s="46">
        <f t="shared" si="5"/>
        <v>0</v>
      </c>
    </row>
    <row r="45" spans="2:15" s="9" customFormat="1" ht="15.75" x14ac:dyDescent="0.25">
      <c r="B45" s="12" t="s">
        <v>68</v>
      </c>
      <c r="C45" s="37">
        <f>SUM(EDITAIS!C45,'CASA SONHAR'!C45,'Q. PROF.'!C45,PSICOSSOCIAL!C45,PEC!C45)</f>
        <v>0</v>
      </c>
      <c r="D45" s="37">
        <f>SUM(EDITAIS!D45,'CASA SONHAR'!D45,'Q. PROF.'!D45,PSICOSSOCIAL!D45,PEC!D45)</f>
        <v>0</v>
      </c>
      <c r="E45" s="37">
        <f>SUM(EDITAIS!E45,'CASA SONHAR'!E45,'Q. PROF.'!E45,PSICOSSOCIAL!E45,PEC!E45)</f>
        <v>0</v>
      </c>
      <c r="F45" s="37">
        <f>SUM(EDITAIS!F45,'CASA SONHAR'!F45,'Q. PROF.'!F45,PSICOSSOCIAL!F45,PEC!F45)</f>
        <v>0</v>
      </c>
      <c r="G45" s="37">
        <f>SUM(EDITAIS!G45,'CASA SONHAR'!G45,'Q. PROF.'!G45,PSICOSSOCIAL!G45,PEC!G45)</f>
        <v>0</v>
      </c>
      <c r="H45" s="37">
        <f>SUM(EDITAIS!H45,'CASA SONHAR'!H45,'Q. PROF.'!H45,PSICOSSOCIAL!H45,PEC!H45)</f>
        <v>0</v>
      </c>
      <c r="I45" s="37">
        <f>SUM(EDITAIS!I45,'CASA SONHAR'!I45,'Q. PROF.'!I45,PSICOSSOCIAL!I45,PEC!I45)</f>
        <v>0</v>
      </c>
      <c r="J45" s="37">
        <f>SUM(EDITAIS!J45,'CASA SONHAR'!J45,'Q. PROF.'!J45,PSICOSSOCIAL!J45,PEC!J45)</f>
        <v>0</v>
      </c>
      <c r="K45" s="37">
        <f>SUM(EDITAIS!K45,'CASA SONHAR'!K45,'Q. PROF.'!K45,PSICOSSOCIAL!K45,PEC!K45)</f>
        <v>0</v>
      </c>
      <c r="L45" s="37">
        <f>SUM(EDITAIS!L45,'CASA SONHAR'!L45,'Q. PROF.'!L45,PSICOSSOCIAL!L45,PEC!L45)</f>
        <v>0</v>
      </c>
      <c r="M45" s="37">
        <f>SUM(EDITAIS!M45,'CASA SONHAR'!M45,'Q. PROF.'!M45,PSICOSSOCIAL!M45,PEC!M45)</f>
        <v>0</v>
      </c>
      <c r="N45" s="37">
        <f>SUM(EDITAIS!N45,'CASA SONHAR'!N45,'Q. PROF.'!N45,PSICOSSOCIAL!N45,PEC!N45)</f>
        <v>0</v>
      </c>
      <c r="O45" s="5">
        <f t="shared" si="5"/>
        <v>0</v>
      </c>
    </row>
    <row r="46" spans="2:15" s="9" customFormat="1" ht="15.75" x14ac:dyDescent="0.25">
      <c r="B46" s="12"/>
      <c r="C46" s="37">
        <f>SUM(EDITAIS!C46,'CASA SONHAR'!C46,'Q. PROF.'!C46,PSICOSSOCIAL!C46,PEC!C46)</f>
        <v>0</v>
      </c>
      <c r="D46" s="37">
        <f>SUM(EDITAIS!D46,'CASA SONHAR'!D46,'Q. PROF.'!D46,PSICOSSOCIAL!D46,PEC!D46)</f>
        <v>0</v>
      </c>
      <c r="E46" s="37">
        <f>SUM(EDITAIS!E46,'CASA SONHAR'!E46,'Q. PROF.'!E46,PSICOSSOCIAL!E46,PEC!E46)</f>
        <v>0</v>
      </c>
      <c r="F46" s="37">
        <f>SUM(EDITAIS!F46,'CASA SONHAR'!F46,'Q. PROF.'!F46,PSICOSSOCIAL!F46,PEC!F46)</f>
        <v>0</v>
      </c>
      <c r="G46" s="37">
        <f>SUM(EDITAIS!G46,'CASA SONHAR'!G46,'Q. PROF.'!G46,PSICOSSOCIAL!G46,PEC!G46)</f>
        <v>0</v>
      </c>
      <c r="H46" s="37">
        <f>SUM(EDITAIS!H46,'CASA SONHAR'!H46,'Q. PROF.'!H46,PSICOSSOCIAL!H46,PEC!H46)</f>
        <v>0</v>
      </c>
      <c r="I46" s="37">
        <f>SUM(EDITAIS!I46,'CASA SONHAR'!I46,'Q. PROF.'!I46,PSICOSSOCIAL!I46,PEC!I46)</f>
        <v>0</v>
      </c>
      <c r="J46" s="37">
        <f>SUM(EDITAIS!J46,'CASA SONHAR'!J46,'Q. PROF.'!J46,PSICOSSOCIAL!J46,PEC!J46)</f>
        <v>0</v>
      </c>
      <c r="K46" s="37">
        <f>SUM(EDITAIS!K46,'CASA SONHAR'!K46,'Q. PROF.'!K46,PSICOSSOCIAL!K46,PEC!K46)</f>
        <v>0</v>
      </c>
      <c r="L46" s="37">
        <f>SUM(EDITAIS!L46,'CASA SONHAR'!L46,'Q. PROF.'!L46,PSICOSSOCIAL!L46,PEC!L46)</f>
        <v>0</v>
      </c>
      <c r="M46" s="37">
        <f>SUM(EDITAIS!M46,'CASA SONHAR'!M46,'Q. PROF.'!M46,PSICOSSOCIAL!M46,PEC!M46)</f>
        <v>0</v>
      </c>
      <c r="N46" s="37">
        <f>SUM(EDITAIS!N46,'CASA SONHAR'!N46,'Q. PROF.'!N46,PSICOSSOCIAL!N46,PEC!N46)</f>
        <v>0</v>
      </c>
      <c r="O46" s="5">
        <f t="shared" si="5"/>
        <v>0</v>
      </c>
    </row>
    <row r="47" spans="2:15" s="9" customFormat="1" ht="19.5" x14ac:dyDescent="0.25">
      <c r="B47" s="19" t="s">
        <v>69</v>
      </c>
      <c r="C47" s="48">
        <f>SUM(C48,C50,C53,C75,C99,C105,C116,C120,C123,C126,C130,C133)</f>
        <v>54345</v>
      </c>
      <c r="D47" s="48">
        <f>SUM(D48,D50,D53,D75,D99,D105,D116,D120,D123,D126,D130,D133)</f>
        <v>124921</v>
      </c>
      <c r="E47" s="48">
        <f>SUM(E48,E50,E53,E75,E99,E105,E116,E120,E123,E126,E130,E133)</f>
        <v>62071</v>
      </c>
      <c r="F47" s="48">
        <f t="shared" ref="F47:N47" si="14">SUM(F48,F50,F53,F75,F99,F105,F116,F120,F123,F126,F130,F133)</f>
        <v>64071</v>
      </c>
      <c r="G47" s="48">
        <f t="shared" si="14"/>
        <v>64521</v>
      </c>
      <c r="H47" s="48">
        <f t="shared" si="14"/>
        <v>63871</v>
      </c>
      <c r="I47" s="48">
        <f t="shared" si="14"/>
        <v>65021</v>
      </c>
      <c r="J47" s="48">
        <f t="shared" si="14"/>
        <v>65471</v>
      </c>
      <c r="K47" s="48">
        <f t="shared" si="14"/>
        <v>61021</v>
      </c>
      <c r="L47" s="48">
        <f t="shared" si="14"/>
        <v>67021</v>
      </c>
      <c r="M47" s="48">
        <f t="shared" si="14"/>
        <v>72621</v>
      </c>
      <c r="N47" s="48">
        <f t="shared" si="14"/>
        <v>76941</v>
      </c>
      <c r="O47" s="6">
        <f t="shared" si="5"/>
        <v>841896</v>
      </c>
    </row>
    <row r="48" spans="2:15" s="42" customFormat="1" ht="19.5" x14ac:dyDescent="0.4">
      <c r="B48" s="15" t="s">
        <v>70</v>
      </c>
      <c r="C48" s="43">
        <f>SUM(C49)</f>
        <v>0</v>
      </c>
      <c r="D48" s="43">
        <f t="shared" ref="D48:N48" si="15">SUM(D49)</f>
        <v>0</v>
      </c>
      <c r="E48" s="43">
        <f t="shared" si="15"/>
        <v>0</v>
      </c>
      <c r="F48" s="43">
        <f>SUM(F49)</f>
        <v>0</v>
      </c>
      <c r="G48" s="43">
        <f t="shared" si="15"/>
        <v>0</v>
      </c>
      <c r="H48" s="43">
        <f t="shared" si="15"/>
        <v>0</v>
      </c>
      <c r="I48" s="43">
        <f t="shared" si="15"/>
        <v>0</v>
      </c>
      <c r="J48" s="43">
        <f t="shared" si="15"/>
        <v>0</v>
      </c>
      <c r="K48" s="43">
        <f t="shared" si="15"/>
        <v>0</v>
      </c>
      <c r="L48" s="43">
        <f t="shared" si="15"/>
        <v>0</v>
      </c>
      <c r="M48" s="43">
        <f t="shared" si="15"/>
        <v>0</v>
      </c>
      <c r="N48" s="43">
        <f t="shared" si="15"/>
        <v>0</v>
      </c>
      <c r="O48" s="44">
        <f t="shared" si="5"/>
        <v>0</v>
      </c>
    </row>
    <row r="49" spans="2:15" s="9" customFormat="1" ht="15.75" x14ac:dyDescent="0.25">
      <c r="B49" s="12" t="s">
        <v>71</v>
      </c>
      <c r="C49" s="37">
        <f>SUM(EDITAIS!C49,'CASA SONHAR'!C49,'Q. PROF.'!C49,PSICOSSOCIAL!C49,PEC!C49)</f>
        <v>0</v>
      </c>
      <c r="D49" s="37">
        <f>SUM(EDITAIS!D49,'CASA SONHAR'!D49,'Q. PROF.'!D49,PSICOSSOCIAL!D49,PEC!D49)</f>
        <v>0</v>
      </c>
      <c r="E49" s="37">
        <f>SUM(EDITAIS!E49,'CASA SONHAR'!E49,'Q. PROF.'!E49,PSICOSSOCIAL!E49,PEC!E49)</f>
        <v>0</v>
      </c>
      <c r="F49" s="37">
        <f>SUM(EDITAIS!F49,'CASA SONHAR'!F49,'Q. PROF.'!F49,PSICOSSOCIAL!F49,PEC!F49)</f>
        <v>0</v>
      </c>
      <c r="G49" s="37">
        <f>SUM(EDITAIS!G49,'CASA SONHAR'!G49,'Q. PROF.'!G49,PSICOSSOCIAL!G49,PEC!G49)</f>
        <v>0</v>
      </c>
      <c r="H49" s="37">
        <f>SUM(EDITAIS!H49,'CASA SONHAR'!H49,'Q. PROF.'!H49,PSICOSSOCIAL!H49,PEC!H49)</f>
        <v>0</v>
      </c>
      <c r="I49" s="37">
        <f>SUM(EDITAIS!I49,'CASA SONHAR'!I49,'Q. PROF.'!I49,PSICOSSOCIAL!I49,PEC!I49)</f>
        <v>0</v>
      </c>
      <c r="J49" s="37">
        <f>SUM(EDITAIS!J49,'CASA SONHAR'!J49,'Q. PROF.'!J49,PSICOSSOCIAL!J49,PEC!J49)</f>
        <v>0</v>
      </c>
      <c r="K49" s="37">
        <f>SUM(EDITAIS!K49,'CASA SONHAR'!K49,'Q. PROF.'!K49,PSICOSSOCIAL!K49,PEC!K49)</f>
        <v>0</v>
      </c>
      <c r="L49" s="37">
        <f>SUM(EDITAIS!L49,'CASA SONHAR'!L49,'Q. PROF.'!L49,PSICOSSOCIAL!L49,PEC!L49)</f>
        <v>0</v>
      </c>
      <c r="M49" s="37">
        <f>SUM(EDITAIS!M49,'CASA SONHAR'!M49,'Q. PROF.'!M49,PSICOSSOCIAL!M49,PEC!M49)</f>
        <v>0</v>
      </c>
      <c r="N49" s="37">
        <f>SUM(EDITAIS!N49,'CASA SONHAR'!N49,'Q. PROF.'!N49,PSICOSSOCIAL!N49,PEC!N49)</f>
        <v>0</v>
      </c>
      <c r="O49" s="5">
        <f t="shared" si="5"/>
        <v>0</v>
      </c>
    </row>
    <row r="50" spans="2:15" s="42" customFormat="1" ht="19.5" x14ac:dyDescent="0.4">
      <c r="B50" s="15" t="s">
        <v>72</v>
      </c>
      <c r="C50" s="43">
        <f t="shared" ref="C50" si="16">SUM(C51:C52)</f>
        <v>0</v>
      </c>
      <c r="D50" s="43">
        <f t="shared" ref="D50:N50" si="17">SUM(D51:D52)</f>
        <v>200</v>
      </c>
      <c r="E50" s="43">
        <f t="shared" si="17"/>
        <v>0</v>
      </c>
      <c r="F50" s="43">
        <f>SUM(F51:F52)</f>
        <v>0</v>
      </c>
      <c r="G50" s="43">
        <f t="shared" si="17"/>
        <v>200</v>
      </c>
      <c r="H50" s="43">
        <f t="shared" si="17"/>
        <v>0</v>
      </c>
      <c r="I50" s="43">
        <f t="shared" si="17"/>
        <v>0</v>
      </c>
      <c r="J50" s="43">
        <f t="shared" si="17"/>
        <v>200</v>
      </c>
      <c r="K50" s="43">
        <f t="shared" si="17"/>
        <v>0</v>
      </c>
      <c r="L50" s="43">
        <f t="shared" si="17"/>
        <v>200</v>
      </c>
      <c r="M50" s="43">
        <f t="shared" si="17"/>
        <v>0</v>
      </c>
      <c r="N50" s="43">
        <f t="shared" si="17"/>
        <v>0</v>
      </c>
      <c r="O50" s="44">
        <f t="shared" si="5"/>
        <v>800</v>
      </c>
    </row>
    <row r="51" spans="2:15" s="9" customFormat="1" ht="15.75" x14ac:dyDescent="0.25">
      <c r="B51" s="12" t="s">
        <v>73</v>
      </c>
      <c r="C51" s="37">
        <f>SUM(EDITAIS!C51,'CASA SONHAR'!C51,'Q. PROF.'!C51,PSICOSSOCIAL!C51,PEC!C51)</f>
        <v>0</v>
      </c>
      <c r="D51" s="37">
        <f>SUM(EDITAIS!D51,'CASA SONHAR'!D51,'Q. PROF.'!D51,PSICOSSOCIAL!D51,PEC!D51)</f>
        <v>200</v>
      </c>
      <c r="E51" s="37">
        <f>SUM(EDITAIS!E51,'CASA SONHAR'!E51,'Q. PROF.'!E51,PSICOSSOCIAL!E51,PEC!E51)</f>
        <v>0</v>
      </c>
      <c r="F51" s="37">
        <f>SUM(EDITAIS!F51,'CASA SONHAR'!F51,'Q. PROF.'!F51,PSICOSSOCIAL!F51,PEC!F51)</f>
        <v>0</v>
      </c>
      <c r="G51" s="37">
        <f>SUM(EDITAIS!G51,'CASA SONHAR'!G51,'Q. PROF.'!G51,PSICOSSOCIAL!G51,PEC!G51)</f>
        <v>200</v>
      </c>
      <c r="H51" s="37">
        <f>SUM(EDITAIS!H51,'CASA SONHAR'!H51,'Q. PROF.'!H51,PSICOSSOCIAL!H51,PEC!H51)</f>
        <v>0</v>
      </c>
      <c r="I51" s="37">
        <f>SUM(EDITAIS!I51,'CASA SONHAR'!I51,'Q. PROF.'!I51,PSICOSSOCIAL!I51,PEC!I51)</f>
        <v>0</v>
      </c>
      <c r="J51" s="37">
        <f>SUM(EDITAIS!J51,'CASA SONHAR'!J51,'Q. PROF.'!J51,PSICOSSOCIAL!J51,PEC!J51)</f>
        <v>200</v>
      </c>
      <c r="K51" s="37">
        <f>SUM(EDITAIS!K51,'CASA SONHAR'!K51,'Q. PROF.'!K51,PSICOSSOCIAL!K51,PEC!K51)</f>
        <v>0</v>
      </c>
      <c r="L51" s="37">
        <f>SUM(EDITAIS!L51,'CASA SONHAR'!L51,'Q. PROF.'!L51,PSICOSSOCIAL!L51,PEC!L51)</f>
        <v>200</v>
      </c>
      <c r="M51" s="37">
        <f>SUM(EDITAIS!M51,'CASA SONHAR'!M51,'Q. PROF.'!M51,PSICOSSOCIAL!M51,PEC!M51)</f>
        <v>0</v>
      </c>
      <c r="N51" s="37">
        <f>SUM(EDITAIS!N51,'CASA SONHAR'!N51,'Q. PROF.'!N51,PSICOSSOCIAL!N51,PEC!N51)</f>
        <v>0</v>
      </c>
      <c r="O51" s="5">
        <f t="shared" si="5"/>
        <v>800</v>
      </c>
    </row>
    <row r="52" spans="2:15" s="9" customFormat="1" ht="15.75" x14ac:dyDescent="0.25">
      <c r="B52" s="12" t="s">
        <v>74</v>
      </c>
      <c r="C52" s="37">
        <f>SUM(EDITAIS!C52,'CASA SONHAR'!C52,'Q. PROF.'!C52,PSICOSSOCIAL!C52,PEC!C52)</f>
        <v>0</v>
      </c>
      <c r="D52" s="37">
        <f>SUM(EDITAIS!D52,'CASA SONHAR'!D52,'Q. PROF.'!D52,PSICOSSOCIAL!D52,PEC!D52)</f>
        <v>0</v>
      </c>
      <c r="E52" s="37">
        <f>SUM(EDITAIS!E52,'CASA SONHAR'!E52,'Q. PROF.'!E52,PSICOSSOCIAL!E52,PEC!E52)</f>
        <v>0</v>
      </c>
      <c r="F52" s="37">
        <f>SUM(EDITAIS!F52,'CASA SONHAR'!F52,'Q. PROF.'!F52,PSICOSSOCIAL!F52,PEC!F52)</f>
        <v>0</v>
      </c>
      <c r="G52" s="37">
        <f>SUM(EDITAIS!G52,'CASA SONHAR'!G52,'Q. PROF.'!G52,PSICOSSOCIAL!G52,PEC!G52)</f>
        <v>0</v>
      </c>
      <c r="H52" s="37">
        <f>SUM(EDITAIS!H52,'CASA SONHAR'!H52,'Q. PROF.'!H52,PSICOSSOCIAL!H52,PEC!H52)</f>
        <v>0</v>
      </c>
      <c r="I52" s="37">
        <f>SUM(EDITAIS!I52,'CASA SONHAR'!I52,'Q. PROF.'!I52,PSICOSSOCIAL!I52,PEC!I52)</f>
        <v>0</v>
      </c>
      <c r="J52" s="37">
        <f>SUM(EDITAIS!J52,'CASA SONHAR'!J52,'Q. PROF.'!J52,PSICOSSOCIAL!J52,PEC!J52)</f>
        <v>0</v>
      </c>
      <c r="K52" s="37">
        <f>SUM(EDITAIS!K52,'CASA SONHAR'!K52,'Q. PROF.'!K52,PSICOSSOCIAL!K52,PEC!K52)</f>
        <v>0</v>
      </c>
      <c r="L52" s="37">
        <f>SUM(EDITAIS!L52,'CASA SONHAR'!L52,'Q. PROF.'!L52,PSICOSSOCIAL!L52,PEC!L52)</f>
        <v>0</v>
      </c>
      <c r="M52" s="37">
        <f>SUM(EDITAIS!M52,'CASA SONHAR'!M52,'Q. PROF.'!M52,PSICOSSOCIAL!M52,PEC!M52)</f>
        <v>0</v>
      </c>
      <c r="N52" s="37">
        <f>SUM(EDITAIS!N52,'CASA SONHAR'!N52,'Q. PROF.'!N52,PSICOSSOCIAL!N52,PEC!N52)</f>
        <v>0</v>
      </c>
      <c r="O52" s="5">
        <f t="shared" si="5"/>
        <v>0</v>
      </c>
    </row>
    <row r="53" spans="2:15" s="42" customFormat="1" ht="19.5" x14ac:dyDescent="0.4">
      <c r="B53" s="15" t="s">
        <v>75</v>
      </c>
      <c r="C53" s="43">
        <f>SUM(C54:C74)</f>
        <v>37400</v>
      </c>
      <c r="D53" s="43">
        <f t="shared" ref="D53:N53" si="18">SUM(D54:D74)</f>
        <v>45696</v>
      </c>
      <c r="E53" s="43">
        <f t="shared" si="18"/>
        <v>45696</v>
      </c>
      <c r="F53" s="43">
        <f>SUM(F54:F74)</f>
        <v>45696</v>
      </c>
      <c r="G53" s="43">
        <f t="shared" si="18"/>
        <v>45696</v>
      </c>
      <c r="H53" s="43">
        <f t="shared" si="18"/>
        <v>45696</v>
      </c>
      <c r="I53" s="43">
        <f t="shared" si="18"/>
        <v>45696</v>
      </c>
      <c r="J53" s="43">
        <f t="shared" si="18"/>
        <v>45696</v>
      </c>
      <c r="K53" s="43">
        <f t="shared" si="18"/>
        <v>45696</v>
      </c>
      <c r="L53" s="43">
        <f t="shared" si="18"/>
        <v>45696</v>
      </c>
      <c r="M53" s="43">
        <f t="shared" si="18"/>
        <v>45696</v>
      </c>
      <c r="N53" s="43">
        <f t="shared" si="18"/>
        <v>57716</v>
      </c>
      <c r="O53" s="44">
        <f>SUM(C53:N53)</f>
        <v>552076</v>
      </c>
    </row>
    <row r="54" spans="2:15" s="9" customFormat="1" ht="15.75" x14ac:dyDescent="0.25">
      <c r="B54" s="12" t="s">
        <v>76</v>
      </c>
      <c r="C54" s="37">
        <f>SUM(EDITAIS!C54,'CASA SONHAR'!C54,'Q. PROF.'!C54,PSICOSSOCIAL!C54,PEC!C54)</f>
        <v>0</v>
      </c>
      <c r="D54" s="37">
        <f>SUM(EDITAIS!D54,'CASA SONHAR'!D54,'Q. PROF.'!D54,PSICOSSOCIAL!D54,PEC!D54)</f>
        <v>0</v>
      </c>
      <c r="E54" s="37">
        <f>SUM(EDITAIS!E54,'CASA SONHAR'!E54,'Q. PROF.'!E54,PSICOSSOCIAL!E54,PEC!E54)</f>
        <v>0</v>
      </c>
      <c r="F54" s="37">
        <f>SUM(EDITAIS!F54,'CASA SONHAR'!F54,'Q. PROF.'!F54,PSICOSSOCIAL!F54,PEC!F54)</f>
        <v>0</v>
      </c>
      <c r="G54" s="37">
        <f>SUM(EDITAIS!G54,'CASA SONHAR'!G54,'Q. PROF.'!G54,PSICOSSOCIAL!G54,PEC!G54)</f>
        <v>0</v>
      </c>
      <c r="H54" s="37">
        <f>SUM(EDITAIS!H54,'CASA SONHAR'!H54,'Q. PROF.'!H54,PSICOSSOCIAL!H54,PEC!H54)</f>
        <v>0</v>
      </c>
      <c r="I54" s="37">
        <f>SUM(EDITAIS!I54,'CASA SONHAR'!I54,'Q. PROF.'!I54,PSICOSSOCIAL!I54,PEC!I54)</f>
        <v>0</v>
      </c>
      <c r="J54" s="37">
        <f>SUM(EDITAIS!J54,'CASA SONHAR'!J54,'Q. PROF.'!J54,PSICOSSOCIAL!J54,PEC!J54)</f>
        <v>0</v>
      </c>
      <c r="K54" s="37">
        <f>SUM(EDITAIS!K54,'CASA SONHAR'!K54,'Q. PROF.'!K54,PSICOSSOCIAL!K54,PEC!K54)</f>
        <v>0</v>
      </c>
      <c r="L54" s="37">
        <f>SUM(EDITAIS!L54,'CASA SONHAR'!L54,'Q. PROF.'!L54,PSICOSSOCIAL!L54,PEC!L54)</f>
        <v>0</v>
      </c>
      <c r="M54" s="37">
        <f>SUM(EDITAIS!M54,'CASA SONHAR'!M54,'Q. PROF.'!M54,PSICOSSOCIAL!M54,PEC!M54)</f>
        <v>0</v>
      </c>
      <c r="N54" s="37">
        <f>SUM(EDITAIS!N54,'CASA SONHAR'!N54,'Q. PROF.'!N54,PSICOSSOCIAL!N54,PEC!N54)</f>
        <v>0</v>
      </c>
      <c r="O54" s="5">
        <f t="shared" si="5"/>
        <v>0</v>
      </c>
    </row>
    <row r="55" spans="2:15" s="9" customFormat="1" ht="15.75" x14ac:dyDescent="0.25">
      <c r="B55" s="12" t="s">
        <v>77</v>
      </c>
      <c r="C55" s="37">
        <f>SUM(EDITAIS!C55,'CASA SONHAR'!C55,'Q. PROF.'!C55,PSICOSSOCIAL!C55,PEC!C55)</f>
        <v>0</v>
      </c>
      <c r="D55" s="37">
        <f>SUM(EDITAIS!D55,'CASA SONHAR'!D55,'Q. PROF.'!D55,PSICOSSOCIAL!D55,PEC!D55)</f>
        <v>0</v>
      </c>
      <c r="E55" s="37">
        <f>SUM(EDITAIS!E55,'CASA SONHAR'!E55,'Q. PROF.'!E55,PSICOSSOCIAL!E55,PEC!E55)</f>
        <v>0</v>
      </c>
      <c r="F55" s="37">
        <f>SUM(EDITAIS!F55,'CASA SONHAR'!F55,'Q. PROF.'!F55,PSICOSSOCIAL!F55,PEC!F55)</f>
        <v>0</v>
      </c>
      <c r="G55" s="37">
        <f>SUM(EDITAIS!G55,'CASA SONHAR'!G55,'Q. PROF.'!G55,PSICOSSOCIAL!G55,PEC!G55)</f>
        <v>0</v>
      </c>
      <c r="H55" s="37">
        <f>SUM(EDITAIS!H55,'CASA SONHAR'!H55,'Q. PROF.'!H55,PSICOSSOCIAL!H55,PEC!H55)</f>
        <v>0</v>
      </c>
      <c r="I55" s="37">
        <f>SUM(EDITAIS!I55,'CASA SONHAR'!I55,'Q. PROF.'!I55,PSICOSSOCIAL!I55,PEC!I55)</f>
        <v>0</v>
      </c>
      <c r="J55" s="37">
        <f>SUM(EDITAIS!J55,'CASA SONHAR'!J55,'Q. PROF.'!J55,PSICOSSOCIAL!J55,PEC!J55)</f>
        <v>0</v>
      </c>
      <c r="K55" s="37">
        <f>SUM(EDITAIS!K55,'CASA SONHAR'!K55,'Q. PROF.'!K55,PSICOSSOCIAL!K55,PEC!K55)</f>
        <v>0</v>
      </c>
      <c r="L55" s="37">
        <f>SUM(EDITAIS!L55,'CASA SONHAR'!L55,'Q. PROF.'!L55,PSICOSSOCIAL!L55,PEC!L55)</f>
        <v>0</v>
      </c>
      <c r="M55" s="37">
        <f>SUM(EDITAIS!M55,'CASA SONHAR'!M55,'Q. PROF.'!M55,PSICOSSOCIAL!M55,PEC!M55)</f>
        <v>0</v>
      </c>
      <c r="N55" s="37">
        <f>SUM(EDITAIS!N55,'CASA SONHAR'!N55,'Q. PROF.'!N55,PSICOSSOCIAL!N55,PEC!N55)</f>
        <v>0</v>
      </c>
      <c r="O55" s="5">
        <f t="shared" si="5"/>
        <v>0</v>
      </c>
    </row>
    <row r="56" spans="2:15" s="9" customFormat="1" ht="15.75" x14ac:dyDescent="0.25">
      <c r="B56" s="12" t="s">
        <v>78</v>
      </c>
      <c r="C56" s="37">
        <f>SUM(EDITAIS!C56,'CASA SONHAR'!C56,'Q. PROF.'!C56,PSICOSSOCIAL!C56,PEC!C56)</f>
        <v>0</v>
      </c>
      <c r="D56" s="37">
        <f>SUM(EDITAIS!D56,'CASA SONHAR'!D56,'Q. PROF.'!D56,PSICOSSOCIAL!D56,PEC!D56)</f>
        <v>0</v>
      </c>
      <c r="E56" s="37">
        <f>SUM(EDITAIS!E56,'CASA SONHAR'!E56,'Q. PROF.'!E56,PSICOSSOCIAL!E56,PEC!E56)</f>
        <v>0</v>
      </c>
      <c r="F56" s="37">
        <f>SUM(EDITAIS!F56,'CASA SONHAR'!F56,'Q. PROF.'!F56,PSICOSSOCIAL!F56,PEC!F56)</f>
        <v>0</v>
      </c>
      <c r="G56" s="37">
        <f>SUM(EDITAIS!G56,'CASA SONHAR'!G56,'Q. PROF.'!G56,PSICOSSOCIAL!G56,PEC!G56)</f>
        <v>0</v>
      </c>
      <c r="H56" s="37">
        <f>SUM(EDITAIS!H56,'CASA SONHAR'!H56,'Q. PROF.'!H56,PSICOSSOCIAL!H56,PEC!H56)</f>
        <v>0</v>
      </c>
      <c r="I56" s="37">
        <f>SUM(EDITAIS!I56,'CASA SONHAR'!I56,'Q. PROF.'!I56,PSICOSSOCIAL!I56,PEC!I56)</f>
        <v>0</v>
      </c>
      <c r="J56" s="37">
        <f>SUM(EDITAIS!J56,'CASA SONHAR'!J56,'Q. PROF.'!J56,PSICOSSOCIAL!J56,PEC!J56)</f>
        <v>0</v>
      </c>
      <c r="K56" s="37">
        <f>SUM(EDITAIS!K56,'CASA SONHAR'!K56,'Q. PROF.'!K56,PSICOSSOCIAL!K56,PEC!K56)</f>
        <v>0</v>
      </c>
      <c r="L56" s="37">
        <f>SUM(EDITAIS!L56,'CASA SONHAR'!L56,'Q. PROF.'!L56,PSICOSSOCIAL!L56,PEC!L56)</f>
        <v>0</v>
      </c>
      <c r="M56" s="37">
        <f>SUM(EDITAIS!M56,'CASA SONHAR'!M56,'Q. PROF.'!M56,PSICOSSOCIAL!M56,PEC!M56)</f>
        <v>0</v>
      </c>
      <c r="N56" s="37">
        <f>SUM(EDITAIS!N56,'CASA SONHAR'!N56,'Q. PROF.'!N56,PSICOSSOCIAL!N56,PEC!N56)</f>
        <v>0</v>
      </c>
      <c r="O56" s="5">
        <f t="shared" si="5"/>
        <v>0</v>
      </c>
    </row>
    <row r="57" spans="2:15" s="9" customFormat="1" ht="15.75" x14ac:dyDescent="0.25">
      <c r="B57" s="12" t="s">
        <v>79</v>
      </c>
      <c r="C57" s="37">
        <f>SUM(EDITAIS!C57,'CASA SONHAR'!C57,'Q. PROF.'!C57,PSICOSSOCIAL!C57,PEC!C57)</f>
        <v>0</v>
      </c>
      <c r="D57" s="37">
        <f>SUM(EDITAIS!D57,'CASA SONHAR'!D57,'Q. PROF.'!D57,PSICOSSOCIAL!D57,PEC!D57)</f>
        <v>0</v>
      </c>
      <c r="E57" s="37">
        <f>SUM(EDITAIS!E57,'CASA SONHAR'!E57,'Q. PROF.'!E57,PSICOSSOCIAL!E57,PEC!E57)</f>
        <v>0</v>
      </c>
      <c r="F57" s="37">
        <f>SUM(EDITAIS!F57,'CASA SONHAR'!F57,'Q. PROF.'!F57,PSICOSSOCIAL!F57,PEC!F57)</f>
        <v>0</v>
      </c>
      <c r="G57" s="37">
        <f>SUM(EDITAIS!G57,'CASA SONHAR'!G57,'Q. PROF.'!G57,PSICOSSOCIAL!G57,PEC!G57)</f>
        <v>0</v>
      </c>
      <c r="H57" s="37">
        <f>SUM(EDITAIS!H57,'CASA SONHAR'!H57,'Q. PROF.'!H57,PSICOSSOCIAL!H57,PEC!H57)</f>
        <v>0</v>
      </c>
      <c r="I57" s="37">
        <f>SUM(EDITAIS!I57,'CASA SONHAR'!I57,'Q. PROF.'!I57,PSICOSSOCIAL!I57,PEC!I57)</f>
        <v>0</v>
      </c>
      <c r="J57" s="37">
        <f>SUM(EDITAIS!J57,'CASA SONHAR'!J57,'Q. PROF.'!J57,PSICOSSOCIAL!J57,PEC!J57)</f>
        <v>0</v>
      </c>
      <c r="K57" s="37">
        <f>SUM(EDITAIS!K57,'CASA SONHAR'!K57,'Q. PROF.'!K57,PSICOSSOCIAL!K57,PEC!K57)</f>
        <v>0</v>
      </c>
      <c r="L57" s="37">
        <f>SUM(EDITAIS!L57,'CASA SONHAR'!L57,'Q. PROF.'!L57,PSICOSSOCIAL!L57,PEC!L57)</f>
        <v>0</v>
      </c>
      <c r="M57" s="37">
        <f>SUM(EDITAIS!M57,'CASA SONHAR'!M57,'Q. PROF.'!M57,PSICOSSOCIAL!M57,PEC!M57)</f>
        <v>0</v>
      </c>
      <c r="N57" s="37">
        <f>SUM(EDITAIS!N57,'CASA SONHAR'!N57,'Q. PROF.'!N57,PSICOSSOCIAL!N57,PEC!N57)</f>
        <v>0</v>
      </c>
      <c r="O57" s="5">
        <f t="shared" si="5"/>
        <v>0</v>
      </c>
    </row>
    <row r="58" spans="2:15" s="9" customFormat="1" ht="15.75" x14ac:dyDescent="0.25">
      <c r="B58" s="12" t="s">
        <v>80</v>
      </c>
      <c r="C58" s="37">
        <f>SUM(EDITAIS!C58,'CASA SONHAR'!C58,'Q. PROF.'!C58,PSICOSSOCIAL!C58,PEC!C58)</f>
        <v>0</v>
      </c>
      <c r="D58" s="37">
        <f>SUM(EDITAIS!D58,'CASA SONHAR'!D58,'Q. PROF.'!D58,PSICOSSOCIAL!D58,PEC!D58)</f>
        <v>0</v>
      </c>
      <c r="E58" s="37">
        <f>SUM(EDITAIS!E58,'CASA SONHAR'!E58,'Q. PROF.'!E58,PSICOSSOCIAL!E58,PEC!E58)</f>
        <v>0</v>
      </c>
      <c r="F58" s="37">
        <f>SUM(EDITAIS!F58,'CASA SONHAR'!F58,'Q. PROF.'!F58,PSICOSSOCIAL!F58,PEC!F58)</f>
        <v>0</v>
      </c>
      <c r="G58" s="37">
        <f>SUM(EDITAIS!G58,'CASA SONHAR'!G58,'Q. PROF.'!G58,PSICOSSOCIAL!G58,PEC!G58)</f>
        <v>0</v>
      </c>
      <c r="H58" s="37">
        <f>SUM(EDITAIS!H58,'CASA SONHAR'!H58,'Q. PROF.'!H58,PSICOSSOCIAL!H58,PEC!H58)</f>
        <v>0</v>
      </c>
      <c r="I58" s="37">
        <f>SUM(EDITAIS!I58,'CASA SONHAR'!I58,'Q. PROF.'!I58,PSICOSSOCIAL!I58,PEC!I58)</f>
        <v>0</v>
      </c>
      <c r="J58" s="37">
        <f>SUM(EDITAIS!J58,'CASA SONHAR'!J58,'Q. PROF.'!J58,PSICOSSOCIAL!J58,PEC!J58)</f>
        <v>0</v>
      </c>
      <c r="K58" s="37">
        <f>SUM(EDITAIS!K58,'CASA SONHAR'!K58,'Q. PROF.'!K58,PSICOSSOCIAL!K58,PEC!K58)</f>
        <v>0</v>
      </c>
      <c r="L58" s="37">
        <f>SUM(EDITAIS!L58,'CASA SONHAR'!L58,'Q. PROF.'!L58,PSICOSSOCIAL!L58,PEC!L58)</f>
        <v>0</v>
      </c>
      <c r="M58" s="37">
        <f>SUM(EDITAIS!M58,'CASA SONHAR'!M58,'Q. PROF.'!M58,PSICOSSOCIAL!M58,PEC!M58)</f>
        <v>0</v>
      </c>
      <c r="N58" s="37">
        <f>SUM(EDITAIS!N58,'CASA SONHAR'!N58,'Q. PROF.'!N58,PSICOSSOCIAL!N58,PEC!N58)</f>
        <v>0</v>
      </c>
      <c r="O58" s="5">
        <f t="shared" si="5"/>
        <v>0</v>
      </c>
    </row>
    <row r="59" spans="2:15" s="9" customFormat="1" ht="15.75" x14ac:dyDescent="0.25">
      <c r="B59" s="12" t="s">
        <v>81</v>
      </c>
      <c r="C59" s="37">
        <f>SUM(EDITAIS!C59,'CASA SONHAR'!C59,'Q. PROF.'!C59,PSICOSSOCIAL!C59,PEC!C59)</f>
        <v>0</v>
      </c>
      <c r="D59" s="37">
        <f>SUM(EDITAIS!D59,'CASA SONHAR'!D59,'Q. PROF.'!D59,PSICOSSOCIAL!D59,PEC!D59)</f>
        <v>0</v>
      </c>
      <c r="E59" s="37">
        <f>SUM(EDITAIS!E59,'CASA SONHAR'!E59,'Q. PROF.'!E59,PSICOSSOCIAL!E59,PEC!E59)</f>
        <v>0</v>
      </c>
      <c r="F59" s="37">
        <f>SUM(EDITAIS!F59,'CASA SONHAR'!F59,'Q. PROF.'!F59,PSICOSSOCIAL!F59,PEC!F59)</f>
        <v>0</v>
      </c>
      <c r="G59" s="37">
        <f>SUM(EDITAIS!G59,'CASA SONHAR'!G59,'Q. PROF.'!G59,PSICOSSOCIAL!G59,PEC!G59)</f>
        <v>0</v>
      </c>
      <c r="H59" s="37">
        <f>SUM(EDITAIS!H59,'CASA SONHAR'!H59,'Q. PROF.'!H59,PSICOSSOCIAL!H59,PEC!H59)</f>
        <v>0</v>
      </c>
      <c r="I59" s="37">
        <f>SUM(EDITAIS!I59,'CASA SONHAR'!I59,'Q. PROF.'!I59,PSICOSSOCIAL!I59,PEC!I59)</f>
        <v>0</v>
      </c>
      <c r="J59" s="37">
        <f>SUM(EDITAIS!J59,'CASA SONHAR'!J59,'Q. PROF.'!J59,PSICOSSOCIAL!J59,PEC!J59)</f>
        <v>0</v>
      </c>
      <c r="K59" s="37">
        <f>SUM(EDITAIS!K59,'CASA SONHAR'!K59,'Q. PROF.'!K59,PSICOSSOCIAL!K59,PEC!K59)</f>
        <v>0</v>
      </c>
      <c r="L59" s="37">
        <f>SUM(EDITAIS!L59,'CASA SONHAR'!L59,'Q. PROF.'!L59,PSICOSSOCIAL!L59,PEC!L59)</f>
        <v>0</v>
      </c>
      <c r="M59" s="37">
        <f>SUM(EDITAIS!M59,'CASA SONHAR'!M59,'Q. PROF.'!M59,PSICOSSOCIAL!M59,PEC!M59)</f>
        <v>0</v>
      </c>
      <c r="N59" s="37">
        <f>SUM(EDITAIS!N59,'CASA SONHAR'!N59,'Q. PROF.'!N59,PSICOSSOCIAL!N59,PEC!N59)</f>
        <v>0</v>
      </c>
      <c r="O59" s="5">
        <f t="shared" si="5"/>
        <v>0</v>
      </c>
    </row>
    <row r="60" spans="2:15" s="9" customFormat="1" ht="15.75" x14ac:dyDescent="0.25">
      <c r="B60" s="12" t="s">
        <v>82</v>
      </c>
      <c r="C60" s="37">
        <f>SUM(EDITAIS!C60,'CASA SONHAR'!C60,'Q. PROF.'!C60,PSICOSSOCIAL!C60,PEC!C60)</f>
        <v>0</v>
      </c>
      <c r="D60" s="37">
        <f>SUM(EDITAIS!D60,'CASA SONHAR'!D60,'Q. PROF.'!D60,PSICOSSOCIAL!D60,PEC!D60)</f>
        <v>0</v>
      </c>
      <c r="E60" s="37">
        <f>SUM(EDITAIS!E60,'CASA SONHAR'!E60,'Q. PROF.'!E60,PSICOSSOCIAL!E60,PEC!E60)</f>
        <v>0</v>
      </c>
      <c r="F60" s="37">
        <f>SUM(EDITAIS!F60,'CASA SONHAR'!F60,'Q. PROF.'!F60,PSICOSSOCIAL!F60,PEC!F60)</f>
        <v>0</v>
      </c>
      <c r="G60" s="37">
        <f>SUM(EDITAIS!G60,'CASA SONHAR'!G60,'Q. PROF.'!G60,PSICOSSOCIAL!G60,PEC!G60)</f>
        <v>0</v>
      </c>
      <c r="H60" s="37">
        <f>SUM(EDITAIS!H60,'CASA SONHAR'!H60,'Q. PROF.'!H60,PSICOSSOCIAL!H60,PEC!H60)</f>
        <v>0</v>
      </c>
      <c r="I60" s="37">
        <f>SUM(EDITAIS!I60,'CASA SONHAR'!I60,'Q. PROF.'!I60,PSICOSSOCIAL!I60,PEC!I60)</f>
        <v>0</v>
      </c>
      <c r="J60" s="37">
        <f>SUM(EDITAIS!J60,'CASA SONHAR'!J60,'Q. PROF.'!J60,PSICOSSOCIAL!J60,PEC!J60)</f>
        <v>0</v>
      </c>
      <c r="K60" s="37">
        <f>SUM(EDITAIS!K60,'CASA SONHAR'!K60,'Q. PROF.'!K60,PSICOSSOCIAL!K60,PEC!K60)</f>
        <v>0</v>
      </c>
      <c r="L60" s="37">
        <f>SUM(EDITAIS!L60,'CASA SONHAR'!L60,'Q. PROF.'!L60,PSICOSSOCIAL!L60,PEC!L60)</f>
        <v>0</v>
      </c>
      <c r="M60" s="37">
        <f>SUM(EDITAIS!M60,'CASA SONHAR'!M60,'Q. PROF.'!M60,PSICOSSOCIAL!M60,PEC!M60)</f>
        <v>0</v>
      </c>
      <c r="N60" s="37">
        <f>SUM(EDITAIS!N60,'CASA SONHAR'!N60,'Q. PROF.'!N60,PSICOSSOCIAL!N60,PEC!N60)</f>
        <v>0</v>
      </c>
      <c r="O60" s="5">
        <f t="shared" si="5"/>
        <v>0</v>
      </c>
    </row>
    <row r="61" spans="2:15" s="9" customFormat="1" ht="15.75" x14ac:dyDescent="0.25">
      <c r="B61" s="12" t="s">
        <v>83</v>
      </c>
      <c r="C61" s="37">
        <f>SUM(EDITAIS!C61,'CASA SONHAR'!C61,'Q. PROF.'!C61,PSICOSSOCIAL!C61,PEC!C61)</f>
        <v>0</v>
      </c>
      <c r="D61" s="37">
        <f>SUM(EDITAIS!D61,'CASA SONHAR'!D61,'Q. PROF.'!D61,PSICOSSOCIAL!D61,PEC!D61)</f>
        <v>0</v>
      </c>
      <c r="E61" s="37">
        <f>SUM(EDITAIS!E61,'CASA SONHAR'!E61,'Q. PROF.'!E61,PSICOSSOCIAL!E61,PEC!E61)</f>
        <v>0</v>
      </c>
      <c r="F61" s="37">
        <f>SUM(EDITAIS!F61,'CASA SONHAR'!F61,'Q. PROF.'!F61,PSICOSSOCIAL!F61,PEC!F61)</f>
        <v>0</v>
      </c>
      <c r="G61" s="37">
        <f>SUM(EDITAIS!G61,'CASA SONHAR'!G61,'Q. PROF.'!G61,PSICOSSOCIAL!G61,PEC!G61)</f>
        <v>0</v>
      </c>
      <c r="H61" s="37">
        <f>SUM(EDITAIS!H61,'CASA SONHAR'!H61,'Q. PROF.'!H61,PSICOSSOCIAL!H61,PEC!H61)</f>
        <v>0</v>
      </c>
      <c r="I61" s="37">
        <f>SUM(EDITAIS!I61,'CASA SONHAR'!I61,'Q. PROF.'!I61,PSICOSSOCIAL!I61,PEC!I61)</f>
        <v>0</v>
      </c>
      <c r="J61" s="37">
        <f>SUM(EDITAIS!J61,'CASA SONHAR'!J61,'Q. PROF.'!J61,PSICOSSOCIAL!J61,PEC!J61)</f>
        <v>0</v>
      </c>
      <c r="K61" s="37">
        <f>SUM(EDITAIS!K61,'CASA SONHAR'!K61,'Q. PROF.'!K61,PSICOSSOCIAL!K61,PEC!K61)</f>
        <v>0</v>
      </c>
      <c r="L61" s="37">
        <f>SUM(EDITAIS!L61,'CASA SONHAR'!L61,'Q. PROF.'!L61,PSICOSSOCIAL!L61,PEC!L61)</f>
        <v>0</v>
      </c>
      <c r="M61" s="37">
        <f>SUM(EDITAIS!M61,'CASA SONHAR'!M61,'Q. PROF.'!M61,PSICOSSOCIAL!M61,PEC!M61)</f>
        <v>0</v>
      </c>
      <c r="N61" s="37">
        <f>SUM(EDITAIS!N61,'CASA SONHAR'!N61,'Q. PROF.'!N61,PSICOSSOCIAL!N61,PEC!N61)</f>
        <v>0</v>
      </c>
      <c r="O61" s="5">
        <f t="shared" si="5"/>
        <v>0</v>
      </c>
    </row>
    <row r="62" spans="2:15" s="9" customFormat="1" ht="15.75" x14ac:dyDescent="0.25">
      <c r="B62" s="12" t="s">
        <v>84</v>
      </c>
      <c r="C62" s="37">
        <f>SUM(EDITAIS!C62,'CASA SONHAR'!C62,'Q. PROF.'!C62,PSICOSSOCIAL!C62,PEC!C62)</f>
        <v>0</v>
      </c>
      <c r="D62" s="37">
        <f>SUM(EDITAIS!D62,'CASA SONHAR'!D62,'Q. PROF.'!D62,PSICOSSOCIAL!D62,PEC!D62)</f>
        <v>0</v>
      </c>
      <c r="E62" s="37">
        <f>SUM(EDITAIS!E62,'CASA SONHAR'!E62,'Q. PROF.'!E62,PSICOSSOCIAL!E62,PEC!E62)</f>
        <v>0</v>
      </c>
      <c r="F62" s="37">
        <f>SUM(EDITAIS!F62,'CASA SONHAR'!F62,'Q. PROF.'!F62,PSICOSSOCIAL!F62,PEC!F62)</f>
        <v>0</v>
      </c>
      <c r="G62" s="37">
        <f>SUM(EDITAIS!G62,'CASA SONHAR'!G62,'Q. PROF.'!G62,PSICOSSOCIAL!G62,PEC!G62)</f>
        <v>0</v>
      </c>
      <c r="H62" s="37">
        <f>SUM(EDITAIS!H62,'CASA SONHAR'!H62,'Q. PROF.'!H62,PSICOSSOCIAL!H62,PEC!H62)</f>
        <v>0</v>
      </c>
      <c r="I62" s="37">
        <f>SUM(EDITAIS!I62,'CASA SONHAR'!I62,'Q. PROF.'!I62,PSICOSSOCIAL!I62,PEC!I62)</f>
        <v>0</v>
      </c>
      <c r="J62" s="37">
        <f>SUM(EDITAIS!J62,'CASA SONHAR'!J62,'Q. PROF.'!J62,PSICOSSOCIAL!J62,PEC!J62)</f>
        <v>0</v>
      </c>
      <c r="K62" s="37">
        <f>SUM(EDITAIS!K62,'CASA SONHAR'!K62,'Q. PROF.'!K62,PSICOSSOCIAL!K62,PEC!K62)</f>
        <v>0</v>
      </c>
      <c r="L62" s="37">
        <f>SUM(EDITAIS!L62,'CASA SONHAR'!L62,'Q. PROF.'!L62,PSICOSSOCIAL!L62,PEC!L62)</f>
        <v>0</v>
      </c>
      <c r="M62" s="37">
        <f>SUM(EDITAIS!M62,'CASA SONHAR'!M62,'Q. PROF.'!M62,PSICOSSOCIAL!M62,PEC!M62)</f>
        <v>0</v>
      </c>
      <c r="N62" s="37">
        <f>SUM(EDITAIS!N62,'CASA SONHAR'!N62,'Q. PROF.'!N62,PSICOSSOCIAL!N62,PEC!N62)</f>
        <v>0</v>
      </c>
      <c r="O62" s="5">
        <f t="shared" si="5"/>
        <v>0</v>
      </c>
    </row>
    <row r="63" spans="2:15" s="9" customFormat="1" ht="15.75" x14ac:dyDescent="0.25">
      <c r="B63" s="12" t="s">
        <v>85</v>
      </c>
      <c r="C63" s="37">
        <f>SUM(EDITAIS!C63,'CASA SONHAR'!C63,'Q. PROF.'!C63,PSICOSSOCIAL!C63,PEC!C63)</f>
        <v>0</v>
      </c>
      <c r="D63" s="37">
        <f>SUM(EDITAIS!D63,'CASA SONHAR'!D63,'Q. PROF.'!D63,PSICOSSOCIAL!D63,PEC!D63)</f>
        <v>0</v>
      </c>
      <c r="E63" s="37">
        <f>SUM(EDITAIS!E63,'CASA SONHAR'!E63,'Q. PROF.'!E63,PSICOSSOCIAL!E63,PEC!E63)</f>
        <v>0</v>
      </c>
      <c r="F63" s="37">
        <f>SUM(EDITAIS!F63,'CASA SONHAR'!F63,'Q. PROF.'!F63,PSICOSSOCIAL!F63,PEC!F63)</f>
        <v>0</v>
      </c>
      <c r="G63" s="37">
        <f>SUM(EDITAIS!G63,'CASA SONHAR'!G63,'Q. PROF.'!G63,PSICOSSOCIAL!G63,PEC!G63)</f>
        <v>0</v>
      </c>
      <c r="H63" s="37">
        <f>SUM(EDITAIS!H63,'CASA SONHAR'!H63,'Q. PROF.'!H63,PSICOSSOCIAL!H63,PEC!H63)</f>
        <v>0</v>
      </c>
      <c r="I63" s="37">
        <f>SUM(EDITAIS!I63,'CASA SONHAR'!I63,'Q. PROF.'!I63,PSICOSSOCIAL!I63,PEC!I63)</f>
        <v>0</v>
      </c>
      <c r="J63" s="37">
        <f>SUM(EDITAIS!J63,'CASA SONHAR'!J63,'Q. PROF.'!J63,PSICOSSOCIAL!J63,PEC!J63)</f>
        <v>0</v>
      </c>
      <c r="K63" s="37">
        <f>SUM(EDITAIS!K63,'CASA SONHAR'!K63,'Q. PROF.'!K63,PSICOSSOCIAL!K63,PEC!K63)</f>
        <v>0</v>
      </c>
      <c r="L63" s="37">
        <f>SUM(EDITAIS!L63,'CASA SONHAR'!L63,'Q. PROF.'!L63,PSICOSSOCIAL!L63,PEC!L63)</f>
        <v>0</v>
      </c>
      <c r="M63" s="37">
        <f>SUM(EDITAIS!M63,'CASA SONHAR'!M63,'Q. PROF.'!M63,PSICOSSOCIAL!M63,PEC!M63)</f>
        <v>0</v>
      </c>
      <c r="N63" s="37">
        <f>SUM(EDITAIS!N63,'CASA SONHAR'!N63,'Q. PROF.'!N63,PSICOSSOCIAL!N63,PEC!N63)</f>
        <v>0</v>
      </c>
      <c r="O63" s="5">
        <f t="shared" si="5"/>
        <v>0</v>
      </c>
    </row>
    <row r="64" spans="2:15" s="9" customFormat="1" ht="15.75" x14ac:dyDescent="0.25">
      <c r="B64" s="12" t="s">
        <v>86</v>
      </c>
      <c r="C64" s="37">
        <f>SUM(EDITAIS!C64,'CASA SONHAR'!C64,'Q. PROF.'!C64,PSICOSSOCIAL!C64,PEC!C64)</f>
        <v>1600</v>
      </c>
      <c r="D64" s="37">
        <f>SUM(EDITAIS!D64,'CASA SONHAR'!D64,'Q. PROF.'!D64,PSICOSSOCIAL!D64,PEC!D64)</f>
        <v>1600</v>
      </c>
      <c r="E64" s="37">
        <f>SUM(EDITAIS!E64,'CASA SONHAR'!E64,'Q. PROF.'!E64,PSICOSSOCIAL!E64,PEC!E64)</f>
        <v>1600</v>
      </c>
      <c r="F64" s="37">
        <f>SUM(EDITAIS!F64,'CASA SONHAR'!F64,'Q. PROF.'!F64,PSICOSSOCIAL!F64,PEC!F64)</f>
        <v>1600</v>
      </c>
      <c r="G64" s="37">
        <f>SUM(EDITAIS!G64,'CASA SONHAR'!G64,'Q. PROF.'!G64,PSICOSSOCIAL!G64,PEC!G64)</f>
        <v>1600</v>
      </c>
      <c r="H64" s="37">
        <f>SUM(EDITAIS!H64,'CASA SONHAR'!H64,'Q. PROF.'!H64,PSICOSSOCIAL!H64,PEC!H64)</f>
        <v>1600</v>
      </c>
      <c r="I64" s="37">
        <f>SUM(EDITAIS!I64,'CASA SONHAR'!I64,'Q. PROF.'!I64,PSICOSSOCIAL!I64,PEC!I64)</f>
        <v>1600</v>
      </c>
      <c r="J64" s="37">
        <f>SUM(EDITAIS!J64,'CASA SONHAR'!J64,'Q. PROF.'!J64,PSICOSSOCIAL!J64,PEC!J64)</f>
        <v>1600</v>
      </c>
      <c r="K64" s="37">
        <f>SUM(EDITAIS!K64,'CASA SONHAR'!K64,'Q. PROF.'!K64,PSICOSSOCIAL!K64,PEC!K64)</f>
        <v>1600</v>
      </c>
      <c r="L64" s="37">
        <f>SUM(EDITAIS!L64,'CASA SONHAR'!L64,'Q. PROF.'!L64,PSICOSSOCIAL!L64,PEC!L64)</f>
        <v>1600</v>
      </c>
      <c r="M64" s="37">
        <f>SUM(EDITAIS!M64,'CASA SONHAR'!M64,'Q. PROF.'!M64,PSICOSSOCIAL!M64,PEC!M64)</f>
        <v>1600</v>
      </c>
      <c r="N64" s="37">
        <f>SUM(EDITAIS!N64,'CASA SONHAR'!N64,'Q. PROF.'!N64,PSICOSSOCIAL!N64,PEC!N64)</f>
        <v>1600</v>
      </c>
      <c r="O64" s="5">
        <f t="shared" si="5"/>
        <v>19200</v>
      </c>
    </row>
    <row r="65" spans="2:15" s="9" customFormat="1" ht="15.75" x14ac:dyDescent="0.25">
      <c r="B65" s="12" t="s">
        <v>87</v>
      </c>
      <c r="C65" s="37">
        <f>SUM(EDITAIS!C65,'CASA SONHAR'!C65,'Q. PROF.'!C65,PSICOSSOCIAL!C65,PEC!C65)</f>
        <v>0</v>
      </c>
      <c r="D65" s="37">
        <f>SUM(EDITAIS!D65,'CASA SONHAR'!D65,'Q. PROF.'!D65,PSICOSSOCIAL!D65,PEC!D65)</f>
        <v>0</v>
      </c>
      <c r="E65" s="37">
        <f>SUM(EDITAIS!E65,'CASA SONHAR'!E65,'Q. PROF.'!E65,PSICOSSOCIAL!E65,PEC!E65)</f>
        <v>0</v>
      </c>
      <c r="F65" s="37">
        <f>SUM(EDITAIS!F65,'CASA SONHAR'!F65,'Q. PROF.'!F65,PSICOSSOCIAL!F65,PEC!F65)</f>
        <v>0</v>
      </c>
      <c r="G65" s="37">
        <f>SUM(EDITAIS!G65,'CASA SONHAR'!G65,'Q. PROF.'!G65,PSICOSSOCIAL!G65,PEC!G65)</f>
        <v>0</v>
      </c>
      <c r="H65" s="37">
        <f>SUM(EDITAIS!H65,'CASA SONHAR'!H65,'Q. PROF.'!H65,PSICOSSOCIAL!H65,PEC!H65)</f>
        <v>0</v>
      </c>
      <c r="I65" s="37">
        <f>SUM(EDITAIS!I65,'CASA SONHAR'!I65,'Q. PROF.'!I65,PSICOSSOCIAL!I65,PEC!I65)</f>
        <v>0</v>
      </c>
      <c r="J65" s="37">
        <f>SUM(EDITAIS!J65,'CASA SONHAR'!J65,'Q. PROF.'!J65,PSICOSSOCIAL!J65,PEC!J65)</f>
        <v>0</v>
      </c>
      <c r="K65" s="37">
        <f>SUM(EDITAIS!K65,'CASA SONHAR'!K65,'Q. PROF.'!K65,PSICOSSOCIAL!K65,PEC!K65)</f>
        <v>0</v>
      </c>
      <c r="L65" s="37">
        <f>SUM(EDITAIS!L65,'CASA SONHAR'!L65,'Q. PROF.'!L65,PSICOSSOCIAL!L65,PEC!L65)</f>
        <v>0</v>
      </c>
      <c r="M65" s="37">
        <f>SUM(EDITAIS!M65,'CASA SONHAR'!M65,'Q. PROF.'!M65,PSICOSSOCIAL!M65,PEC!M65)</f>
        <v>0</v>
      </c>
      <c r="N65" s="37">
        <f>SUM(EDITAIS!N65,'CASA SONHAR'!N65,'Q. PROF.'!N65,PSICOSSOCIAL!N65,PEC!N65)</f>
        <v>0</v>
      </c>
      <c r="O65" s="5">
        <f t="shared" si="5"/>
        <v>0</v>
      </c>
    </row>
    <row r="66" spans="2:15" s="9" customFormat="1" ht="15.75" x14ac:dyDescent="0.25">
      <c r="B66" s="12" t="s">
        <v>88</v>
      </c>
      <c r="C66" s="37">
        <f>SUM(EDITAIS!C66,'CASA SONHAR'!C66,'Q. PROF.'!C66,PSICOSSOCIAL!C66,PEC!C66)</f>
        <v>0</v>
      </c>
      <c r="D66" s="37">
        <f>SUM(EDITAIS!D66,'CASA SONHAR'!D66,'Q. PROF.'!D66,PSICOSSOCIAL!D66,PEC!D66)</f>
        <v>0</v>
      </c>
      <c r="E66" s="37">
        <f>SUM(EDITAIS!E66,'CASA SONHAR'!E66,'Q. PROF.'!E66,PSICOSSOCIAL!E66,PEC!E66)</f>
        <v>0</v>
      </c>
      <c r="F66" s="37">
        <f>SUM(EDITAIS!F66,'CASA SONHAR'!F66,'Q. PROF.'!F66,PSICOSSOCIAL!F66,PEC!F66)</f>
        <v>0</v>
      </c>
      <c r="G66" s="37">
        <f>SUM(EDITAIS!G66,'CASA SONHAR'!G66,'Q. PROF.'!G66,PSICOSSOCIAL!G66,PEC!G66)</f>
        <v>0</v>
      </c>
      <c r="H66" s="37">
        <f>SUM(EDITAIS!H66,'CASA SONHAR'!H66,'Q. PROF.'!H66,PSICOSSOCIAL!H66,PEC!H66)</f>
        <v>0</v>
      </c>
      <c r="I66" s="37">
        <f>SUM(EDITAIS!I66,'CASA SONHAR'!I66,'Q. PROF.'!I66,PSICOSSOCIAL!I66,PEC!I66)</f>
        <v>0</v>
      </c>
      <c r="J66" s="37">
        <f>SUM(EDITAIS!J66,'CASA SONHAR'!J66,'Q. PROF.'!J66,PSICOSSOCIAL!J66,PEC!J66)</f>
        <v>0</v>
      </c>
      <c r="K66" s="37">
        <f>SUM(EDITAIS!K66,'CASA SONHAR'!K66,'Q. PROF.'!K66,PSICOSSOCIAL!K66,PEC!K66)</f>
        <v>0</v>
      </c>
      <c r="L66" s="37">
        <f>SUM(EDITAIS!L66,'CASA SONHAR'!L66,'Q. PROF.'!L66,PSICOSSOCIAL!L66,PEC!L66)</f>
        <v>0</v>
      </c>
      <c r="M66" s="37">
        <f>SUM(EDITAIS!M66,'CASA SONHAR'!M66,'Q. PROF.'!M66,PSICOSSOCIAL!M66,PEC!M66)</f>
        <v>0</v>
      </c>
      <c r="N66" s="37">
        <f>SUM(EDITAIS!N66,'CASA SONHAR'!N66,'Q. PROF.'!N66,PSICOSSOCIAL!N66,PEC!N66)</f>
        <v>0</v>
      </c>
      <c r="O66" s="5">
        <f t="shared" si="5"/>
        <v>0</v>
      </c>
    </row>
    <row r="67" spans="2:15" s="9" customFormat="1" ht="15.75" x14ac:dyDescent="0.25">
      <c r="B67" s="12" t="s">
        <v>89</v>
      </c>
      <c r="C67" s="37">
        <f>SUM(EDITAIS!C67,'CASA SONHAR'!C67,'Q. PROF.'!C67,PSICOSSOCIAL!C67,PEC!C67)</f>
        <v>35800</v>
      </c>
      <c r="D67" s="37">
        <f>SUM(EDITAIS!D67,'CASA SONHAR'!D67,'Q. PROF.'!D67,PSICOSSOCIAL!D67,PEC!D67)</f>
        <v>38100</v>
      </c>
      <c r="E67" s="37">
        <f>SUM(EDITAIS!E67,'CASA SONHAR'!E67,'Q. PROF.'!E67,PSICOSSOCIAL!E67,PEC!E67)</f>
        <v>38100</v>
      </c>
      <c r="F67" s="37">
        <f>SUM(EDITAIS!F67,'CASA SONHAR'!F67,'Q. PROF.'!F67,PSICOSSOCIAL!F67,PEC!F67)</f>
        <v>38100</v>
      </c>
      <c r="G67" s="37">
        <f>SUM(EDITAIS!G67,'CASA SONHAR'!G67,'Q. PROF.'!G67,PSICOSSOCIAL!G67,PEC!G67)</f>
        <v>38100</v>
      </c>
      <c r="H67" s="37">
        <f>SUM(EDITAIS!H67,'CASA SONHAR'!H67,'Q. PROF.'!H67,PSICOSSOCIAL!H67,PEC!H67)</f>
        <v>38100</v>
      </c>
      <c r="I67" s="37">
        <f>SUM(EDITAIS!I67,'CASA SONHAR'!I67,'Q. PROF.'!I67,PSICOSSOCIAL!I67,PEC!I67)</f>
        <v>38100</v>
      </c>
      <c r="J67" s="37">
        <f>SUM(EDITAIS!J67,'CASA SONHAR'!J67,'Q. PROF.'!J67,PSICOSSOCIAL!J67,PEC!J67)</f>
        <v>38100</v>
      </c>
      <c r="K67" s="37">
        <f>SUM(EDITAIS!K67,'CASA SONHAR'!K67,'Q. PROF.'!K67,PSICOSSOCIAL!K67,PEC!K67)</f>
        <v>38100</v>
      </c>
      <c r="L67" s="37">
        <f>SUM(EDITAIS!L67,'CASA SONHAR'!L67,'Q. PROF.'!L67,PSICOSSOCIAL!L67,PEC!L67)</f>
        <v>38100</v>
      </c>
      <c r="M67" s="37">
        <f>SUM(EDITAIS!M67,'CASA SONHAR'!M67,'Q. PROF.'!M67,PSICOSSOCIAL!M67,PEC!M67)</f>
        <v>38100</v>
      </c>
      <c r="N67" s="37">
        <f>SUM(EDITAIS!N67,'CASA SONHAR'!N67,'Q. PROF.'!N67,PSICOSSOCIAL!N67,PEC!N67)</f>
        <v>52400</v>
      </c>
      <c r="O67" s="5">
        <f t="shared" si="5"/>
        <v>469200</v>
      </c>
    </row>
    <row r="68" spans="2:15" s="9" customFormat="1" ht="15.75" x14ac:dyDescent="0.25">
      <c r="B68" s="12" t="s">
        <v>90</v>
      </c>
      <c r="C68" s="37">
        <f>SUM(EDITAIS!C68,'CASA SONHAR'!C68,'Q. PROF.'!C68,PSICOSSOCIAL!C68,PEC!C68)</f>
        <v>0</v>
      </c>
      <c r="D68" s="37">
        <f>SUM(EDITAIS!D68,'CASA SONHAR'!D68,'Q. PROF.'!D68,PSICOSSOCIAL!D68,PEC!D68)</f>
        <v>0</v>
      </c>
      <c r="E68" s="37">
        <f>SUM(EDITAIS!E68,'CASA SONHAR'!E68,'Q. PROF.'!E68,PSICOSSOCIAL!E68,PEC!E68)</f>
        <v>0</v>
      </c>
      <c r="F68" s="37">
        <f>SUM(EDITAIS!F68,'CASA SONHAR'!F68,'Q. PROF.'!F68,PSICOSSOCIAL!F68,PEC!F68)</f>
        <v>0</v>
      </c>
      <c r="G68" s="37">
        <f>SUM(EDITAIS!G68,'CASA SONHAR'!G68,'Q. PROF.'!G68,PSICOSSOCIAL!G68,PEC!G68)</f>
        <v>0</v>
      </c>
      <c r="H68" s="37">
        <f>SUM(EDITAIS!H68,'CASA SONHAR'!H68,'Q. PROF.'!H68,PSICOSSOCIAL!H68,PEC!H68)</f>
        <v>0</v>
      </c>
      <c r="I68" s="37">
        <f>SUM(EDITAIS!I68,'CASA SONHAR'!I68,'Q. PROF.'!I68,PSICOSSOCIAL!I68,PEC!I68)</f>
        <v>0</v>
      </c>
      <c r="J68" s="37">
        <f>SUM(EDITAIS!J68,'CASA SONHAR'!J68,'Q. PROF.'!J68,PSICOSSOCIAL!J68,PEC!J68)</f>
        <v>0</v>
      </c>
      <c r="K68" s="37">
        <f>SUM(EDITAIS!K68,'CASA SONHAR'!K68,'Q. PROF.'!K68,PSICOSSOCIAL!K68,PEC!K68)</f>
        <v>0</v>
      </c>
      <c r="L68" s="37">
        <f>SUM(EDITAIS!L68,'CASA SONHAR'!L68,'Q. PROF.'!L68,PSICOSSOCIAL!L68,PEC!L68)</f>
        <v>0</v>
      </c>
      <c r="M68" s="37">
        <f>SUM(EDITAIS!M68,'CASA SONHAR'!M68,'Q. PROF.'!M68,PSICOSSOCIAL!M68,PEC!M68)</f>
        <v>0</v>
      </c>
      <c r="N68" s="37">
        <f>SUM(EDITAIS!N68,'CASA SONHAR'!N68,'Q. PROF.'!N68,PSICOSSOCIAL!N68,PEC!N68)</f>
        <v>0</v>
      </c>
      <c r="O68" s="5">
        <f>SUM(C68:N68)</f>
        <v>0</v>
      </c>
    </row>
    <row r="69" spans="2:15" s="9" customFormat="1" ht="15.75" x14ac:dyDescent="0.25">
      <c r="B69" s="12" t="s">
        <v>91</v>
      </c>
      <c r="C69" s="37">
        <f>SUM(EDITAIS!C69,'CASA SONHAR'!C69,'Q. PROF.'!C69,PSICOSSOCIAL!C69,PEC!C69)</f>
        <v>0</v>
      </c>
      <c r="D69" s="37">
        <f>SUM(EDITAIS!D69,'CASA SONHAR'!D69,'Q. PROF.'!D69,PSICOSSOCIAL!D69,PEC!D69)</f>
        <v>0</v>
      </c>
      <c r="E69" s="37">
        <f>SUM(EDITAIS!E69,'CASA SONHAR'!E69,'Q. PROF.'!E69,PSICOSSOCIAL!E69,PEC!E69)</f>
        <v>0</v>
      </c>
      <c r="F69" s="37">
        <f>SUM(EDITAIS!F69,'CASA SONHAR'!F69,'Q. PROF.'!F69,PSICOSSOCIAL!F69,PEC!F69)</f>
        <v>0</v>
      </c>
      <c r="G69" s="37">
        <f>SUM(EDITAIS!G69,'CASA SONHAR'!G69,'Q. PROF.'!G69,PSICOSSOCIAL!G69,PEC!G69)</f>
        <v>0</v>
      </c>
      <c r="H69" s="37">
        <f>SUM(EDITAIS!H69,'CASA SONHAR'!H69,'Q. PROF.'!H69,PSICOSSOCIAL!H69,PEC!H69)</f>
        <v>0</v>
      </c>
      <c r="I69" s="37">
        <f>SUM(EDITAIS!I69,'CASA SONHAR'!I69,'Q. PROF.'!I69,PSICOSSOCIAL!I69,PEC!I69)</f>
        <v>0</v>
      </c>
      <c r="J69" s="37">
        <f>SUM(EDITAIS!J69,'CASA SONHAR'!J69,'Q. PROF.'!J69,PSICOSSOCIAL!J69,PEC!J69)</f>
        <v>0</v>
      </c>
      <c r="K69" s="37">
        <f>SUM(EDITAIS!K69,'CASA SONHAR'!K69,'Q. PROF.'!K69,PSICOSSOCIAL!K69,PEC!K69)</f>
        <v>0</v>
      </c>
      <c r="L69" s="37">
        <f>SUM(EDITAIS!L69,'CASA SONHAR'!L69,'Q. PROF.'!L69,PSICOSSOCIAL!L69,PEC!L69)</f>
        <v>0</v>
      </c>
      <c r="M69" s="37">
        <f>SUM(EDITAIS!M69,'CASA SONHAR'!M69,'Q. PROF.'!M69,PSICOSSOCIAL!M69,PEC!M69)</f>
        <v>0</v>
      </c>
      <c r="N69" s="37">
        <f>SUM(EDITAIS!N69,'CASA SONHAR'!N69,'Q. PROF.'!N69,PSICOSSOCIAL!N69,PEC!N69)</f>
        <v>0</v>
      </c>
      <c r="O69" s="5">
        <f t="shared" si="5"/>
        <v>0</v>
      </c>
    </row>
    <row r="70" spans="2:15" s="9" customFormat="1" ht="15.75" x14ac:dyDescent="0.25">
      <c r="B70" s="12" t="s">
        <v>92</v>
      </c>
      <c r="C70" s="37">
        <f>SUM(EDITAIS!C70,'CASA SONHAR'!C70,'Q. PROF.'!C70,PSICOSSOCIAL!C70,PEC!C70)</f>
        <v>0</v>
      </c>
      <c r="D70" s="37">
        <f>SUM(EDITAIS!D70,'CASA SONHAR'!D70,'Q. PROF.'!D70,PSICOSSOCIAL!D70,PEC!D70)</f>
        <v>0</v>
      </c>
      <c r="E70" s="37">
        <f>SUM(EDITAIS!E70,'CASA SONHAR'!E70,'Q. PROF.'!E70,PSICOSSOCIAL!E70,PEC!E70)</f>
        <v>0</v>
      </c>
      <c r="F70" s="37">
        <f>SUM(EDITAIS!F70,'CASA SONHAR'!F70,'Q. PROF.'!F70,PSICOSSOCIAL!F70,PEC!F70)</f>
        <v>0</v>
      </c>
      <c r="G70" s="37">
        <f>SUM(EDITAIS!G70,'CASA SONHAR'!G70,'Q. PROF.'!G70,PSICOSSOCIAL!G70,PEC!G70)</f>
        <v>0</v>
      </c>
      <c r="H70" s="37">
        <f>SUM(EDITAIS!H70,'CASA SONHAR'!H70,'Q. PROF.'!H70,PSICOSSOCIAL!H70,PEC!H70)</f>
        <v>0</v>
      </c>
      <c r="I70" s="37">
        <f>SUM(EDITAIS!I70,'CASA SONHAR'!I70,'Q. PROF.'!I70,PSICOSSOCIAL!I70,PEC!I70)</f>
        <v>0</v>
      </c>
      <c r="J70" s="37">
        <f>SUM(EDITAIS!J70,'CASA SONHAR'!J70,'Q. PROF.'!J70,PSICOSSOCIAL!J70,PEC!J70)</f>
        <v>0</v>
      </c>
      <c r="K70" s="37">
        <f>SUM(EDITAIS!K70,'CASA SONHAR'!K70,'Q. PROF.'!K70,PSICOSSOCIAL!K70,PEC!K70)</f>
        <v>0</v>
      </c>
      <c r="L70" s="37">
        <f>SUM(EDITAIS!L70,'CASA SONHAR'!L70,'Q. PROF.'!L70,PSICOSSOCIAL!L70,PEC!L70)</f>
        <v>0</v>
      </c>
      <c r="M70" s="37">
        <f>SUM(EDITAIS!M70,'CASA SONHAR'!M70,'Q. PROF.'!M70,PSICOSSOCIAL!M70,PEC!M70)</f>
        <v>0</v>
      </c>
      <c r="N70" s="37">
        <f>SUM(EDITAIS!N70,'CASA SONHAR'!N70,'Q. PROF.'!N70,PSICOSSOCIAL!N70,PEC!N70)</f>
        <v>0</v>
      </c>
      <c r="O70" s="5">
        <f t="shared" si="5"/>
        <v>0</v>
      </c>
    </row>
    <row r="71" spans="2:15" s="9" customFormat="1" ht="15.75" x14ac:dyDescent="0.25">
      <c r="B71" s="12" t="s">
        <v>93</v>
      </c>
      <c r="C71" s="37">
        <f>SUM(EDITAIS!C71,'CASA SONHAR'!C71,'Q. PROF.'!C71,PSICOSSOCIAL!C71,PEC!C71)</f>
        <v>0</v>
      </c>
      <c r="D71" s="37">
        <f>SUM(EDITAIS!D71,'CASA SONHAR'!D71,'Q. PROF.'!D71,PSICOSSOCIAL!D71,PEC!D71)</f>
        <v>5896</v>
      </c>
      <c r="E71" s="37">
        <f>SUM(EDITAIS!E71,'CASA SONHAR'!E71,'Q. PROF.'!E71,PSICOSSOCIAL!E71,PEC!E71)</f>
        <v>5896</v>
      </c>
      <c r="F71" s="37">
        <f>SUM(EDITAIS!F71,'CASA SONHAR'!F71,'Q. PROF.'!F71,PSICOSSOCIAL!F71,PEC!F71)</f>
        <v>5896</v>
      </c>
      <c r="G71" s="37">
        <f>SUM(EDITAIS!G71,'CASA SONHAR'!G71,'Q. PROF.'!G71,PSICOSSOCIAL!G71,PEC!G71)</f>
        <v>5896</v>
      </c>
      <c r="H71" s="37">
        <f>SUM(EDITAIS!H71,'CASA SONHAR'!H71,'Q. PROF.'!H71,PSICOSSOCIAL!H71,PEC!H71)</f>
        <v>5896</v>
      </c>
      <c r="I71" s="37">
        <f>SUM(EDITAIS!I71,'CASA SONHAR'!I71,'Q. PROF.'!I71,PSICOSSOCIAL!I71,PEC!I71)</f>
        <v>5896</v>
      </c>
      <c r="J71" s="37">
        <f>SUM(EDITAIS!J71,'CASA SONHAR'!J71,'Q. PROF.'!J71,PSICOSSOCIAL!J71,PEC!J71)</f>
        <v>5896</v>
      </c>
      <c r="K71" s="37">
        <f>SUM(EDITAIS!K71,'CASA SONHAR'!K71,'Q. PROF.'!K71,PSICOSSOCIAL!K71,PEC!K71)</f>
        <v>5896</v>
      </c>
      <c r="L71" s="37">
        <f>SUM(EDITAIS!L71,'CASA SONHAR'!L71,'Q. PROF.'!L71,PSICOSSOCIAL!L71,PEC!L71)</f>
        <v>5896</v>
      </c>
      <c r="M71" s="37">
        <f>SUM(EDITAIS!M71,'CASA SONHAR'!M71,'Q. PROF.'!M71,PSICOSSOCIAL!M71,PEC!M71)</f>
        <v>5896</v>
      </c>
      <c r="N71" s="37">
        <f>SUM(EDITAIS!N71,'CASA SONHAR'!N71,'Q. PROF.'!N71,PSICOSSOCIAL!N71,PEC!N71)</f>
        <v>3616</v>
      </c>
      <c r="O71" s="5">
        <f t="shared" si="5"/>
        <v>62576</v>
      </c>
    </row>
    <row r="72" spans="2:15" s="9" customFormat="1" ht="15.75" x14ac:dyDescent="0.25">
      <c r="B72" s="12" t="s">
        <v>94</v>
      </c>
      <c r="C72" s="37">
        <f>SUM(EDITAIS!C72,'CASA SONHAR'!C72,'Q. PROF.'!C72,PSICOSSOCIAL!C72,PEC!C72)</f>
        <v>0</v>
      </c>
      <c r="D72" s="37">
        <f>SUM(EDITAIS!D72,'CASA SONHAR'!D72,'Q. PROF.'!D72,PSICOSSOCIAL!D72,PEC!D72)</f>
        <v>0</v>
      </c>
      <c r="E72" s="37">
        <f>SUM(EDITAIS!E72,'CASA SONHAR'!E72,'Q. PROF.'!E72,PSICOSSOCIAL!E72,PEC!E72)</f>
        <v>0</v>
      </c>
      <c r="F72" s="37">
        <f>SUM(EDITAIS!F72,'CASA SONHAR'!F72,'Q. PROF.'!F72,PSICOSSOCIAL!F72,PEC!F72)</f>
        <v>0</v>
      </c>
      <c r="G72" s="37">
        <f>SUM(EDITAIS!G72,'CASA SONHAR'!G72,'Q. PROF.'!G72,PSICOSSOCIAL!G72,PEC!G72)</f>
        <v>0</v>
      </c>
      <c r="H72" s="37">
        <f>SUM(EDITAIS!H72,'CASA SONHAR'!H72,'Q. PROF.'!H72,PSICOSSOCIAL!H72,PEC!H72)</f>
        <v>0</v>
      </c>
      <c r="I72" s="37">
        <f>SUM(EDITAIS!I72,'CASA SONHAR'!I72,'Q. PROF.'!I72,PSICOSSOCIAL!I72,PEC!I72)</f>
        <v>0</v>
      </c>
      <c r="J72" s="37">
        <f>SUM(EDITAIS!J72,'CASA SONHAR'!J72,'Q. PROF.'!J72,PSICOSSOCIAL!J72,PEC!J72)</f>
        <v>0</v>
      </c>
      <c r="K72" s="37">
        <f>SUM(EDITAIS!K72,'CASA SONHAR'!K72,'Q. PROF.'!K72,PSICOSSOCIAL!K72,PEC!K72)</f>
        <v>0</v>
      </c>
      <c r="L72" s="37">
        <f>SUM(EDITAIS!L72,'CASA SONHAR'!L72,'Q. PROF.'!L72,PSICOSSOCIAL!L72,PEC!L72)</f>
        <v>0</v>
      </c>
      <c r="M72" s="37">
        <f>SUM(EDITAIS!M72,'CASA SONHAR'!M72,'Q. PROF.'!M72,PSICOSSOCIAL!M72,PEC!M72)</f>
        <v>0</v>
      </c>
      <c r="N72" s="37">
        <f>SUM(EDITAIS!N72,'CASA SONHAR'!N72,'Q. PROF.'!N72,PSICOSSOCIAL!N72,PEC!N72)</f>
        <v>0</v>
      </c>
      <c r="O72" s="5">
        <f t="shared" si="5"/>
        <v>0</v>
      </c>
    </row>
    <row r="73" spans="2:15" s="9" customFormat="1" ht="15.75" x14ac:dyDescent="0.25">
      <c r="B73" s="12" t="s">
        <v>95</v>
      </c>
      <c r="C73" s="37">
        <f>SUM(EDITAIS!C73,'CASA SONHAR'!C73,'Q. PROF.'!C73,PSICOSSOCIAL!C73,PEC!C73)</f>
        <v>0</v>
      </c>
      <c r="D73" s="37">
        <f>SUM(EDITAIS!D73,'CASA SONHAR'!D73,'Q. PROF.'!D73,PSICOSSOCIAL!D73,PEC!D73)</f>
        <v>0</v>
      </c>
      <c r="E73" s="37">
        <f>SUM(EDITAIS!E73,'CASA SONHAR'!E73,'Q. PROF.'!E73,PSICOSSOCIAL!E73,PEC!E73)</f>
        <v>0</v>
      </c>
      <c r="F73" s="37">
        <f>SUM(EDITAIS!F73,'CASA SONHAR'!F73,'Q. PROF.'!F73,PSICOSSOCIAL!F73,PEC!F73)</f>
        <v>0</v>
      </c>
      <c r="G73" s="37">
        <f>SUM(EDITAIS!G73,'CASA SONHAR'!G73,'Q. PROF.'!G73,PSICOSSOCIAL!G73,PEC!G73)</f>
        <v>0</v>
      </c>
      <c r="H73" s="37">
        <f>SUM(EDITAIS!H73,'CASA SONHAR'!H73,'Q. PROF.'!H73,PSICOSSOCIAL!H73,PEC!H73)</f>
        <v>0</v>
      </c>
      <c r="I73" s="37">
        <f>SUM(EDITAIS!I73,'CASA SONHAR'!I73,'Q. PROF.'!I73,PSICOSSOCIAL!I73,PEC!I73)</f>
        <v>0</v>
      </c>
      <c r="J73" s="37">
        <f>SUM(EDITAIS!J73,'CASA SONHAR'!J73,'Q. PROF.'!J73,PSICOSSOCIAL!J73,PEC!J73)</f>
        <v>0</v>
      </c>
      <c r="K73" s="37">
        <f>SUM(EDITAIS!K73,'CASA SONHAR'!K73,'Q. PROF.'!K73,PSICOSSOCIAL!K73,PEC!K73)</f>
        <v>0</v>
      </c>
      <c r="L73" s="37">
        <f>SUM(EDITAIS!L73,'CASA SONHAR'!L73,'Q. PROF.'!L73,PSICOSSOCIAL!L73,PEC!L73)</f>
        <v>0</v>
      </c>
      <c r="M73" s="37">
        <f>SUM(EDITAIS!M73,'CASA SONHAR'!M73,'Q. PROF.'!M73,PSICOSSOCIAL!M73,PEC!M73)</f>
        <v>0</v>
      </c>
      <c r="N73" s="37">
        <f>SUM(EDITAIS!N73,'CASA SONHAR'!N73,'Q. PROF.'!N73,PSICOSSOCIAL!N73,PEC!N73)</f>
        <v>0</v>
      </c>
      <c r="O73" s="5">
        <f t="shared" si="5"/>
        <v>0</v>
      </c>
    </row>
    <row r="74" spans="2:15" s="9" customFormat="1" ht="15.75" x14ac:dyDescent="0.25">
      <c r="B74" s="12" t="s">
        <v>96</v>
      </c>
      <c r="C74" s="37">
        <f>SUM(EDITAIS!C74,'CASA SONHAR'!C74,'Q. PROF.'!C74,PSICOSSOCIAL!C74,PEC!C74)</f>
        <v>0</v>
      </c>
      <c r="D74" s="37">
        <f>SUM(EDITAIS!D74,'CASA SONHAR'!D74,'Q. PROF.'!D74,PSICOSSOCIAL!D74,PEC!D74)</f>
        <v>100</v>
      </c>
      <c r="E74" s="37">
        <f>SUM(EDITAIS!E74,'CASA SONHAR'!E74,'Q. PROF.'!E74,PSICOSSOCIAL!E74,PEC!E74)</f>
        <v>100</v>
      </c>
      <c r="F74" s="37">
        <f>SUM(EDITAIS!F74,'CASA SONHAR'!F74,'Q. PROF.'!F74,PSICOSSOCIAL!F74,PEC!F74)</f>
        <v>100</v>
      </c>
      <c r="G74" s="37">
        <f>SUM(EDITAIS!G74,'CASA SONHAR'!G74,'Q. PROF.'!G74,PSICOSSOCIAL!G74,PEC!G74)</f>
        <v>100</v>
      </c>
      <c r="H74" s="37">
        <f>SUM(EDITAIS!H74,'CASA SONHAR'!H74,'Q. PROF.'!H74,PSICOSSOCIAL!H74,PEC!H74)</f>
        <v>100</v>
      </c>
      <c r="I74" s="37">
        <f>SUM(EDITAIS!I74,'CASA SONHAR'!I74,'Q. PROF.'!I74,PSICOSSOCIAL!I74,PEC!I74)</f>
        <v>100</v>
      </c>
      <c r="J74" s="37">
        <f>SUM(EDITAIS!J74,'CASA SONHAR'!J74,'Q. PROF.'!J74,PSICOSSOCIAL!J74,PEC!J74)</f>
        <v>100</v>
      </c>
      <c r="K74" s="37">
        <f>SUM(EDITAIS!K74,'CASA SONHAR'!K74,'Q. PROF.'!K74,PSICOSSOCIAL!K74,PEC!K74)</f>
        <v>100</v>
      </c>
      <c r="L74" s="37">
        <f>SUM(EDITAIS!L74,'CASA SONHAR'!L74,'Q. PROF.'!L74,PSICOSSOCIAL!L74,PEC!L74)</f>
        <v>100</v>
      </c>
      <c r="M74" s="37">
        <f>SUM(EDITAIS!M74,'CASA SONHAR'!M74,'Q. PROF.'!M74,PSICOSSOCIAL!M74,PEC!M74)</f>
        <v>100</v>
      </c>
      <c r="N74" s="37">
        <f>SUM(EDITAIS!N74,'CASA SONHAR'!N74,'Q. PROF.'!N74,PSICOSSOCIAL!N74,PEC!N74)</f>
        <v>100</v>
      </c>
      <c r="O74" s="5">
        <f>SUM(C74:N74)</f>
        <v>1100</v>
      </c>
    </row>
    <row r="75" spans="2:15" s="9" customFormat="1" ht="19.5" x14ac:dyDescent="0.25">
      <c r="B75" s="15" t="s">
        <v>97</v>
      </c>
      <c r="C75" s="38">
        <f>SUM(C76:C98)</f>
        <v>16945</v>
      </c>
      <c r="D75" s="38">
        <f t="shared" ref="D75:N75" si="19">SUM(D76:D98)</f>
        <v>38175</v>
      </c>
      <c r="E75" s="38">
        <f t="shared" si="19"/>
        <v>13175</v>
      </c>
      <c r="F75" s="38">
        <f>SUM(F76:F98)</f>
        <v>12925</v>
      </c>
      <c r="G75" s="38">
        <f t="shared" si="19"/>
        <v>12725</v>
      </c>
      <c r="H75" s="38">
        <f t="shared" si="19"/>
        <v>13325</v>
      </c>
      <c r="I75" s="38">
        <f t="shared" si="19"/>
        <v>13425</v>
      </c>
      <c r="J75" s="38">
        <f t="shared" si="19"/>
        <v>13725</v>
      </c>
      <c r="K75" s="38">
        <f t="shared" si="19"/>
        <v>13075</v>
      </c>
      <c r="L75" s="38">
        <f t="shared" si="19"/>
        <v>13275</v>
      </c>
      <c r="M75" s="38">
        <f t="shared" si="19"/>
        <v>14075</v>
      </c>
      <c r="N75" s="38">
        <f t="shared" si="19"/>
        <v>12875</v>
      </c>
      <c r="O75" s="7">
        <f>SUM(C75:N75)</f>
        <v>187720</v>
      </c>
    </row>
    <row r="76" spans="2:15" s="9" customFormat="1" ht="15.75" x14ac:dyDescent="0.25">
      <c r="B76" s="12" t="s">
        <v>98</v>
      </c>
      <c r="C76" s="37">
        <f>SUM(EDITAIS!C76,'CASA SONHAR'!C76,'Q. PROF.'!C76,PSICOSSOCIAL!C76,PEC!C76)</f>
        <v>2750</v>
      </c>
      <c r="D76" s="37">
        <f>SUM(EDITAIS!D76,'CASA SONHAR'!D76,'Q. PROF.'!D76,PSICOSSOCIAL!D76,PEC!D76)</f>
        <v>2750</v>
      </c>
      <c r="E76" s="37">
        <f>SUM(EDITAIS!E76,'CASA SONHAR'!E76,'Q. PROF.'!E76,PSICOSSOCIAL!E76,PEC!E76)</f>
        <v>2950</v>
      </c>
      <c r="F76" s="37">
        <f>SUM(EDITAIS!F76,'CASA SONHAR'!F76,'Q. PROF.'!F76,PSICOSSOCIAL!F76,PEC!F76)</f>
        <v>2950</v>
      </c>
      <c r="G76" s="37">
        <f>SUM(EDITAIS!G76,'CASA SONHAR'!G76,'Q. PROF.'!G76,PSICOSSOCIAL!G76,PEC!G76)</f>
        <v>2950</v>
      </c>
      <c r="H76" s="37">
        <f>SUM(EDITAIS!H76,'CASA SONHAR'!H76,'Q. PROF.'!H76,PSICOSSOCIAL!H76,PEC!H76)</f>
        <v>2950</v>
      </c>
      <c r="I76" s="37">
        <f>SUM(EDITAIS!I76,'CASA SONHAR'!I76,'Q. PROF.'!I76,PSICOSSOCIAL!I76,PEC!I76)</f>
        <v>2950</v>
      </c>
      <c r="J76" s="37">
        <f>SUM(EDITAIS!J76,'CASA SONHAR'!J76,'Q. PROF.'!J76,PSICOSSOCIAL!J76,PEC!J76)</f>
        <v>2950</v>
      </c>
      <c r="K76" s="37">
        <f>SUM(EDITAIS!K76,'CASA SONHAR'!K76,'Q. PROF.'!K76,PSICOSSOCIAL!K76,PEC!K76)</f>
        <v>2950</v>
      </c>
      <c r="L76" s="37">
        <f>SUM(EDITAIS!L76,'CASA SONHAR'!L76,'Q. PROF.'!L76,PSICOSSOCIAL!L76,PEC!L76)</f>
        <v>2950</v>
      </c>
      <c r="M76" s="37">
        <f>SUM(EDITAIS!M76,'CASA SONHAR'!M76,'Q. PROF.'!M76,PSICOSSOCIAL!M76,PEC!M76)</f>
        <v>2950</v>
      </c>
      <c r="N76" s="37">
        <f>SUM(EDITAIS!N76,'CASA SONHAR'!N76,'Q. PROF.'!N76,PSICOSSOCIAL!N76,PEC!N76)</f>
        <v>2950</v>
      </c>
      <c r="O76" s="5">
        <f t="shared" ref="O76:O138" si="20">SUM(C76:N76)</f>
        <v>35000</v>
      </c>
    </row>
    <row r="77" spans="2:15" s="9" customFormat="1" ht="15.75" x14ac:dyDescent="0.25">
      <c r="B77" s="12" t="s">
        <v>99</v>
      </c>
      <c r="C77" s="37">
        <f>SUM(EDITAIS!C77,'CASA SONHAR'!C77,'Q. PROF.'!C77,PSICOSSOCIAL!C77,PEC!C77)</f>
        <v>0</v>
      </c>
      <c r="D77" s="37">
        <f>SUM(EDITAIS!D77,'CASA SONHAR'!D77,'Q. PROF.'!D77,PSICOSSOCIAL!D77,PEC!D77)</f>
        <v>1800</v>
      </c>
      <c r="E77" s="37">
        <f>SUM(EDITAIS!E77,'CASA SONHAR'!E77,'Q. PROF.'!E77,PSICOSSOCIAL!E77,PEC!E77)</f>
        <v>1800</v>
      </c>
      <c r="F77" s="37">
        <f>SUM(EDITAIS!F77,'CASA SONHAR'!F77,'Q. PROF.'!F77,PSICOSSOCIAL!F77,PEC!F77)</f>
        <v>1800</v>
      </c>
      <c r="G77" s="37">
        <f>SUM(EDITAIS!G77,'CASA SONHAR'!G77,'Q. PROF.'!G77,PSICOSSOCIAL!G77,PEC!G77)</f>
        <v>1800</v>
      </c>
      <c r="H77" s="37">
        <f>SUM(EDITAIS!H77,'CASA SONHAR'!H77,'Q. PROF.'!H77,PSICOSSOCIAL!H77,PEC!H77)</f>
        <v>1800</v>
      </c>
      <c r="I77" s="37">
        <f>SUM(EDITAIS!I77,'CASA SONHAR'!I77,'Q. PROF.'!I77,PSICOSSOCIAL!I77,PEC!I77)</f>
        <v>1800</v>
      </c>
      <c r="J77" s="37">
        <f>SUM(EDITAIS!J77,'CASA SONHAR'!J77,'Q. PROF.'!J77,PSICOSSOCIAL!J77,PEC!J77)</f>
        <v>1800</v>
      </c>
      <c r="K77" s="37">
        <f>SUM(EDITAIS!K77,'CASA SONHAR'!K77,'Q. PROF.'!K77,PSICOSSOCIAL!K77,PEC!K77)</f>
        <v>1800</v>
      </c>
      <c r="L77" s="37">
        <f>SUM(EDITAIS!L77,'CASA SONHAR'!L77,'Q. PROF.'!L77,PSICOSSOCIAL!L77,PEC!L77)</f>
        <v>1800</v>
      </c>
      <c r="M77" s="37">
        <f>SUM(EDITAIS!M77,'CASA SONHAR'!M77,'Q. PROF.'!M77,PSICOSSOCIAL!M77,PEC!M77)</f>
        <v>1800</v>
      </c>
      <c r="N77" s="37">
        <f>SUM(EDITAIS!N77,'CASA SONHAR'!N77,'Q. PROF.'!N77,PSICOSSOCIAL!N77,PEC!N77)</f>
        <v>1800</v>
      </c>
      <c r="O77" s="5">
        <f t="shared" si="20"/>
        <v>19800</v>
      </c>
    </row>
    <row r="78" spans="2:15" s="9" customFormat="1" ht="15.75" x14ac:dyDescent="0.25">
      <c r="B78" s="12" t="s">
        <v>100</v>
      </c>
      <c r="C78" s="37">
        <f>SUM(EDITAIS!C78,'CASA SONHAR'!C78,'Q. PROF.'!C78,PSICOSSOCIAL!C78,PEC!C78)</f>
        <v>350</v>
      </c>
      <c r="D78" s="37">
        <f>SUM(EDITAIS!D78,'CASA SONHAR'!D78,'Q. PROF.'!D78,PSICOSSOCIAL!D78,PEC!D78)</f>
        <v>350</v>
      </c>
      <c r="E78" s="37">
        <f>SUM(EDITAIS!E78,'CASA SONHAR'!E78,'Q. PROF.'!E78,PSICOSSOCIAL!E78,PEC!E78)</f>
        <v>350</v>
      </c>
      <c r="F78" s="37">
        <f>SUM(EDITAIS!F78,'CASA SONHAR'!F78,'Q. PROF.'!F78,PSICOSSOCIAL!F78,PEC!F78)</f>
        <v>350</v>
      </c>
      <c r="G78" s="37">
        <f>SUM(EDITAIS!G78,'CASA SONHAR'!G78,'Q. PROF.'!G78,PSICOSSOCIAL!G78,PEC!G78)</f>
        <v>350</v>
      </c>
      <c r="H78" s="37">
        <f>SUM(EDITAIS!H78,'CASA SONHAR'!H78,'Q. PROF.'!H78,PSICOSSOCIAL!H78,PEC!H78)</f>
        <v>350</v>
      </c>
      <c r="I78" s="37">
        <f>SUM(EDITAIS!I78,'CASA SONHAR'!I78,'Q. PROF.'!I78,PSICOSSOCIAL!I78,PEC!I78)</f>
        <v>350</v>
      </c>
      <c r="J78" s="37">
        <f>SUM(EDITAIS!J78,'CASA SONHAR'!J78,'Q. PROF.'!J78,PSICOSSOCIAL!J78,PEC!J78)</f>
        <v>350</v>
      </c>
      <c r="K78" s="37">
        <f>SUM(EDITAIS!K78,'CASA SONHAR'!K78,'Q. PROF.'!K78,PSICOSSOCIAL!K78,PEC!K78)</f>
        <v>350</v>
      </c>
      <c r="L78" s="37">
        <f>SUM(EDITAIS!L78,'CASA SONHAR'!L78,'Q. PROF.'!L78,PSICOSSOCIAL!L78,PEC!L78)</f>
        <v>350</v>
      </c>
      <c r="M78" s="37">
        <f>SUM(EDITAIS!M78,'CASA SONHAR'!M78,'Q. PROF.'!M78,PSICOSSOCIAL!M78,PEC!M78)</f>
        <v>350</v>
      </c>
      <c r="N78" s="37">
        <f>SUM(EDITAIS!N78,'CASA SONHAR'!N78,'Q. PROF.'!N78,PSICOSSOCIAL!N78,PEC!N78)</f>
        <v>350</v>
      </c>
      <c r="O78" s="5">
        <f t="shared" si="20"/>
        <v>4200</v>
      </c>
    </row>
    <row r="79" spans="2:15" s="9" customFormat="1" ht="15.75" x14ac:dyDescent="0.25">
      <c r="B79" s="12" t="s">
        <v>101</v>
      </c>
      <c r="C79" s="37">
        <f>SUM(EDITAIS!C79,'CASA SONHAR'!C79,'Q. PROF.'!C79,PSICOSSOCIAL!C79,PEC!C79)</f>
        <v>600</v>
      </c>
      <c r="D79" s="37">
        <f>SUM(EDITAIS!D79,'CASA SONHAR'!D79,'Q. PROF.'!D79,PSICOSSOCIAL!D79,PEC!D79)</f>
        <v>600</v>
      </c>
      <c r="E79" s="37">
        <f>SUM(EDITAIS!E79,'CASA SONHAR'!E79,'Q. PROF.'!E79,PSICOSSOCIAL!E79,PEC!E79)</f>
        <v>600</v>
      </c>
      <c r="F79" s="37">
        <f>SUM(EDITAIS!F79,'CASA SONHAR'!F79,'Q. PROF.'!F79,PSICOSSOCIAL!F79,PEC!F79)</f>
        <v>600</v>
      </c>
      <c r="G79" s="37">
        <f>SUM(EDITAIS!G79,'CASA SONHAR'!G79,'Q. PROF.'!G79,PSICOSSOCIAL!G79,PEC!G79)</f>
        <v>600</v>
      </c>
      <c r="H79" s="37">
        <f>SUM(EDITAIS!H79,'CASA SONHAR'!H79,'Q. PROF.'!H79,PSICOSSOCIAL!H79,PEC!H79)</f>
        <v>600</v>
      </c>
      <c r="I79" s="37">
        <f>SUM(EDITAIS!I79,'CASA SONHAR'!I79,'Q. PROF.'!I79,PSICOSSOCIAL!I79,PEC!I79)</f>
        <v>600</v>
      </c>
      <c r="J79" s="37">
        <f>SUM(EDITAIS!J79,'CASA SONHAR'!J79,'Q. PROF.'!J79,PSICOSSOCIAL!J79,PEC!J79)</f>
        <v>600</v>
      </c>
      <c r="K79" s="37">
        <f>SUM(EDITAIS!K79,'CASA SONHAR'!K79,'Q. PROF.'!K79,PSICOSSOCIAL!K79,PEC!K79)</f>
        <v>600</v>
      </c>
      <c r="L79" s="37">
        <f>SUM(EDITAIS!L79,'CASA SONHAR'!L79,'Q. PROF.'!L79,PSICOSSOCIAL!L79,PEC!L79)</f>
        <v>600</v>
      </c>
      <c r="M79" s="37">
        <f>SUM(EDITAIS!M79,'CASA SONHAR'!M79,'Q. PROF.'!M79,PSICOSSOCIAL!M79,PEC!M79)</f>
        <v>600</v>
      </c>
      <c r="N79" s="37">
        <f>SUM(EDITAIS!N79,'CASA SONHAR'!N79,'Q. PROF.'!N79,PSICOSSOCIAL!N79,PEC!N79)</f>
        <v>600</v>
      </c>
      <c r="O79" s="5">
        <f t="shared" si="20"/>
        <v>7200</v>
      </c>
    </row>
    <row r="80" spans="2:15" s="9" customFormat="1" ht="15.75" x14ac:dyDescent="0.25">
      <c r="B80" s="12" t="s">
        <v>102</v>
      </c>
      <c r="C80" s="37">
        <f>SUM(EDITAIS!C80,'CASA SONHAR'!C80,'Q. PROF.'!C80,PSICOSSOCIAL!C80,PEC!C80)</f>
        <v>345</v>
      </c>
      <c r="D80" s="37">
        <f>SUM(EDITAIS!D80,'CASA SONHAR'!D80,'Q. PROF.'!D80,PSICOSSOCIAL!D80,PEC!D80)</f>
        <v>345</v>
      </c>
      <c r="E80" s="37">
        <f>SUM(EDITAIS!E80,'CASA SONHAR'!E80,'Q. PROF.'!E80,PSICOSSOCIAL!E80,PEC!E80)</f>
        <v>345</v>
      </c>
      <c r="F80" s="37">
        <f>SUM(EDITAIS!F80,'CASA SONHAR'!F80,'Q. PROF.'!F80,PSICOSSOCIAL!F80,PEC!F80)</f>
        <v>345</v>
      </c>
      <c r="G80" s="37">
        <f>SUM(EDITAIS!G80,'CASA SONHAR'!G80,'Q. PROF.'!G80,PSICOSSOCIAL!G80,PEC!G80)</f>
        <v>345</v>
      </c>
      <c r="H80" s="37">
        <f>SUM(EDITAIS!H80,'CASA SONHAR'!H80,'Q. PROF.'!H80,PSICOSSOCIAL!H80,PEC!H80)</f>
        <v>345</v>
      </c>
      <c r="I80" s="37">
        <f>SUM(EDITAIS!I80,'CASA SONHAR'!I80,'Q. PROF.'!I80,PSICOSSOCIAL!I80,PEC!I80)</f>
        <v>345</v>
      </c>
      <c r="J80" s="37">
        <f>SUM(EDITAIS!J80,'CASA SONHAR'!J80,'Q. PROF.'!J80,PSICOSSOCIAL!J80,PEC!J80)</f>
        <v>345</v>
      </c>
      <c r="K80" s="37">
        <f>SUM(EDITAIS!K80,'CASA SONHAR'!K80,'Q. PROF.'!K80,PSICOSSOCIAL!K80,PEC!K80)</f>
        <v>345</v>
      </c>
      <c r="L80" s="37">
        <f>SUM(EDITAIS!L80,'CASA SONHAR'!L80,'Q. PROF.'!L80,PSICOSSOCIAL!L80,PEC!L80)</f>
        <v>345</v>
      </c>
      <c r="M80" s="37">
        <f>SUM(EDITAIS!M80,'CASA SONHAR'!M80,'Q. PROF.'!M80,PSICOSSOCIAL!M80,PEC!M80)</f>
        <v>345</v>
      </c>
      <c r="N80" s="37">
        <f>SUM(EDITAIS!N80,'CASA SONHAR'!N80,'Q. PROF.'!N80,PSICOSSOCIAL!N80,PEC!N80)</f>
        <v>345</v>
      </c>
      <c r="O80" s="5">
        <f t="shared" si="20"/>
        <v>4140</v>
      </c>
    </row>
    <row r="81" spans="2:15" s="9" customFormat="1" ht="15.75" x14ac:dyDescent="0.25">
      <c r="B81" s="12" t="s">
        <v>103</v>
      </c>
      <c r="C81" s="37">
        <f>SUM(EDITAIS!C81,'CASA SONHAR'!C81,'Q. PROF.'!C81,PSICOSSOCIAL!C81,PEC!C81)</f>
        <v>200</v>
      </c>
      <c r="D81" s="37">
        <f>SUM(EDITAIS!D81,'CASA SONHAR'!D81,'Q. PROF.'!D81,PSICOSSOCIAL!D81,PEC!D81)</f>
        <v>650</v>
      </c>
      <c r="E81" s="37">
        <f>SUM(EDITAIS!E81,'CASA SONHAR'!E81,'Q. PROF.'!E81,PSICOSSOCIAL!E81,PEC!E81)</f>
        <v>0</v>
      </c>
      <c r="F81" s="37">
        <f>SUM(EDITAIS!F81,'CASA SONHAR'!F81,'Q. PROF.'!F81,PSICOSSOCIAL!F81,PEC!F81)</f>
        <v>200</v>
      </c>
      <c r="G81" s="37">
        <f>SUM(EDITAIS!G81,'CASA SONHAR'!G81,'Q. PROF.'!G81,PSICOSSOCIAL!G81,PEC!G81)</f>
        <v>0</v>
      </c>
      <c r="H81" s="37">
        <f>SUM(EDITAIS!H81,'CASA SONHAR'!H81,'Q. PROF.'!H81,PSICOSSOCIAL!H81,PEC!H81)</f>
        <v>0</v>
      </c>
      <c r="I81" s="37">
        <f>SUM(EDITAIS!I81,'CASA SONHAR'!I81,'Q. PROF.'!I81,PSICOSSOCIAL!I81,PEC!I81)</f>
        <v>200</v>
      </c>
      <c r="J81" s="37">
        <f>SUM(EDITAIS!J81,'CASA SONHAR'!J81,'Q. PROF.'!J81,PSICOSSOCIAL!J81,PEC!J81)</f>
        <v>200</v>
      </c>
      <c r="K81" s="37">
        <f>SUM(EDITAIS!K81,'CASA SONHAR'!K81,'Q. PROF.'!K81,PSICOSSOCIAL!K81,PEC!K81)</f>
        <v>0</v>
      </c>
      <c r="L81" s="37">
        <f>SUM(EDITAIS!L81,'CASA SONHAR'!L81,'Q. PROF.'!L81,PSICOSSOCIAL!L81,PEC!L81)</f>
        <v>200</v>
      </c>
      <c r="M81" s="37">
        <f>SUM(EDITAIS!M81,'CASA SONHAR'!M81,'Q. PROF.'!M81,PSICOSSOCIAL!M81,PEC!M81)</f>
        <v>0</v>
      </c>
      <c r="N81" s="37">
        <f>SUM(EDITAIS!N81,'CASA SONHAR'!N81,'Q. PROF.'!N81,PSICOSSOCIAL!N81,PEC!N81)</f>
        <v>0</v>
      </c>
      <c r="O81" s="5">
        <f t="shared" si="20"/>
        <v>1650</v>
      </c>
    </row>
    <row r="82" spans="2:15" s="9" customFormat="1" ht="15.75" x14ac:dyDescent="0.25">
      <c r="B82" s="12" t="s">
        <v>104</v>
      </c>
      <c r="C82" s="37">
        <f>SUM(EDITAIS!C82,'CASA SONHAR'!C82,'Q. PROF.'!C82,PSICOSSOCIAL!C82,PEC!C82)</f>
        <v>0</v>
      </c>
      <c r="D82" s="37">
        <f>SUM(EDITAIS!D82,'CASA SONHAR'!D82,'Q. PROF.'!D82,PSICOSSOCIAL!D82,PEC!D82)</f>
        <v>120</v>
      </c>
      <c r="E82" s="37">
        <f>SUM(EDITAIS!E82,'CASA SONHAR'!E82,'Q. PROF.'!E82,PSICOSSOCIAL!E82,PEC!E82)</f>
        <v>120</v>
      </c>
      <c r="F82" s="37">
        <f>SUM(EDITAIS!F82,'CASA SONHAR'!F82,'Q. PROF.'!F82,PSICOSSOCIAL!F82,PEC!F82)</f>
        <v>120</v>
      </c>
      <c r="G82" s="37">
        <f>SUM(EDITAIS!G82,'CASA SONHAR'!G82,'Q. PROF.'!G82,PSICOSSOCIAL!G82,PEC!G82)</f>
        <v>120</v>
      </c>
      <c r="H82" s="37">
        <f>SUM(EDITAIS!H82,'CASA SONHAR'!H82,'Q. PROF.'!H82,PSICOSSOCIAL!H82,PEC!H82)</f>
        <v>120</v>
      </c>
      <c r="I82" s="37">
        <f>SUM(EDITAIS!I82,'CASA SONHAR'!I82,'Q. PROF.'!I82,PSICOSSOCIAL!I82,PEC!I82)</f>
        <v>120</v>
      </c>
      <c r="J82" s="37">
        <f>SUM(EDITAIS!J82,'CASA SONHAR'!J82,'Q. PROF.'!J82,PSICOSSOCIAL!J82,PEC!J82)</f>
        <v>120</v>
      </c>
      <c r="K82" s="37">
        <f>SUM(EDITAIS!K82,'CASA SONHAR'!K82,'Q. PROF.'!K82,PSICOSSOCIAL!K82,PEC!K82)</f>
        <v>120</v>
      </c>
      <c r="L82" s="37">
        <f>SUM(EDITAIS!L82,'CASA SONHAR'!L82,'Q. PROF.'!L82,PSICOSSOCIAL!L82,PEC!L82)</f>
        <v>120</v>
      </c>
      <c r="M82" s="37">
        <f>SUM(EDITAIS!M82,'CASA SONHAR'!M82,'Q. PROF.'!M82,PSICOSSOCIAL!M82,PEC!M82)</f>
        <v>120</v>
      </c>
      <c r="N82" s="37">
        <f>SUM(EDITAIS!N82,'CASA SONHAR'!N82,'Q. PROF.'!N82,PSICOSSOCIAL!N82,PEC!N82)</f>
        <v>120</v>
      </c>
      <c r="O82" s="5">
        <f t="shared" si="20"/>
        <v>1320</v>
      </c>
    </row>
    <row r="83" spans="2:15" s="9" customFormat="1" ht="15.75" x14ac:dyDescent="0.25">
      <c r="B83" s="12" t="s">
        <v>105</v>
      </c>
      <c r="C83" s="37">
        <f>SUM(EDITAIS!C83,'CASA SONHAR'!C83,'Q. PROF.'!C83,PSICOSSOCIAL!C83,PEC!C83)</f>
        <v>0</v>
      </c>
      <c r="D83" s="37">
        <f>SUM(EDITAIS!D83,'CASA SONHAR'!D83,'Q. PROF.'!D83,PSICOSSOCIAL!D83,PEC!D83)</f>
        <v>0</v>
      </c>
      <c r="E83" s="37">
        <f>SUM(EDITAIS!E83,'CASA SONHAR'!E83,'Q. PROF.'!E83,PSICOSSOCIAL!E83,PEC!E83)</f>
        <v>0</v>
      </c>
      <c r="F83" s="37">
        <f>SUM(EDITAIS!F83,'CASA SONHAR'!F83,'Q. PROF.'!F83,PSICOSSOCIAL!F83,PEC!F83)</f>
        <v>0</v>
      </c>
      <c r="G83" s="37">
        <f>SUM(EDITAIS!G83,'CASA SONHAR'!G83,'Q. PROF.'!G83,PSICOSSOCIAL!G83,PEC!G83)</f>
        <v>0</v>
      </c>
      <c r="H83" s="37">
        <f>SUM(EDITAIS!H83,'CASA SONHAR'!H83,'Q. PROF.'!H83,PSICOSSOCIAL!H83,PEC!H83)</f>
        <v>0</v>
      </c>
      <c r="I83" s="37">
        <f>SUM(EDITAIS!I83,'CASA SONHAR'!I83,'Q. PROF.'!I83,PSICOSSOCIAL!I83,PEC!I83)</f>
        <v>0</v>
      </c>
      <c r="J83" s="37">
        <f>SUM(EDITAIS!J83,'CASA SONHAR'!J83,'Q. PROF.'!J83,PSICOSSOCIAL!J83,PEC!J83)</f>
        <v>0</v>
      </c>
      <c r="K83" s="37">
        <f>SUM(EDITAIS!K83,'CASA SONHAR'!K83,'Q. PROF.'!K83,PSICOSSOCIAL!K83,PEC!K83)</f>
        <v>0</v>
      </c>
      <c r="L83" s="37">
        <f>SUM(EDITAIS!L83,'CASA SONHAR'!L83,'Q. PROF.'!L83,PSICOSSOCIAL!L83,PEC!L83)</f>
        <v>0</v>
      </c>
      <c r="M83" s="37">
        <f>SUM(EDITAIS!M83,'CASA SONHAR'!M83,'Q. PROF.'!M83,PSICOSSOCIAL!M83,PEC!M83)</f>
        <v>0</v>
      </c>
      <c r="N83" s="37">
        <f>SUM(EDITAIS!N83,'CASA SONHAR'!N83,'Q. PROF.'!N83,PSICOSSOCIAL!N83,PEC!N83)</f>
        <v>0</v>
      </c>
      <c r="O83" s="5">
        <f t="shared" si="20"/>
        <v>0</v>
      </c>
    </row>
    <row r="84" spans="2:15" s="9" customFormat="1" ht="15.75" x14ac:dyDescent="0.25">
      <c r="B84" s="12" t="s">
        <v>106</v>
      </c>
      <c r="C84" s="37">
        <f>SUM(EDITAIS!C84,'CASA SONHAR'!C84,'Q. PROF.'!C84,PSICOSSOCIAL!C84,PEC!C84)</f>
        <v>0</v>
      </c>
      <c r="D84" s="37">
        <f>SUM(EDITAIS!D84,'CASA SONHAR'!D84,'Q. PROF.'!D84,PSICOSSOCIAL!D84,PEC!D84)</f>
        <v>0</v>
      </c>
      <c r="E84" s="37">
        <f>SUM(EDITAIS!E84,'CASA SONHAR'!E84,'Q. PROF.'!E84,PSICOSSOCIAL!E84,PEC!E84)</f>
        <v>0</v>
      </c>
      <c r="F84" s="37">
        <f>SUM(EDITAIS!F84,'CASA SONHAR'!F84,'Q. PROF.'!F84,PSICOSSOCIAL!F84,PEC!F84)</f>
        <v>0</v>
      </c>
      <c r="G84" s="37">
        <f>SUM(EDITAIS!G84,'CASA SONHAR'!G84,'Q. PROF.'!G84,PSICOSSOCIAL!G84,PEC!G84)</f>
        <v>0</v>
      </c>
      <c r="H84" s="37">
        <f>SUM(EDITAIS!H84,'CASA SONHAR'!H84,'Q. PROF.'!H84,PSICOSSOCIAL!H84,PEC!H84)</f>
        <v>0</v>
      </c>
      <c r="I84" s="37">
        <f>SUM(EDITAIS!I84,'CASA SONHAR'!I84,'Q. PROF.'!I84,PSICOSSOCIAL!I84,PEC!I84)</f>
        <v>0</v>
      </c>
      <c r="J84" s="37">
        <f>SUM(EDITAIS!J84,'CASA SONHAR'!J84,'Q. PROF.'!J84,PSICOSSOCIAL!J84,PEC!J84)</f>
        <v>0</v>
      </c>
      <c r="K84" s="37">
        <f>SUM(EDITAIS!K84,'CASA SONHAR'!K84,'Q. PROF.'!K84,PSICOSSOCIAL!K84,PEC!K84)</f>
        <v>0</v>
      </c>
      <c r="L84" s="37">
        <f>SUM(EDITAIS!L84,'CASA SONHAR'!L84,'Q. PROF.'!L84,PSICOSSOCIAL!L84,PEC!L84)</f>
        <v>0</v>
      </c>
      <c r="M84" s="37">
        <f>SUM(EDITAIS!M84,'CASA SONHAR'!M84,'Q. PROF.'!M84,PSICOSSOCIAL!M84,PEC!M84)</f>
        <v>0</v>
      </c>
      <c r="N84" s="37">
        <f>SUM(EDITAIS!N84,'CASA SONHAR'!N84,'Q. PROF.'!N84,PSICOSSOCIAL!N84,PEC!N84)</f>
        <v>0</v>
      </c>
      <c r="O84" s="5">
        <f t="shared" si="20"/>
        <v>0</v>
      </c>
    </row>
    <row r="85" spans="2:15" s="9" customFormat="1" ht="15.75" x14ac:dyDescent="0.25">
      <c r="B85" s="12" t="s">
        <v>107</v>
      </c>
      <c r="C85" s="37">
        <f>SUM(EDITAIS!C85,'CASA SONHAR'!C85,'Q. PROF.'!C85,PSICOSSOCIAL!C85,PEC!C85)</f>
        <v>0</v>
      </c>
      <c r="D85" s="37">
        <f>SUM(EDITAIS!D85,'CASA SONHAR'!D85,'Q. PROF.'!D85,PSICOSSOCIAL!D85,PEC!D85)</f>
        <v>0</v>
      </c>
      <c r="E85" s="37">
        <f>SUM(EDITAIS!E85,'CASA SONHAR'!E85,'Q. PROF.'!E85,PSICOSSOCIAL!E85,PEC!E85)</f>
        <v>0</v>
      </c>
      <c r="F85" s="37">
        <f>SUM(EDITAIS!F85,'CASA SONHAR'!F85,'Q. PROF.'!F85,PSICOSSOCIAL!F85,PEC!F85)</f>
        <v>0</v>
      </c>
      <c r="G85" s="37">
        <f>SUM(EDITAIS!G85,'CASA SONHAR'!G85,'Q. PROF.'!G85,PSICOSSOCIAL!G85,PEC!G85)</f>
        <v>0</v>
      </c>
      <c r="H85" s="37">
        <f>SUM(EDITAIS!H85,'CASA SONHAR'!H85,'Q. PROF.'!H85,PSICOSSOCIAL!H85,PEC!H85)</f>
        <v>0</v>
      </c>
      <c r="I85" s="37">
        <f>SUM(EDITAIS!I85,'CASA SONHAR'!I85,'Q. PROF.'!I85,PSICOSSOCIAL!I85,PEC!I85)</f>
        <v>0</v>
      </c>
      <c r="J85" s="37">
        <f>SUM(EDITAIS!J85,'CASA SONHAR'!J85,'Q. PROF.'!J85,PSICOSSOCIAL!J85,PEC!J85)</f>
        <v>0</v>
      </c>
      <c r="K85" s="37">
        <f>SUM(EDITAIS!K85,'CASA SONHAR'!K85,'Q. PROF.'!K85,PSICOSSOCIAL!K85,PEC!K85)</f>
        <v>0</v>
      </c>
      <c r="L85" s="37">
        <f>SUM(EDITAIS!L85,'CASA SONHAR'!L85,'Q. PROF.'!L85,PSICOSSOCIAL!L85,PEC!L85)</f>
        <v>0</v>
      </c>
      <c r="M85" s="37">
        <f>SUM(EDITAIS!M85,'CASA SONHAR'!M85,'Q. PROF.'!M85,PSICOSSOCIAL!M85,PEC!M85)</f>
        <v>0</v>
      </c>
      <c r="N85" s="37">
        <f>SUM(EDITAIS!N85,'CASA SONHAR'!N85,'Q. PROF.'!N85,PSICOSSOCIAL!N85,PEC!N85)</f>
        <v>0</v>
      </c>
      <c r="O85" s="5">
        <f t="shared" si="20"/>
        <v>0</v>
      </c>
    </row>
    <row r="86" spans="2:15" s="9" customFormat="1" ht="15.75" x14ac:dyDescent="0.25">
      <c r="B86" s="12" t="s">
        <v>108</v>
      </c>
      <c r="C86" s="37">
        <f>SUM(EDITAIS!C86,'CASA SONHAR'!C86,'Q. PROF.'!C86,PSICOSSOCIAL!C86,PEC!C86)</f>
        <v>0</v>
      </c>
      <c r="D86" s="37">
        <f>SUM(EDITAIS!D86,'CASA SONHAR'!D86,'Q. PROF.'!D86,PSICOSSOCIAL!D86,PEC!D86)</f>
        <v>0</v>
      </c>
      <c r="E86" s="37">
        <f>SUM(EDITAIS!E86,'CASA SONHAR'!E86,'Q. PROF.'!E86,PSICOSSOCIAL!E86,PEC!E86)</f>
        <v>0</v>
      </c>
      <c r="F86" s="37">
        <f>SUM(EDITAIS!F86,'CASA SONHAR'!F86,'Q. PROF.'!F86,PSICOSSOCIAL!F86,PEC!F86)</f>
        <v>0</v>
      </c>
      <c r="G86" s="37">
        <f>SUM(EDITAIS!G86,'CASA SONHAR'!G86,'Q. PROF.'!G86,PSICOSSOCIAL!G86,PEC!G86)</f>
        <v>0</v>
      </c>
      <c r="H86" s="37">
        <f>SUM(EDITAIS!H86,'CASA SONHAR'!H86,'Q. PROF.'!H86,PSICOSSOCIAL!H86,PEC!H86)</f>
        <v>0</v>
      </c>
      <c r="I86" s="37">
        <f>SUM(EDITAIS!I86,'CASA SONHAR'!I86,'Q. PROF.'!I86,PSICOSSOCIAL!I86,PEC!I86)</f>
        <v>0</v>
      </c>
      <c r="J86" s="37">
        <f>SUM(EDITAIS!J86,'CASA SONHAR'!J86,'Q. PROF.'!J86,PSICOSSOCIAL!J86,PEC!J86)</f>
        <v>0</v>
      </c>
      <c r="K86" s="37">
        <f>SUM(EDITAIS!K86,'CASA SONHAR'!K86,'Q. PROF.'!K86,PSICOSSOCIAL!K86,PEC!K86)</f>
        <v>0</v>
      </c>
      <c r="L86" s="37">
        <f>SUM(EDITAIS!L86,'CASA SONHAR'!L86,'Q. PROF.'!L86,PSICOSSOCIAL!L86,PEC!L86)</f>
        <v>0</v>
      </c>
      <c r="M86" s="37">
        <f>SUM(EDITAIS!M86,'CASA SONHAR'!M86,'Q. PROF.'!M86,PSICOSSOCIAL!M86,PEC!M86)</f>
        <v>0</v>
      </c>
      <c r="N86" s="37">
        <f>SUM(EDITAIS!N86,'CASA SONHAR'!N86,'Q. PROF.'!N86,PSICOSSOCIAL!N86,PEC!N86)</f>
        <v>0</v>
      </c>
      <c r="O86" s="5">
        <f t="shared" si="20"/>
        <v>0</v>
      </c>
    </row>
    <row r="87" spans="2:15" s="9" customFormat="1" ht="15.75" x14ac:dyDescent="0.25">
      <c r="B87" s="12" t="s">
        <v>109</v>
      </c>
      <c r="C87" s="37">
        <f>SUM(EDITAIS!C87,'CASA SONHAR'!C87,'Q. PROF.'!C87,PSICOSSOCIAL!C87,PEC!C87)</f>
        <v>0</v>
      </c>
      <c r="D87" s="37">
        <f>SUM(EDITAIS!D87,'CASA SONHAR'!D87,'Q. PROF.'!D87,PSICOSSOCIAL!D87,PEC!D87)</f>
        <v>0</v>
      </c>
      <c r="E87" s="37">
        <f>SUM(EDITAIS!E87,'CASA SONHAR'!E87,'Q. PROF.'!E87,PSICOSSOCIAL!E87,PEC!E87)</f>
        <v>0</v>
      </c>
      <c r="F87" s="37">
        <f>SUM(EDITAIS!F87,'CASA SONHAR'!F87,'Q. PROF.'!F87,PSICOSSOCIAL!F87,PEC!F87)</f>
        <v>0</v>
      </c>
      <c r="G87" s="37">
        <f>SUM(EDITAIS!G87,'CASA SONHAR'!G87,'Q. PROF.'!G87,PSICOSSOCIAL!G87,PEC!G87)</f>
        <v>0</v>
      </c>
      <c r="H87" s="37">
        <f>SUM(EDITAIS!H87,'CASA SONHAR'!H87,'Q. PROF.'!H87,PSICOSSOCIAL!H87,PEC!H87)</f>
        <v>0</v>
      </c>
      <c r="I87" s="37">
        <f>SUM(EDITAIS!I87,'CASA SONHAR'!I87,'Q. PROF.'!I87,PSICOSSOCIAL!I87,PEC!I87)</f>
        <v>0</v>
      </c>
      <c r="J87" s="37">
        <f>SUM(EDITAIS!J87,'CASA SONHAR'!J87,'Q. PROF.'!J87,PSICOSSOCIAL!J87,PEC!J87)</f>
        <v>0</v>
      </c>
      <c r="K87" s="37">
        <f>SUM(EDITAIS!K87,'CASA SONHAR'!K87,'Q. PROF.'!K87,PSICOSSOCIAL!K87,PEC!K87)</f>
        <v>0</v>
      </c>
      <c r="L87" s="37">
        <f>SUM(EDITAIS!L87,'CASA SONHAR'!L87,'Q. PROF.'!L87,PSICOSSOCIAL!L87,PEC!L87)</f>
        <v>0</v>
      </c>
      <c r="M87" s="37">
        <f>SUM(EDITAIS!M87,'CASA SONHAR'!M87,'Q. PROF.'!M87,PSICOSSOCIAL!M87,PEC!M87)</f>
        <v>0</v>
      </c>
      <c r="N87" s="37">
        <f>SUM(EDITAIS!N87,'CASA SONHAR'!N87,'Q. PROF.'!N87,PSICOSSOCIAL!N87,PEC!N87)</f>
        <v>0</v>
      </c>
      <c r="O87" s="5">
        <f t="shared" si="20"/>
        <v>0</v>
      </c>
    </row>
    <row r="88" spans="2:15" s="9" customFormat="1" ht="15.75" x14ac:dyDescent="0.25">
      <c r="B88" s="12" t="s">
        <v>110</v>
      </c>
      <c r="C88" s="37">
        <f>SUM(EDITAIS!C88,'CASA SONHAR'!C88,'Q. PROF.'!C88,PSICOSSOCIAL!C88,PEC!C88)</f>
        <v>0</v>
      </c>
      <c r="D88" s="37">
        <f>SUM(EDITAIS!D88,'CASA SONHAR'!D88,'Q. PROF.'!D88,PSICOSSOCIAL!D88,PEC!D88)</f>
        <v>50</v>
      </c>
      <c r="E88" s="37">
        <f>SUM(EDITAIS!E88,'CASA SONHAR'!E88,'Q. PROF.'!E88,PSICOSSOCIAL!E88,PEC!E88)</f>
        <v>50</v>
      </c>
      <c r="F88" s="37">
        <f>SUM(EDITAIS!F88,'CASA SONHAR'!F88,'Q. PROF.'!F88,PSICOSSOCIAL!F88,PEC!F88)</f>
        <v>50</v>
      </c>
      <c r="G88" s="37">
        <f>SUM(EDITAIS!G88,'CASA SONHAR'!G88,'Q. PROF.'!G88,PSICOSSOCIAL!G88,PEC!G88)</f>
        <v>50</v>
      </c>
      <c r="H88" s="37">
        <f>SUM(EDITAIS!H88,'CASA SONHAR'!H88,'Q. PROF.'!H88,PSICOSSOCIAL!H88,PEC!H88)</f>
        <v>50</v>
      </c>
      <c r="I88" s="37">
        <f>SUM(EDITAIS!I88,'CASA SONHAR'!I88,'Q. PROF.'!I88,PSICOSSOCIAL!I88,PEC!I88)</f>
        <v>50</v>
      </c>
      <c r="J88" s="37">
        <f>SUM(EDITAIS!J88,'CASA SONHAR'!J88,'Q. PROF.'!J88,PSICOSSOCIAL!J88,PEC!J88)</f>
        <v>50</v>
      </c>
      <c r="K88" s="37">
        <f>SUM(EDITAIS!K88,'CASA SONHAR'!K88,'Q. PROF.'!K88,PSICOSSOCIAL!K88,PEC!K88)</f>
        <v>50</v>
      </c>
      <c r="L88" s="37">
        <f>SUM(EDITAIS!L88,'CASA SONHAR'!L88,'Q. PROF.'!L88,PSICOSSOCIAL!L88,PEC!L88)</f>
        <v>50</v>
      </c>
      <c r="M88" s="37">
        <f>SUM(EDITAIS!M88,'CASA SONHAR'!M88,'Q. PROF.'!M88,PSICOSSOCIAL!M88,PEC!M88)</f>
        <v>50</v>
      </c>
      <c r="N88" s="37">
        <f>SUM(EDITAIS!N88,'CASA SONHAR'!N88,'Q. PROF.'!N88,PSICOSSOCIAL!N88,PEC!N88)</f>
        <v>50</v>
      </c>
      <c r="O88" s="5">
        <f t="shared" si="20"/>
        <v>550</v>
      </c>
    </row>
    <row r="89" spans="2:15" s="9" customFormat="1" ht="15.75" x14ac:dyDescent="0.25">
      <c r="B89" s="12" t="s">
        <v>111</v>
      </c>
      <c r="C89" s="37">
        <f>SUM(EDITAIS!C89,'CASA SONHAR'!C89,'Q. PROF.'!C89,PSICOSSOCIAL!C89,PEC!C89)</f>
        <v>0</v>
      </c>
      <c r="D89" s="37">
        <f>SUM(EDITAIS!D89,'CASA SONHAR'!D89,'Q. PROF.'!D89,PSICOSSOCIAL!D89,PEC!D89)</f>
        <v>3000</v>
      </c>
      <c r="E89" s="37">
        <f>SUM(EDITAIS!E89,'CASA SONHAR'!E89,'Q. PROF.'!E89,PSICOSSOCIAL!E89,PEC!E89)</f>
        <v>200</v>
      </c>
      <c r="F89" s="37">
        <f>SUM(EDITAIS!F89,'CASA SONHAR'!F89,'Q. PROF.'!F89,PSICOSSOCIAL!F89,PEC!F89)</f>
        <v>0</v>
      </c>
      <c r="G89" s="37">
        <f>SUM(EDITAIS!G89,'CASA SONHAR'!G89,'Q. PROF.'!G89,PSICOSSOCIAL!G89,PEC!G89)</f>
        <v>0</v>
      </c>
      <c r="H89" s="37">
        <f>SUM(EDITAIS!H89,'CASA SONHAR'!H89,'Q. PROF.'!H89,PSICOSSOCIAL!H89,PEC!H89)</f>
        <v>0</v>
      </c>
      <c r="I89" s="37">
        <f>SUM(EDITAIS!I89,'CASA SONHAR'!I89,'Q. PROF.'!I89,PSICOSSOCIAL!I89,PEC!I89)</f>
        <v>0</v>
      </c>
      <c r="J89" s="37">
        <f>SUM(EDITAIS!J89,'CASA SONHAR'!J89,'Q. PROF.'!J89,PSICOSSOCIAL!J89,PEC!J89)</f>
        <v>200</v>
      </c>
      <c r="K89" s="37">
        <f>SUM(EDITAIS!K89,'CASA SONHAR'!K89,'Q. PROF.'!K89,PSICOSSOCIAL!K89,PEC!K89)</f>
        <v>0</v>
      </c>
      <c r="L89" s="37">
        <f>SUM(EDITAIS!L89,'CASA SONHAR'!L89,'Q. PROF.'!L89,PSICOSSOCIAL!L89,PEC!L89)</f>
        <v>0</v>
      </c>
      <c r="M89" s="37">
        <f>SUM(EDITAIS!M89,'CASA SONHAR'!M89,'Q. PROF.'!M89,PSICOSSOCIAL!M89,PEC!M89)</f>
        <v>0</v>
      </c>
      <c r="N89" s="37">
        <f>SUM(EDITAIS!N89,'CASA SONHAR'!N89,'Q. PROF.'!N89,PSICOSSOCIAL!N89,PEC!N89)</f>
        <v>0</v>
      </c>
      <c r="O89" s="5">
        <f t="shared" si="20"/>
        <v>3400</v>
      </c>
    </row>
    <row r="90" spans="2:15" s="9" customFormat="1" ht="15.75" x14ac:dyDescent="0.25">
      <c r="B90" s="12" t="s">
        <v>112</v>
      </c>
      <c r="C90" s="37">
        <f>SUM(EDITAIS!C90,'CASA SONHAR'!C90,'Q. PROF.'!C90,PSICOSSOCIAL!C90,PEC!C90)</f>
        <v>700</v>
      </c>
      <c r="D90" s="37">
        <f>SUM(EDITAIS!D90,'CASA SONHAR'!D90,'Q. PROF.'!D90,PSICOSSOCIAL!D90,PEC!D90)</f>
        <v>700</v>
      </c>
      <c r="E90" s="37">
        <f>SUM(EDITAIS!E90,'CASA SONHAR'!E90,'Q. PROF.'!E90,PSICOSSOCIAL!E90,PEC!E90)</f>
        <v>700</v>
      </c>
      <c r="F90" s="37">
        <f>SUM(EDITAIS!F90,'CASA SONHAR'!F90,'Q. PROF.'!F90,PSICOSSOCIAL!F90,PEC!F90)</f>
        <v>700</v>
      </c>
      <c r="G90" s="37">
        <f>SUM(EDITAIS!G90,'CASA SONHAR'!G90,'Q. PROF.'!G90,PSICOSSOCIAL!G90,PEC!G90)</f>
        <v>700</v>
      </c>
      <c r="H90" s="37">
        <f>SUM(EDITAIS!H90,'CASA SONHAR'!H90,'Q. PROF.'!H90,PSICOSSOCIAL!H90,PEC!H90)</f>
        <v>700</v>
      </c>
      <c r="I90" s="37">
        <f>SUM(EDITAIS!I90,'CASA SONHAR'!I90,'Q. PROF.'!I90,PSICOSSOCIAL!I90,PEC!I90)</f>
        <v>700</v>
      </c>
      <c r="J90" s="37">
        <f>SUM(EDITAIS!J90,'CASA SONHAR'!J90,'Q. PROF.'!J90,PSICOSSOCIAL!J90,PEC!J90)</f>
        <v>700</v>
      </c>
      <c r="K90" s="37">
        <f>SUM(EDITAIS!K90,'CASA SONHAR'!K90,'Q. PROF.'!K90,PSICOSSOCIAL!K90,PEC!K90)</f>
        <v>700</v>
      </c>
      <c r="L90" s="37">
        <f>SUM(EDITAIS!L90,'CASA SONHAR'!L90,'Q. PROF.'!L90,PSICOSSOCIAL!L90,PEC!L90)</f>
        <v>700</v>
      </c>
      <c r="M90" s="37">
        <f>SUM(EDITAIS!M90,'CASA SONHAR'!M90,'Q. PROF.'!M90,PSICOSSOCIAL!M90,PEC!M90)</f>
        <v>700</v>
      </c>
      <c r="N90" s="37">
        <f>SUM(EDITAIS!N90,'CASA SONHAR'!N90,'Q. PROF.'!N90,PSICOSSOCIAL!N90,PEC!N90)</f>
        <v>700</v>
      </c>
      <c r="O90" s="5">
        <f t="shared" si="20"/>
        <v>8400</v>
      </c>
    </row>
    <row r="91" spans="2:15" s="9" customFormat="1" ht="15.75" x14ac:dyDescent="0.25">
      <c r="B91" s="12" t="s">
        <v>113</v>
      </c>
      <c r="C91" s="37">
        <f>SUM(EDITAIS!C91,'CASA SONHAR'!C91,'Q. PROF.'!C91,PSICOSSOCIAL!C91,PEC!C91)</f>
        <v>0</v>
      </c>
      <c r="D91" s="37">
        <f>SUM(EDITAIS!D91,'CASA SONHAR'!D91,'Q. PROF.'!D91,PSICOSSOCIAL!D91,PEC!D91)</f>
        <v>0</v>
      </c>
      <c r="E91" s="37">
        <f>SUM(EDITAIS!E91,'CASA SONHAR'!E91,'Q. PROF.'!E91,PSICOSSOCIAL!E91,PEC!E91)</f>
        <v>0</v>
      </c>
      <c r="F91" s="37">
        <f>SUM(EDITAIS!F91,'CASA SONHAR'!F91,'Q. PROF.'!F91,PSICOSSOCIAL!F91,PEC!F91)</f>
        <v>0</v>
      </c>
      <c r="G91" s="37">
        <f>SUM(EDITAIS!G91,'CASA SONHAR'!G91,'Q. PROF.'!G91,PSICOSSOCIAL!G91,PEC!G91)</f>
        <v>0</v>
      </c>
      <c r="H91" s="37">
        <f>SUM(EDITAIS!H91,'CASA SONHAR'!H91,'Q. PROF.'!H91,PSICOSSOCIAL!H91,PEC!H91)</f>
        <v>0</v>
      </c>
      <c r="I91" s="37">
        <f>SUM(EDITAIS!I91,'CASA SONHAR'!I91,'Q. PROF.'!I91,PSICOSSOCIAL!I91,PEC!I91)</f>
        <v>0</v>
      </c>
      <c r="J91" s="37">
        <f>SUM(EDITAIS!J91,'CASA SONHAR'!J91,'Q. PROF.'!J91,PSICOSSOCIAL!J91,PEC!J91)</f>
        <v>0</v>
      </c>
      <c r="K91" s="37">
        <f>SUM(EDITAIS!K91,'CASA SONHAR'!K91,'Q. PROF.'!K91,PSICOSSOCIAL!K91,PEC!K91)</f>
        <v>0</v>
      </c>
      <c r="L91" s="37">
        <f>SUM(EDITAIS!L91,'CASA SONHAR'!L91,'Q. PROF.'!L91,PSICOSSOCIAL!L91,PEC!L91)</f>
        <v>0</v>
      </c>
      <c r="M91" s="37">
        <f>SUM(EDITAIS!M91,'CASA SONHAR'!M91,'Q. PROF.'!M91,PSICOSSOCIAL!M91,PEC!M91)</f>
        <v>0</v>
      </c>
      <c r="N91" s="37">
        <f>SUM(EDITAIS!N91,'CASA SONHAR'!N91,'Q. PROF.'!N91,PSICOSSOCIAL!N91,PEC!N91)</f>
        <v>0</v>
      </c>
      <c r="O91" s="5">
        <f t="shared" si="20"/>
        <v>0</v>
      </c>
    </row>
    <row r="92" spans="2:15" s="9" customFormat="1" ht="15.75" x14ac:dyDescent="0.25">
      <c r="B92" s="12" t="s">
        <v>114</v>
      </c>
      <c r="C92" s="37">
        <f>SUM(EDITAIS!C92,'CASA SONHAR'!C92,'Q. PROF.'!C92,PSICOSSOCIAL!C92,PEC!C92)</f>
        <v>0</v>
      </c>
      <c r="D92" s="37">
        <f>SUM(EDITAIS!D92,'CASA SONHAR'!D92,'Q. PROF.'!D92,PSICOSSOCIAL!D92,PEC!D92)</f>
        <v>0</v>
      </c>
      <c r="E92" s="37">
        <f>SUM(EDITAIS!E92,'CASA SONHAR'!E92,'Q. PROF.'!E92,PSICOSSOCIAL!E92,PEC!E92)</f>
        <v>0</v>
      </c>
      <c r="F92" s="37">
        <f>SUM(EDITAIS!F92,'CASA SONHAR'!F92,'Q. PROF.'!F92,PSICOSSOCIAL!F92,PEC!F92)</f>
        <v>0</v>
      </c>
      <c r="G92" s="37">
        <f>SUM(EDITAIS!G92,'CASA SONHAR'!G92,'Q. PROF.'!G92,PSICOSSOCIAL!G92,PEC!G92)</f>
        <v>0</v>
      </c>
      <c r="H92" s="37">
        <f>SUM(EDITAIS!H92,'CASA SONHAR'!H92,'Q. PROF.'!H92,PSICOSSOCIAL!H92,PEC!H92)</f>
        <v>0</v>
      </c>
      <c r="I92" s="37">
        <f>SUM(EDITAIS!I92,'CASA SONHAR'!I92,'Q. PROF.'!I92,PSICOSSOCIAL!I92,PEC!I92)</f>
        <v>0</v>
      </c>
      <c r="J92" s="37">
        <f>SUM(EDITAIS!J92,'CASA SONHAR'!J92,'Q. PROF.'!J92,PSICOSSOCIAL!J92,PEC!J92)</f>
        <v>0</v>
      </c>
      <c r="K92" s="37">
        <f>SUM(EDITAIS!K92,'CASA SONHAR'!K92,'Q. PROF.'!K92,PSICOSSOCIAL!K92,PEC!K92)</f>
        <v>0</v>
      </c>
      <c r="L92" s="37">
        <f>SUM(EDITAIS!L92,'CASA SONHAR'!L92,'Q. PROF.'!L92,PSICOSSOCIAL!L92,PEC!L92)</f>
        <v>0</v>
      </c>
      <c r="M92" s="37">
        <f>SUM(EDITAIS!M92,'CASA SONHAR'!M92,'Q. PROF.'!M92,PSICOSSOCIAL!M92,PEC!M92)</f>
        <v>0</v>
      </c>
      <c r="N92" s="37">
        <f>SUM(EDITAIS!N92,'CASA SONHAR'!N92,'Q. PROF.'!N92,PSICOSSOCIAL!N92,PEC!N92)</f>
        <v>0</v>
      </c>
      <c r="O92" s="5">
        <f t="shared" si="20"/>
        <v>0</v>
      </c>
    </row>
    <row r="93" spans="2:15" s="9" customFormat="1" ht="15.75" x14ac:dyDescent="0.25">
      <c r="B93" s="12" t="s">
        <v>115</v>
      </c>
      <c r="C93" s="37">
        <f>SUM(EDITAIS!C93,'CASA SONHAR'!C93,'Q. PROF.'!C93,PSICOSSOCIAL!C93,PEC!C93)</f>
        <v>0</v>
      </c>
      <c r="D93" s="37">
        <f>SUM(EDITAIS!D93,'CASA SONHAR'!D93,'Q. PROF.'!D93,PSICOSSOCIAL!D93,PEC!D93)</f>
        <v>3000</v>
      </c>
      <c r="E93" s="37">
        <f>SUM(EDITAIS!E93,'CASA SONHAR'!E93,'Q. PROF.'!E93,PSICOSSOCIAL!E93,PEC!E93)</f>
        <v>3000</v>
      </c>
      <c r="F93" s="37">
        <f>SUM(EDITAIS!F93,'CASA SONHAR'!F93,'Q. PROF.'!F93,PSICOSSOCIAL!F93,PEC!F93)</f>
        <v>3000</v>
      </c>
      <c r="G93" s="37">
        <f>SUM(EDITAIS!G93,'CASA SONHAR'!G93,'Q. PROF.'!G93,PSICOSSOCIAL!G93,PEC!G93)</f>
        <v>3000</v>
      </c>
      <c r="H93" s="37">
        <f>SUM(EDITAIS!H93,'CASA SONHAR'!H93,'Q. PROF.'!H93,PSICOSSOCIAL!H93,PEC!H93)</f>
        <v>3000</v>
      </c>
      <c r="I93" s="37">
        <f>SUM(EDITAIS!I93,'CASA SONHAR'!I93,'Q. PROF.'!I93,PSICOSSOCIAL!I93,PEC!I93)</f>
        <v>3000</v>
      </c>
      <c r="J93" s="37">
        <f>SUM(EDITAIS!J93,'CASA SONHAR'!J93,'Q. PROF.'!J93,PSICOSSOCIAL!J93,PEC!J93)</f>
        <v>3000</v>
      </c>
      <c r="K93" s="37">
        <f>SUM(EDITAIS!K93,'CASA SONHAR'!K93,'Q. PROF.'!K93,PSICOSSOCIAL!K93,PEC!K93)</f>
        <v>3000</v>
      </c>
      <c r="L93" s="37">
        <f>SUM(EDITAIS!L93,'CASA SONHAR'!L93,'Q. PROF.'!L93,PSICOSSOCIAL!L93,PEC!L93)</f>
        <v>3000</v>
      </c>
      <c r="M93" s="37">
        <f>SUM(EDITAIS!M93,'CASA SONHAR'!M93,'Q. PROF.'!M93,PSICOSSOCIAL!M93,PEC!M93)</f>
        <v>3000</v>
      </c>
      <c r="N93" s="37">
        <f>SUM(EDITAIS!N93,'CASA SONHAR'!N93,'Q. PROF.'!N93,PSICOSSOCIAL!N93,PEC!N93)</f>
        <v>3000</v>
      </c>
      <c r="O93" s="5">
        <f t="shared" si="20"/>
        <v>33000</v>
      </c>
    </row>
    <row r="94" spans="2:15" s="9" customFormat="1" ht="15.75" x14ac:dyDescent="0.25">
      <c r="B94" s="12" t="s">
        <v>116</v>
      </c>
      <c r="C94" s="37">
        <f>SUM(EDITAIS!C94,'CASA SONHAR'!C94,'Q. PROF.'!C94,PSICOSSOCIAL!C94,PEC!C94)</f>
        <v>12000</v>
      </c>
      <c r="D94" s="37">
        <f>SUM(EDITAIS!D94,'CASA SONHAR'!D94,'Q. PROF.'!D94,PSICOSSOCIAL!D94,PEC!D94)</f>
        <v>20000</v>
      </c>
      <c r="E94" s="37">
        <f>SUM(EDITAIS!E94,'CASA SONHAR'!E94,'Q. PROF.'!E94,PSICOSSOCIAL!E94,PEC!E94)</f>
        <v>1000</v>
      </c>
      <c r="F94" s="37">
        <f>SUM(EDITAIS!F94,'CASA SONHAR'!F94,'Q. PROF.'!F94,PSICOSSOCIAL!F94,PEC!F94)</f>
        <v>1000</v>
      </c>
      <c r="G94" s="37">
        <f>SUM(EDITAIS!G94,'CASA SONHAR'!G94,'Q. PROF.'!G94,PSICOSSOCIAL!G94,PEC!G94)</f>
        <v>1000</v>
      </c>
      <c r="H94" s="37">
        <f>SUM(EDITAIS!H94,'CASA SONHAR'!H94,'Q. PROF.'!H94,PSICOSSOCIAL!H94,PEC!H94)</f>
        <v>1000</v>
      </c>
      <c r="I94" s="37">
        <f>SUM(EDITAIS!I94,'CASA SONHAR'!I94,'Q. PROF.'!I94,PSICOSSOCIAL!I94,PEC!I94)</f>
        <v>1000</v>
      </c>
      <c r="J94" s="37">
        <f>SUM(EDITAIS!J94,'CASA SONHAR'!J94,'Q. PROF.'!J94,PSICOSSOCIAL!J94,PEC!J94)</f>
        <v>1000</v>
      </c>
      <c r="K94" s="37">
        <f>SUM(EDITAIS!K94,'CASA SONHAR'!K94,'Q. PROF.'!K94,PSICOSSOCIAL!K94,PEC!K94)</f>
        <v>1000</v>
      </c>
      <c r="L94" s="37">
        <f>SUM(EDITAIS!L94,'CASA SONHAR'!L94,'Q. PROF.'!L94,PSICOSSOCIAL!L94,PEC!L94)</f>
        <v>1000</v>
      </c>
      <c r="M94" s="37">
        <f>SUM(EDITAIS!M94,'CASA SONHAR'!M94,'Q. PROF.'!M94,PSICOSSOCIAL!M94,PEC!M94)</f>
        <v>1000</v>
      </c>
      <c r="N94" s="37">
        <f>SUM(EDITAIS!N94,'CASA SONHAR'!N94,'Q. PROF.'!N94,PSICOSSOCIAL!N94,PEC!N94)</f>
        <v>1000</v>
      </c>
      <c r="O94" s="5">
        <f t="shared" si="20"/>
        <v>42000</v>
      </c>
    </row>
    <row r="95" spans="2:15" s="9" customFormat="1" ht="15.75" x14ac:dyDescent="0.25">
      <c r="B95" s="12" t="s">
        <v>117</v>
      </c>
      <c r="C95" s="37">
        <f>SUM(EDITAIS!C95,'CASA SONHAR'!C95,'Q. PROF.'!C95,PSICOSSOCIAL!C95,PEC!C95)</f>
        <v>0</v>
      </c>
      <c r="D95" s="37">
        <f>SUM(EDITAIS!D95,'CASA SONHAR'!D95,'Q. PROF.'!D95,PSICOSSOCIAL!D95,PEC!D95)</f>
        <v>4340</v>
      </c>
      <c r="E95" s="37">
        <f>SUM(EDITAIS!E95,'CASA SONHAR'!E95,'Q. PROF.'!E95,PSICOSSOCIAL!E95,PEC!E95)</f>
        <v>1390</v>
      </c>
      <c r="F95" s="37">
        <f>SUM(EDITAIS!F95,'CASA SONHAR'!F95,'Q. PROF.'!F95,PSICOSSOCIAL!F95,PEC!F95)</f>
        <v>1140</v>
      </c>
      <c r="G95" s="37">
        <f>SUM(EDITAIS!G95,'CASA SONHAR'!G95,'Q. PROF.'!G95,PSICOSSOCIAL!G95,PEC!G95)</f>
        <v>1140</v>
      </c>
      <c r="H95" s="37">
        <f>SUM(EDITAIS!H95,'CASA SONHAR'!H95,'Q. PROF.'!H95,PSICOSSOCIAL!H95,PEC!H95)</f>
        <v>1140</v>
      </c>
      <c r="I95" s="37">
        <f>SUM(EDITAIS!I95,'CASA SONHAR'!I95,'Q. PROF.'!I95,PSICOSSOCIAL!I95,PEC!I95)</f>
        <v>1640</v>
      </c>
      <c r="J95" s="37">
        <f>SUM(EDITAIS!J95,'CASA SONHAR'!J95,'Q. PROF.'!J95,PSICOSSOCIAL!J95,PEC!J95)</f>
        <v>1390</v>
      </c>
      <c r="K95" s="37">
        <f>SUM(EDITAIS!K95,'CASA SONHAR'!K95,'Q. PROF.'!K95,PSICOSSOCIAL!K95,PEC!K95)</f>
        <v>1140</v>
      </c>
      <c r="L95" s="37">
        <f>SUM(EDITAIS!L95,'CASA SONHAR'!L95,'Q. PROF.'!L95,PSICOSSOCIAL!L95,PEC!L95)</f>
        <v>1140</v>
      </c>
      <c r="M95" s="37">
        <f>SUM(EDITAIS!M95,'CASA SONHAR'!M95,'Q. PROF.'!M95,PSICOSSOCIAL!M95,PEC!M95)</f>
        <v>1140</v>
      </c>
      <c r="N95" s="37">
        <f>SUM(EDITAIS!N95,'CASA SONHAR'!N95,'Q. PROF.'!N95,PSICOSSOCIAL!N95,PEC!N95)</f>
        <v>1000</v>
      </c>
      <c r="O95" s="5">
        <f t="shared" si="20"/>
        <v>16600</v>
      </c>
    </row>
    <row r="96" spans="2:15" s="9" customFormat="1" ht="15.75" x14ac:dyDescent="0.25">
      <c r="B96" s="12" t="s">
        <v>118</v>
      </c>
      <c r="C96" s="37">
        <f>SUM(EDITAIS!C96,'CASA SONHAR'!C96,'Q. PROF.'!C96,PSICOSSOCIAL!C96,PEC!C96)</f>
        <v>0</v>
      </c>
      <c r="D96" s="37">
        <f>SUM(EDITAIS!D96,'CASA SONHAR'!D96,'Q. PROF.'!D96,PSICOSSOCIAL!D96,PEC!D96)</f>
        <v>350</v>
      </c>
      <c r="E96" s="37">
        <f>SUM(EDITAIS!E96,'CASA SONHAR'!E96,'Q. PROF.'!E96,PSICOSSOCIAL!E96,PEC!E96)</f>
        <v>550</v>
      </c>
      <c r="F96" s="37">
        <f>SUM(EDITAIS!F96,'CASA SONHAR'!F96,'Q. PROF.'!F96,PSICOSSOCIAL!F96,PEC!F96)</f>
        <v>550</v>
      </c>
      <c r="G96" s="37">
        <f>SUM(EDITAIS!G96,'CASA SONHAR'!G96,'Q. PROF.'!G96,PSICOSSOCIAL!G96,PEC!G96)</f>
        <v>550</v>
      </c>
      <c r="H96" s="37">
        <f>SUM(EDITAIS!H96,'CASA SONHAR'!H96,'Q. PROF.'!H96,PSICOSSOCIAL!H96,PEC!H96)</f>
        <v>550</v>
      </c>
      <c r="I96" s="37">
        <f>SUM(EDITAIS!I96,'CASA SONHAR'!I96,'Q. PROF.'!I96,PSICOSSOCIAL!I96,PEC!I96)</f>
        <v>550</v>
      </c>
      <c r="J96" s="37">
        <f>SUM(EDITAIS!J96,'CASA SONHAR'!J96,'Q. PROF.'!J96,PSICOSSOCIAL!J96,PEC!J96)</f>
        <v>550</v>
      </c>
      <c r="K96" s="37">
        <f>SUM(EDITAIS!K96,'CASA SONHAR'!K96,'Q. PROF.'!K96,PSICOSSOCIAL!K96,PEC!K96)</f>
        <v>550</v>
      </c>
      <c r="L96" s="37">
        <f>SUM(EDITAIS!L96,'CASA SONHAR'!L96,'Q. PROF.'!L96,PSICOSSOCIAL!L96,PEC!L96)</f>
        <v>550</v>
      </c>
      <c r="M96" s="37">
        <f>SUM(EDITAIS!M96,'CASA SONHAR'!M96,'Q. PROF.'!M96,PSICOSSOCIAL!M96,PEC!M96)</f>
        <v>550</v>
      </c>
      <c r="N96" s="37">
        <f>SUM(EDITAIS!N96,'CASA SONHAR'!N96,'Q. PROF.'!N96,PSICOSSOCIAL!N96,PEC!N96)</f>
        <v>550</v>
      </c>
      <c r="O96" s="5">
        <f t="shared" si="20"/>
        <v>5850</v>
      </c>
    </row>
    <row r="97" spans="2:15" s="9" customFormat="1" ht="15.75" x14ac:dyDescent="0.25">
      <c r="B97" s="12" t="s">
        <v>119</v>
      </c>
      <c r="C97" s="37">
        <f>SUM(EDITAIS!C97,'CASA SONHAR'!C97,'Q. PROF.'!C97,PSICOSSOCIAL!C97,PEC!C97)</f>
        <v>0</v>
      </c>
      <c r="D97" s="37">
        <f>SUM(EDITAIS!D97,'CASA SONHAR'!D97,'Q. PROF.'!D97,PSICOSSOCIAL!D97,PEC!D97)</f>
        <v>120</v>
      </c>
      <c r="E97" s="37">
        <f>SUM(EDITAIS!E97,'CASA SONHAR'!E97,'Q. PROF.'!E97,PSICOSSOCIAL!E97,PEC!E97)</f>
        <v>120</v>
      </c>
      <c r="F97" s="37">
        <f>SUM(EDITAIS!F97,'CASA SONHAR'!F97,'Q. PROF.'!F97,PSICOSSOCIAL!F97,PEC!F97)</f>
        <v>120</v>
      </c>
      <c r="G97" s="37">
        <f>SUM(EDITAIS!G97,'CASA SONHAR'!G97,'Q. PROF.'!G97,PSICOSSOCIAL!G97,PEC!G97)</f>
        <v>120</v>
      </c>
      <c r="H97" s="37">
        <f>SUM(EDITAIS!H97,'CASA SONHAR'!H97,'Q. PROF.'!H97,PSICOSSOCIAL!H97,PEC!H97)</f>
        <v>120</v>
      </c>
      <c r="I97" s="37">
        <f>SUM(EDITAIS!I97,'CASA SONHAR'!I97,'Q. PROF.'!I97,PSICOSSOCIAL!I97,PEC!I97)</f>
        <v>120</v>
      </c>
      <c r="J97" s="37">
        <f>SUM(EDITAIS!J97,'CASA SONHAR'!J97,'Q. PROF.'!J97,PSICOSSOCIAL!J97,PEC!J97)</f>
        <v>120</v>
      </c>
      <c r="K97" s="37">
        <f>SUM(EDITAIS!K97,'CASA SONHAR'!K97,'Q. PROF.'!K97,PSICOSSOCIAL!K97,PEC!K97)</f>
        <v>120</v>
      </c>
      <c r="L97" s="37">
        <f>SUM(EDITAIS!L97,'CASA SONHAR'!L97,'Q. PROF.'!L97,PSICOSSOCIAL!L97,PEC!L97)</f>
        <v>120</v>
      </c>
      <c r="M97" s="37">
        <f>SUM(EDITAIS!M97,'CASA SONHAR'!M97,'Q. PROF.'!M97,PSICOSSOCIAL!M97,PEC!M97)</f>
        <v>120</v>
      </c>
      <c r="N97" s="37">
        <f>SUM(EDITAIS!N97,'CASA SONHAR'!N97,'Q. PROF.'!N97,PSICOSSOCIAL!N97,PEC!N97)</f>
        <v>60</v>
      </c>
      <c r="O97" s="5">
        <f t="shared" si="20"/>
        <v>1260</v>
      </c>
    </row>
    <row r="98" spans="2:15" s="9" customFormat="1" ht="15.75" x14ac:dyDescent="0.25">
      <c r="B98" s="12" t="s">
        <v>120</v>
      </c>
      <c r="C98" s="37">
        <f>SUM(EDITAIS!C98,'CASA SONHAR'!C98,'Q. PROF.'!C98,PSICOSSOCIAL!C98,PEC!C98)</f>
        <v>0</v>
      </c>
      <c r="D98" s="37">
        <f>SUM(EDITAIS!D98,'CASA SONHAR'!D98,'Q. PROF.'!D98,PSICOSSOCIAL!D98,PEC!D98)</f>
        <v>0</v>
      </c>
      <c r="E98" s="37">
        <f>SUM(EDITAIS!E98,'CASA SONHAR'!E98,'Q. PROF.'!E98,PSICOSSOCIAL!E98,PEC!E98)</f>
        <v>0</v>
      </c>
      <c r="F98" s="37">
        <f>SUM(EDITAIS!F98,'CASA SONHAR'!F98,'Q. PROF.'!F98,PSICOSSOCIAL!F98,PEC!F98)</f>
        <v>0</v>
      </c>
      <c r="G98" s="37">
        <f>SUM(EDITAIS!G98,'CASA SONHAR'!G98,'Q. PROF.'!G98,PSICOSSOCIAL!G98,PEC!G98)</f>
        <v>0</v>
      </c>
      <c r="H98" s="37">
        <f>SUM(EDITAIS!H98,'CASA SONHAR'!H98,'Q. PROF.'!H98,PSICOSSOCIAL!H98,PEC!H98)</f>
        <v>600</v>
      </c>
      <c r="I98" s="37">
        <f>SUM(EDITAIS!I98,'CASA SONHAR'!I98,'Q. PROF.'!I98,PSICOSSOCIAL!I98,PEC!I98)</f>
        <v>0</v>
      </c>
      <c r="J98" s="37">
        <f>SUM(EDITAIS!J98,'CASA SONHAR'!J98,'Q. PROF.'!J98,PSICOSSOCIAL!J98,PEC!J98)</f>
        <v>350</v>
      </c>
      <c r="K98" s="37">
        <f>SUM(EDITAIS!K98,'CASA SONHAR'!K98,'Q. PROF.'!K98,PSICOSSOCIAL!K98,PEC!K98)</f>
        <v>350</v>
      </c>
      <c r="L98" s="37">
        <f>SUM(EDITAIS!L98,'CASA SONHAR'!L98,'Q. PROF.'!L98,PSICOSSOCIAL!L98,PEC!L98)</f>
        <v>350</v>
      </c>
      <c r="M98" s="37">
        <f>SUM(EDITAIS!M98,'CASA SONHAR'!M98,'Q. PROF.'!M98,PSICOSSOCIAL!M98,PEC!M98)</f>
        <v>1350</v>
      </c>
      <c r="N98" s="37">
        <f>SUM(EDITAIS!N98,'CASA SONHAR'!N98,'Q. PROF.'!N98,PSICOSSOCIAL!N98,PEC!N98)</f>
        <v>350</v>
      </c>
      <c r="O98" s="5">
        <f t="shared" si="20"/>
        <v>3350</v>
      </c>
    </row>
    <row r="99" spans="2:15" s="9" customFormat="1" ht="19.5" x14ac:dyDescent="0.25">
      <c r="B99" s="15" t="s">
        <v>121</v>
      </c>
      <c r="C99" s="38">
        <f>SUM(C100:C104)</f>
        <v>0</v>
      </c>
      <c r="D99" s="38">
        <f t="shared" ref="D99:N99" si="21">SUM(D100:D104)</f>
        <v>0</v>
      </c>
      <c r="E99" s="38">
        <f t="shared" si="21"/>
        <v>0</v>
      </c>
      <c r="F99" s="38">
        <f t="shared" si="21"/>
        <v>0</v>
      </c>
      <c r="G99" s="38">
        <f t="shared" si="21"/>
        <v>0</v>
      </c>
      <c r="H99" s="38">
        <f t="shared" si="21"/>
        <v>0</v>
      </c>
      <c r="I99" s="38">
        <f t="shared" si="21"/>
        <v>0</v>
      </c>
      <c r="J99" s="38">
        <f t="shared" si="21"/>
        <v>0</v>
      </c>
      <c r="K99" s="38">
        <f t="shared" si="21"/>
        <v>0</v>
      </c>
      <c r="L99" s="38">
        <f t="shared" si="21"/>
        <v>0</v>
      </c>
      <c r="M99" s="38">
        <f t="shared" si="21"/>
        <v>0</v>
      </c>
      <c r="N99" s="38">
        <f t="shared" si="21"/>
        <v>0</v>
      </c>
      <c r="O99" s="7">
        <f>SUM(C99:N99)</f>
        <v>0</v>
      </c>
    </row>
    <row r="100" spans="2:15" s="9" customFormat="1" ht="15.75" x14ac:dyDescent="0.25">
      <c r="B100" s="36" t="s">
        <v>122</v>
      </c>
      <c r="C100" s="37">
        <f>SUM(EDITAIS!C100,'CASA SONHAR'!C100,'Q. PROF.'!C100,PSICOSSOCIAL!C100,PEC!C100)</f>
        <v>0</v>
      </c>
      <c r="D100" s="37">
        <f>SUM(EDITAIS!D100,'CASA SONHAR'!D100,'Q. PROF.'!D100,PSICOSSOCIAL!D100,PEC!D100)</f>
        <v>0</v>
      </c>
      <c r="E100" s="37">
        <f>SUM(EDITAIS!E100,'CASA SONHAR'!E100,'Q. PROF.'!E100,PSICOSSOCIAL!E100,PEC!E100)</f>
        <v>0</v>
      </c>
      <c r="F100" s="37">
        <f>SUM(EDITAIS!F100,'CASA SONHAR'!F100,'Q. PROF.'!F100,PSICOSSOCIAL!F100,PEC!F100)</f>
        <v>0</v>
      </c>
      <c r="G100" s="37">
        <f>SUM(EDITAIS!G100,'CASA SONHAR'!G100,'Q. PROF.'!G100,PSICOSSOCIAL!G100,PEC!G100)</f>
        <v>0</v>
      </c>
      <c r="H100" s="37">
        <f>SUM(EDITAIS!H100,'CASA SONHAR'!H100,'Q. PROF.'!H100,PSICOSSOCIAL!H100,PEC!H100)</f>
        <v>0</v>
      </c>
      <c r="I100" s="37">
        <f>SUM(EDITAIS!I100,'CASA SONHAR'!I100,'Q. PROF.'!I100,PSICOSSOCIAL!I100,PEC!I100)</f>
        <v>0</v>
      </c>
      <c r="J100" s="37">
        <f>SUM(EDITAIS!J100,'CASA SONHAR'!J100,'Q. PROF.'!J100,PSICOSSOCIAL!J100,PEC!J100)</f>
        <v>0</v>
      </c>
      <c r="K100" s="37">
        <f>SUM(EDITAIS!K100,'CASA SONHAR'!K100,'Q. PROF.'!K100,PSICOSSOCIAL!K100,PEC!K100)</f>
        <v>0</v>
      </c>
      <c r="L100" s="37">
        <f>SUM(EDITAIS!L100,'CASA SONHAR'!L100,'Q. PROF.'!L100,PSICOSSOCIAL!L100,PEC!L100)</f>
        <v>0</v>
      </c>
      <c r="M100" s="37">
        <f>SUM(EDITAIS!M100,'CASA SONHAR'!M100,'Q. PROF.'!M100,PSICOSSOCIAL!M100,PEC!M100)</f>
        <v>0</v>
      </c>
      <c r="N100" s="37">
        <f>SUM(EDITAIS!N100,'CASA SONHAR'!N100,'Q. PROF.'!N100,PSICOSSOCIAL!N100,PEC!N100)</f>
        <v>0</v>
      </c>
      <c r="O100" s="5">
        <f t="shared" si="20"/>
        <v>0</v>
      </c>
    </row>
    <row r="101" spans="2:15" s="9" customFormat="1" ht="15.75" x14ac:dyDescent="0.25">
      <c r="B101" s="36" t="s">
        <v>123</v>
      </c>
      <c r="C101" s="37">
        <f>SUM(EDITAIS!C101,'CASA SONHAR'!C101,'Q. PROF.'!C101,PSICOSSOCIAL!C101,PEC!C101)</f>
        <v>0</v>
      </c>
      <c r="D101" s="37">
        <f>SUM(EDITAIS!D101,'CASA SONHAR'!D101,'Q. PROF.'!D101,PSICOSSOCIAL!D101,PEC!D101)</f>
        <v>0</v>
      </c>
      <c r="E101" s="37">
        <f>SUM(EDITAIS!E101,'CASA SONHAR'!E101,'Q. PROF.'!E101,PSICOSSOCIAL!E101,PEC!E101)</f>
        <v>0</v>
      </c>
      <c r="F101" s="37">
        <f>SUM(EDITAIS!F101,'CASA SONHAR'!F101,'Q. PROF.'!F101,PSICOSSOCIAL!F101,PEC!F101)</f>
        <v>0</v>
      </c>
      <c r="G101" s="37">
        <f>SUM(EDITAIS!G101,'CASA SONHAR'!G101,'Q. PROF.'!G101,PSICOSSOCIAL!G101,PEC!G101)</f>
        <v>0</v>
      </c>
      <c r="H101" s="37">
        <f>SUM(EDITAIS!H101,'CASA SONHAR'!H101,'Q. PROF.'!H101,PSICOSSOCIAL!H101,PEC!H101)</f>
        <v>0</v>
      </c>
      <c r="I101" s="37">
        <f>SUM(EDITAIS!I101,'CASA SONHAR'!I101,'Q. PROF.'!I101,PSICOSSOCIAL!I101,PEC!I101)</f>
        <v>0</v>
      </c>
      <c r="J101" s="37">
        <f>SUM(EDITAIS!J101,'CASA SONHAR'!J101,'Q. PROF.'!J101,PSICOSSOCIAL!J101,PEC!J101)</f>
        <v>0</v>
      </c>
      <c r="K101" s="37">
        <f>SUM(EDITAIS!K101,'CASA SONHAR'!K101,'Q. PROF.'!K101,PSICOSSOCIAL!K101,PEC!K101)</f>
        <v>0</v>
      </c>
      <c r="L101" s="37">
        <f>SUM(EDITAIS!L101,'CASA SONHAR'!L101,'Q. PROF.'!L101,PSICOSSOCIAL!L101,PEC!L101)</f>
        <v>0</v>
      </c>
      <c r="M101" s="37">
        <f>SUM(EDITAIS!M101,'CASA SONHAR'!M101,'Q. PROF.'!M101,PSICOSSOCIAL!M101,PEC!M101)</f>
        <v>0</v>
      </c>
      <c r="N101" s="37">
        <f>SUM(EDITAIS!N101,'CASA SONHAR'!N101,'Q. PROF.'!N101,PSICOSSOCIAL!N101,PEC!N101)</f>
        <v>0</v>
      </c>
      <c r="O101" s="5">
        <f t="shared" si="20"/>
        <v>0</v>
      </c>
    </row>
    <row r="102" spans="2:15" s="9" customFormat="1" ht="15.75" x14ac:dyDescent="0.25">
      <c r="B102" s="36" t="s">
        <v>124</v>
      </c>
      <c r="C102" s="37">
        <f>SUM(EDITAIS!C102,'CASA SONHAR'!C102,'Q. PROF.'!C102,PSICOSSOCIAL!C102,PEC!C102)</f>
        <v>0</v>
      </c>
      <c r="D102" s="37">
        <f>SUM(EDITAIS!D102,'CASA SONHAR'!D102,'Q. PROF.'!D102,PSICOSSOCIAL!D102,PEC!D102)</f>
        <v>0</v>
      </c>
      <c r="E102" s="37">
        <f>SUM(EDITAIS!E102,'CASA SONHAR'!E102,'Q. PROF.'!E102,PSICOSSOCIAL!E102,PEC!E102)</f>
        <v>0</v>
      </c>
      <c r="F102" s="37">
        <f>SUM(EDITAIS!F102,'CASA SONHAR'!F102,'Q. PROF.'!F102,PSICOSSOCIAL!F102,PEC!F102)</f>
        <v>0</v>
      </c>
      <c r="G102" s="37">
        <f>SUM(EDITAIS!G102,'CASA SONHAR'!G102,'Q. PROF.'!G102,PSICOSSOCIAL!G102,PEC!G102)</f>
        <v>0</v>
      </c>
      <c r="H102" s="37">
        <f>SUM(EDITAIS!H102,'CASA SONHAR'!H102,'Q. PROF.'!H102,PSICOSSOCIAL!H102,PEC!H102)</f>
        <v>0</v>
      </c>
      <c r="I102" s="37">
        <f>SUM(EDITAIS!I102,'CASA SONHAR'!I102,'Q. PROF.'!I102,PSICOSSOCIAL!I102,PEC!I102)</f>
        <v>0</v>
      </c>
      <c r="J102" s="37">
        <f>SUM(EDITAIS!J102,'CASA SONHAR'!J102,'Q. PROF.'!J102,PSICOSSOCIAL!J102,PEC!J102)</f>
        <v>0</v>
      </c>
      <c r="K102" s="37">
        <f>SUM(EDITAIS!K102,'CASA SONHAR'!K102,'Q. PROF.'!K102,PSICOSSOCIAL!K102,PEC!K102)</f>
        <v>0</v>
      </c>
      <c r="L102" s="37">
        <f>SUM(EDITAIS!L102,'CASA SONHAR'!L102,'Q. PROF.'!L102,PSICOSSOCIAL!L102,PEC!L102)</f>
        <v>0</v>
      </c>
      <c r="M102" s="37">
        <f>SUM(EDITAIS!M102,'CASA SONHAR'!M102,'Q. PROF.'!M102,PSICOSSOCIAL!M102,PEC!M102)</f>
        <v>0</v>
      </c>
      <c r="N102" s="37">
        <f>SUM(EDITAIS!N102,'CASA SONHAR'!N102,'Q. PROF.'!N102,PSICOSSOCIAL!N102,PEC!N102)</f>
        <v>0</v>
      </c>
      <c r="O102" s="5">
        <f t="shared" si="20"/>
        <v>0</v>
      </c>
    </row>
    <row r="103" spans="2:15" s="9" customFormat="1" ht="15.75" x14ac:dyDescent="0.25">
      <c r="B103" s="12" t="s">
        <v>125</v>
      </c>
      <c r="C103" s="37">
        <f>SUM(EDITAIS!C103,'CASA SONHAR'!C103,'Q. PROF.'!C103,PSICOSSOCIAL!C103,PEC!C103)</f>
        <v>0</v>
      </c>
      <c r="D103" s="37">
        <f>SUM(EDITAIS!D103,'CASA SONHAR'!D103,'Q. PROF.'!D103,PSICOSSOCIAL!D103,PEC!D103)</f>
        <v>0</v>
      </c>
      <c r="E103" s="37">
        <f>SUM(EDITAIS!E103,'CASA SONHAR'!E103,'Q. PROF.'!E103,PSICOSSOCIAL!E103,PEC!E103)</f>
        <v>0</v>
      </c>
      <c r="F103" s="37">
        <f>SUM(EDITAIS!F103,'CASA SONHAR'!F103,'Q. PROF.'!F103,PSICOSSOCIAL!F103,PEC!F103)</f>
        <v>0</v>
      </c>
      <c r="G103" s="37">
        <f>SUM(EDITAIS!G103,'CASA SONHAR'!G103,'Q. PROF.'!G103,PSICOSSOCIAL!G103,PEC!G103)</f>
        <v>0</v>
      </c>
      <c r="H103" s="37">
        <f>SUM(EDITAIS!H103,'CASA SONHAR'!H103,'Q. PROF.'!H103,PSICOSSOCIAL!H103,PEC!H103)</f>
        <v>0</v>
      </c>
      <c r="I103" s="37">
        <f>SUM(EDITAIS!I103,'CASA SONHAR'!I103,'Q. PROF.'!I103,PSICOSSOCIAL!I103,PEC!I103)</f>
        <v>0</v>
      </c>
      <c r="J103" s="37">
        <f>SUM(EDITAIS!J103,'CASA SONHAR'!J103,'Q. PROF.'!J103,PSICOSSOCIAL!J103,PEC!J103)</f>
        <v>0</v>
      </c>
      <c r="K103" s="37">
        <f>SUM(EDITAIS!K103,'CASA SONHAR'!K103,'Q. PROF.'!K103,PSICOSSOCIAL!K103,PEC!K103)</f>
        <v>0</v>
      </c>
      <c r="L103" s="37">
        <f>SUM(EDITAIS!L103,'CASA SONHAR'!L103,'Q. PROF.'!L103,PSICOSSOCIAL!L103,PEC!L103)</f>
        <v>0</v>
      </c>
      <c r="M103" s="37">
        <f>SUM(EDITAIS!M103,'CASA SONHAR'!M103,'Q. PROF.'!M103,PSICOSSOCIAL!M103,PEC!M103)</f>
        <v>0</v>
      </c>
      <c r="N103" s="37">
        <f>SUM(EDITAIS!N103,'CASA SONHAR'!N103,'Q. PROF.'!N103,PSICOSSOCIAL!N103,PEC!N103)</f>
        <v>0</v>
      </c>
      <c r="O103" s="5">
        <f t="shared" si="20"/>
        <v>0</v>
      </c>
    </row>
    <row r="104" spans="2:15" s="9" customFormat="1" ht="15.75" x14ac:dyDescent="0.25">
      <c r="B104" s="12" t="s">
        <v>126</v>
      </c>
      <c r="C104" s="37">
        <f>SUM(EDITAIS!C104,'CASA SONHAR'!C104,'Q. PROF.'!C104,PSICOSSOCIAL!C104,PEC!C104)</f>
        <v>0</v>
      </c>
      <c r="D104" s="37">
        <f>SUM(EDITAIS!D104,'CASA SONHAR'!D104,'Q. PROF.'!D104,PSICOSSOCIAL!D104,PEC!D104)</f>
        <v>0</v>
      </c>
      <c r="E104" s="37">
        <f>SUM(EDITAIS!E104,'CASA SONHAR'!E104,'Q. PROF.'!E104,PSICOSSOCIAL!E104,PEC!E104)</f>
        <v>0</v>
      </c>
      <c r="F104" s="37">
        <f>SUM(EDITAIS!F104,'CASA SONHAR'!F104,'Q. PROF.'!F104,PSICOSSOCIAL!F104,PEC!F104)</f>
        <v>0</v>
      </c>
      <c r="G104" s="37">
        <f>SUM(EDITAIS!G104,'CASA SONHAR'!G104,'Q. PROF.'!G104,PSICOSSOCIAL!G104,PEC!G104)</f>
        <v>0</v>
      </c>
      <c r="H104" s="37">
        <f>SUM(EDITAIS!H104,'CASA SONHAR'!H104,'Q. PROF.'!H104,PSICOSSOCIAL!H104,PEC!H104)</f>
        <v>0</v>
      </c>
      <c r="I104" s="37">
        <f>SUM(EDITAIS!I104,'CASA SONHAR'!I104,'Q. PROF.'!I104,PSICOSSOCIAL!I104,PEC!I104)</f>
        <v>0</v>
      </c>
      <c r="J104" s="37">
        <f>SUM(EDITAIS!J104,'CASA SONHAR'!J104,'Q. PROF.'!J104,PSICOSSOCIAL!J104,PEC!J104)</f>
        <v>0</v>
      </c>
      <c r="K104" s="37">
        <f>SUM(EDITAIS!K104,'CASA SONHAR'!K104,'Q. PROF.'!K104,PSICOSSOCIAL!K104,PEC!K104)</f>
        <v>0</v>
      </c>
      <c r="L104" s="37">
        <f>SUM(EDITAIS!L104,'CASA SONHAR'!L104,'Q. PROF.'!L104,PSICOSSOCIAL!L104,PEC!L104)</f>
        <v>0</v>
      </c>
      <c r="M104" s="37">
        <f>SUM(EDITAIS!M104,'CASA SONHAR'!M104,'Q. PROF.'!M104,PSICOSSOCIAL!M104,PEC!M104)</f>
        <v>0</v>
      </c>
      <c r="N104" s="37">
        <f>SUM(EDITAIS!N104,'CASA SONHAR'!N104,'Q. PROF.'!N104,PSICOSSOCIAL!N104,PEC!N104)</f>
        <v>0</v>
      </c>
      <c r="O104" s="5">
        <f t="shared" si="20"/>
        <v>0</v>
      </c>
    </row>
    <row r="105" spans="2:15" s="9" customFormat="1" ht="19.5" x14ac:dyDescent="0.25">
      <c r="B105" s="15" t="s">
        <v>127</v>
      </c>
      <c r="C105" s="38">
        <f>SUM(C106:C115)</f>
        <v>0</v>
      </c>
      <c r="D105" s="38">
        <f t="shared" ref="D105:N105" si="22">SUM(D106:D115)</f>
        <v>0</v>
      </c>
      <c r="E105" s="38">
        <f t="shared" si="22"/>
        <v>0</v>
      </c>
      <c r="F105" s="38">
        <f t="shared" si="22"/>
        <v>0</v>
      </c>
      <c r="G105" s="38">
        <f t="shared" si="22"/>
        <v>0</v>
      </c>
      <c r="H105" s="38">
        <f t="shared" si="22"/>
        <v>0</v>
      </c>
      <c r="I105" s="38">
        <f t="shared" si="22"/>
        <v>0</v>
      </c>
      <c r="J105" s="38">
        <f t="shared" si="22"/>
        <v>0</v>
      </c>
      <c r="K105" s="38">
        <f t="shared" si="22"/>
        <v>0</v>
      </c>
      <c r="L105" s="38">
        <f t="shared" si="22"/>
        <v>0</v>
      </c>
      <c r="M105" s="38">
        <f t="shared" si="22"/>
        <v>0</v>
      </c>
      <c r="N105" s="38">
        <f t="shared" si="22"/>
        <v>0</v>
      </c>
      <c r="O105" s="7">
        <f t="shared" si="20"/>
        <v>0</v>
      </c>
    </row>
    <row r="106" spans="2:15" s="9" customFormat="1" ht="15.75" x14ac:dyDescent="0.25">
      <c r="B106" s="12" t="s">
        <v>128</v>
      </c>
      <c r="C106" s="37">
        <f>SUM(EDITAIS!C106,'CASA SONHAR'!C106,'Q. PROF.'!C106,PSICOSSOCIAL!C106,PEC!C106)</f>
        <v>0</v>
      </c>
      <c r="D106" s="37">
        <f>SUM(EDITAIS!D106,'CASA SONHAR'!D106,'Q. PROF.'!D106,PSICOSSOCIAL!D106,PEC!D106)</f>
        <v>0</v>
      </c>
      <c r="E106" s="37">
        <f>SUM(EDITAIS!E106,'CASA SONHAR'!E106,'Q. PROF.'!E106,PSICOSSOCIAL!E106,PEC!E106)</f>
        <v>0</v>
      </c>
      <c r="F106" s="37">
        <f>SUM(EDITAIS!F106,'CASA SONHAR'!F106,'Q. PROF.'!F106,PSICOSSOCIAL!F106,PEC!F106)</f>
        <v>0</v>
      </c>
      <c r="G106" s="37">
        <f>SUM(EDITAIS!G106,'CASA SONHAR'!G106,'Q. PROF.'!G106,PSICOSSOCIAL!G106,PEC!G106)</f>
        <v>0</v>
      </c>
      <c r="H106" s="37">
        <f>SUM(EDITAIS!H106,'CASA SONHAR'!H106,'Q. PROF.'!H106,PSICOSSOCIAL!H106,PEC!H106)</f>
        <v>0</v>
      </c>
      <c r="I106" s="37">
        <f>SUM(EDITAIS!I106,'CASA SONHAR'!I106,'Q. PROF.'!I106,PSICOSSOCIAL!I106,PEC!I106)</f>
        <v>0</v>
      </c>
      <c r="J106" s="37">
        <f>SUM(EDITAIS!J106,'CASA SONHAR'!J106,'Q. PROF.'!J106,PSICOSSOCIAL!J106,PEC!J106)</f>
        <v>0</v>
      </c>
      <c r="K106" s="37">
        <f>SUM(EDITAIS!K106,'CASA SONHAR'!K106,'Q. PROF.'!K106,PSICOSSOCIAL!K106,PEC!K106)</f>
        <v>0</v>
      </c>
      <c r="L106" s="37">
        <f>SUM(EDITAIS!L106,'CASA SONHAR'!L106,'Q. PROF.'!L106,PSICOSSOCIAL!L106,PEC!L106)</f>
        <v>0</v>
      </c>
      <c r="M106" s="37">
        <f>SUM(EDITAIS!M106,'CASA SONHAR'!M106,'Q. PROF.'!M106,PSICOSSOCIAL!M106,PEC!M106)</f>
        <v>0</v>
      </c>
      <c r="N106" s="37">
        <f>SUM(EDITAIS!N106,'CASA SONHAR'!N106,'Q. PROF.'!N106,PSICOSSOCIAL!N106,PEC!N106)</f>
        <v>0</v>
      </c>
      <c r="O106" s="5">
        <f t="shared" si="20"/>
        <v>0</v>
      </c>
    </row>
    <row r="107" spans="2:15" s="9" customFormat="1" ht="15.75" x14ac:dyDescent="0.25">
      <c r="B107" s="12" t="s">
        <v>129</v>
      </c>
      <c r="C107" s="37">
        <f>SUM(EDITAIS!C107,'CASA SONHAR'!C107,'Q. PROF.'!C107,PSICOSSOCIAL!C107,PEC!C107)</f>
        <v>0</v>
      </c>
      <c r="D107" s="37">
        <f>SUM(EDITAIS!D107,'CASA SONHAR'!D107,'Q. PROF.'!D107,PSICOSSOCIAL!D107,PEC!D107)</f>
        <v>0</v>
      </c>
      <c r="E107" s="37">
        <f>SUM(EDITAIS!E107,'CASA SONHAR'!E107,'Q. PROF.'!E107,PSICOSSOCIAL!E107,PEC!E107)</f>
        <v>0</v>
      </c>
      <c r="F107" s="37">
        <f>SUM(EDITAIS!F107,'CASA SONHAR'!F107,'Q. PROF.'!F107,PSICOSSOCIAL!F107,PEC!F107)</f>
        <v>0</v>
      </c>
      <c r="G107" s="37">
        <f>SUM(EDITAIS!G107,'CASA SONHAR'!G107,'Q. PROF.'!G107,PSICOSSOCIAL!G107,PEC!G107)</f>
        <v>0</v>
      </c>
      <c r="H107" s="37">
        <f>SUM(EDITAIS!H107,'CASA SONHAR'!H107,'Q. PROF.'!H107,PSICOSSOCIAL!H107,PEC!H107)</f>
        <v>0</v>
      </c>
      <c r="I107" s="37">
        <f>SUM(EDITAIS!I107,'CASA SONHAR'!I107,'Q. PROF.'!I107,PSICOSSOCIAL!I107,PEC!I107)</f>
        <v>0</v>
      </c>
      <c r="J107" s="37">
        <f>SUM(EDITAIS!J107,'CASA SONHAR'!J107,'Q. PROF.'!J107,PSICOSSOCIAL!J107,PEC!J107)</f>
        <v>0</v>
      </c>
      <c r="K107" s="37">
        <f>SUM(EDITAIS!K107,'CASA SONHAR'!K107,'Q. PROF.'!K107,PSICOSSOCIAL!K107,PEC!K107)</f>
        <v>0</v>
      </c>
      <c r="L107" s="37">
        <f>SUM(EDITAIS!L107,'CASA SONHAR'!L107,'Q. PROF.'!L107,PSICOSSOCIAL!L107,PEC!L107)</f>
        <v>0</v>
      </c>
      <c r="M107" s="37">
        <f>SUM(EDITAIS!M107,'CASA SONHAR'!M107,'Q. PROF.'!M107,PSICOSSOCIAL!M107,PEC!M107)</f>
        <v>0</v>
      </c>
      <c r="N107" s="37">
        <f>SUM(EDITAIS!N107,'CASA SONHAR'!N107,'Q. PROF.'!N107,PSICOSSOCIAL!N107,PEC!N107)</f>
        <v>0</v>
      </c>
      <c r="O107" s="5">
        <f t="shared" si="20"/>
        <v>0</v>
      </c>
    </row>
    <row r="108" spans="2:15" s="9" customFormat="1" ht="15.75" x14ac:dyDescent="0.25">
      <c r="B108" s="12" t="s">
        <v>130</v>
      </c>
      <c r="C108" s="37">
        <f>SUM(EDITAIS!C108,'CASA SONHAR'!C108,'Q. PROF.'!C108,PSICOSSOCIAL!C108,PEC!C108)</f>
        <v>0</v>
      </c>
      <c r="D108" s="37">
        <f>SUM(EDITAIS!D108,'CASA SONHAR'!D108,'Q. PROF.'!D108,PSICOSSOCIAL!D108,PEC!D108)</f>
        <v>0</v>
      </c>
      <c r="E108" s="37">
        <f>SUM(EDITAIS!E108,'CASA SONHAR'!E108,'Q. PROF.'!E108,PSICOSSOCIAL!E108,PEC!E108)</f>
        <v>0</v>
      </c>
      <c r="F108" s="37">
        <f>SUM(EDITAIS!F108,'CASA SONHAR'!F108,'Q. PROF.'!F108,PSICOSSOCIAL!F108,PEC!F108)</f>
        <v>0</v>
      </c>
      <c r="G108" s="37">
        <f>SUM(EDITAIS!G108,'CASA SONHAR'!G108,'Q. PROF.'!G108,PSICOSSOCIAL!G108,PEC!G108)</f>
        <v>0</v>
      </c>
      <c r="H108" s="37">
        <f>SUM(EDITAIS!H108,'CASA SONHAR'!H108,'Q. PROF.'!H108,PSICOSSOCIAL!H108,PEC!H108)</f>
        <v>0</v>
      </c>
      <c r="I108" s="37">
        <f>SUM(EDITAIS!I108,'CASA SONHAR'!I108,'Q. PROF.'!I108,PSICOSSOCIAL!I108,PEC!I108)</f>
        <v>0</v>
      </c>
      <c r="J108" s="37">
        <f>SUM(EDITAIS!J108,'CASA SONHAR'!J108,'Q. PROF.'!J108,PSICOSSOCIAL!J108,PEC!J108)</f>
        <v>0</v>
      </c>
      <c r="K108" s="37">
        <f>SUM(EDITAIS!K108,'CASA SONHAR'!K108,'Q. PROF.'!K108,PSICOSSOCIAL!K108,PEC!K108)</f>
        <v>0</v>
      </c>
      <c r="L108" s="37">
        <f>SUM(EDITAIS!L108,'CASA SONHAR'!L108,'Q. PROF.'!L108,PSICOSSOCIAL!L108,PEC!L108)</f>
        <v>0</v>
      </c>
      <c r="M108" s="37">
        <f>SUM(EDITAIS!M108,'CASA SONHAR'!M108,'Q. PROF.'!M108,PSICOSSOCIAL!M108,PEC!M108)</f>
        <v>0</v>
      </c>
      <c r="N108" s="37">
        <f>SUM(EDITAIS!N108,'CASA SONHAR'!N108,'Q. PROF.'!N108,PSICOSSOCIAL!N108,PEC!N108)</f>
        <v>0</v>
      </c>
      <c r="O108" s="5">
        <f t="shared" si="20"/>
        <v>0</v>
      </c>
    </row>
    <row r="109" spans="2:15" s="9" customFormat="1" ht="15.75" x14ac:dyDescent="0.25">
      <c r="B109" s="12" t="s">
        <v>131</v>
      </c>
      <c r="C109" s="37">
        <f>SUM(EDITAIS!C109,'CASA SONHAR'!C109,'Q. PROF.'!C109,PSICOSSOCIAL!C109,PEC!C109)</f>
        <v>0</v>
      </c>
      <c r="D109" s="37">
        <f>SUM(EDITAIS!D109,'CASA SONHAR'!D109,'Q. PROF.'!D109,PSICOSSOCIAL!D109,PEC!D109)</f>
        <v>0</v>
      </c>
      <c r="E109" s="37">
        <f>SUM(EDITAIS!E109,'CASA SONHAR'!E109,'Q. PROF.'!E109,PSICOSSOCIAL!E109,PEC!E109)</f>
        <v>0</v>
      </c>
      <c r="F109" s="37">
        <f>SUM(EDITAIS!F109,'CASA SONHAR'!F109,'Q. PROF.'!F109,PSICOSSOCIAL!F109,PEC!F109)</f>
        <v>0</v>
      </c>
      <c r="G109" s="37">
        <f>SUM(EDITAIS!G109,'CASA SONHAR'!G109,'Q. PROF.'!G109,PSICOSSOCIAL!G109,PEC!G109)</f>
        <v>0</v>
      </c>
      <c r="H109" s="37">
        <f>SUM(EDITAIS!H109,'CASA SONHAR'!H109,'Q. PROF.'!H109,PSICOSSOCIAL!H109,PEC!H109)</f>
        <v>0</v>
      </c>
      <c r="I109" s="37">
        <f>SUM(EDITAIS!I109,'CASA SONHAR'!I109,'Q. PROF.'!I109,PSICOSSOCIAL!I109,PEC!I109)</f>
        <v>0</v>
      </c>
      <c r="J109" s="37">
        <f>SUM(EDITAIS!J109,'CASA SONHAR'!J109,'Q. PROF.'!J109,PSICOSSOCIAL!J109,PEC!J109)</f>
        <v>0</v>
      </c>
      <c r="K109" s="37">
        <f>SUM(EDITAIS!K109,'CASA SONHAR'!K109,'Q. PROF.'!K109,PSICOSSOCIAL!K109,PEC!K109)</f>
        <v>0</v>
      </c>
      <c r="L109" s="37">
        <f>SUM(EDITAIS!L109,'CASA SONHAR'!L109,'Q. PROF.'!L109,PSICOSSOCIAL!L109,PEC!L109)</f>
        <v>0</v>
      </c>
      <c r="M109" s="37">
        <f>SUM(EDITAIS!M109,'CASA SONHAR'!M109,'Q. PROF.'!M109,PSICOSSOCIAL!M109,PEC!M109)</f>
        <v>0</v>
      </c>
      <c r="N109" s="37">
        <f>SUM(EDITAIS!N109,'CASA SONHAR'!N109,'Q. PROF.'!N109,PSICOSSOCIAL!N109,PEC!N109)</f>
        <v>0</v>
      </c>
      <c r="O109" s="5">
        <f t="shared" si="20"/>
        <v>0</v>
      </c>
    </row>
    <row r="110" spans="2:15" s="9" customFormat="1" ht="15.75" x14ac:dyDescent="0.25">
      <c r="B110" s="12" t="s">
        <v>132</v>
      </c>
      <c r="C110" s="37">
        <f>SUM(EDITAIS!C110,'CASA SONHAR'!C110,'Q. PROF.'!C110,PSICOSSOCIAL!C110,PEC!C110)</f>
        <v>0</v>
      </c>
      <c r="D110" s="37">
        <f>SUM(EDITAIS!D110,'CASA SONHAR'!D110,'Q. PROF.'!D110,PSICOSSOCIAL!D110,PEC!D110)</f>
        <v>0</v>
      </c>
      <c r="E110" s="37">
        <f>SUM(EDITAIS!E110,'CASA SONHAR'!E110,'Q. PROF.'!E110,PSICOSSOCIAL!E110,PEC!E110)</f>
        <v>0</v>
      </c>
      <c r="F110" s="37">
        <f>SUM(EDITAIS!F110,'CASA SONHAR'!F110,'Q. PROF.'!F110,PSICOSSOCIAL!F110,PEC!F110)</f>
        <v>0</v>
      </c>
      <c r="G110" s="37">
        <f>SUM(EDITAIS!G110,'CASA SONHAR'!G110,'Q. PROF.'!G110,PSICOSSOCIAL!G110,PEC!G110)</f>
        <v>0</v>
      </c>
      <c r="H110" s="37">
        <f>SUM(EDITAIS!H110,'CASA SONHAR'!H110,'Q. PROF.'!H110,PSICOSSOCIAL!H110,PEC!H110)</f>
        <v>0</v>
      </c>
      <c r="I110" s="37">
        <f>SUM(EDITAIS!I110,'CASA SONHAR'!I110,'Q. PROF.'!I110,PSICOSSOCIAL!I110,PEC!I110)</f>
        <v>0</v>
      </c>
      <c r="J110" s="37">
        <f>SUM(EDITAIS!J110,'CASA SONHAR'!J110,'Q. PROF.'!J110,PSICOSSOCIAL!J110,PEC!J110)</f>
        <v>0</v>
      </c>
      <c r="K110" s="37">
        <f>SUM(EDITAIS!K110,'CASA SONHAR'!K110,'Q. PROF.'!K110,PSICOSSOCIAL!K110,PEC!K110)</f>
        <v>0</v>
      </c>
      <c r="L110" s="37">
        <f>SUM(EDITAIS!L110,'CASA SONHAR'!L110,'Q. PROF.'!L110,PSICOSSOCIAL!L110,PEC!L110)</f>
        <v>0</v>
      </c>
      <c r="M110" s="37">
        <f>SUM(EDITAIS!M110,'CASA SONHAR'!M110,'Q. PROF.'!M110,PSICOSSOCIAL!M110,PEC!M110)</f>
        <v>0</v>
      </c>
      <c r="N110" s="37">
        <f>SUM(EDITAIS!N110,'CASA SONHAR'!N110,'Q. PROF.'!N110,PSICOSSOCIAL!N110,PEC!N110)</f>
        <v>0</v>
      </c>
      <c r="O110" s="5">
        <f t="shared" si="20"/>
        <v>0</v>
      </c>
    </row>
    <row r="111" spans="2:15" s="9" customFormat="1" ht="15.75" x14ac:dyDescent="0.25">
      <c r="B111" s="12" t="s">
        <v>133</v>
      </c>
      <c r="C111" s="37">
        <f>SUM(EDITAIS!C111,'CASA SONHAR'!C111,'Q. PROF.'!C111,PSICOSSOCIAL!C111,PEC!C111)</f>
        <v>0</v>
      </c>
      <c r="D111" s="37">
        <f>SUM(EDITAIS!D111,'CASA SONHAR'!D111,'Q. PROF.'!D111,PSICOSSOCIAL!D111,PEC!D111)</f>
        <v>0</v>
      </c>
      <c r="E111" s="37">
        <f>SUM(EDITAIS!E111,'CASA SONHAR'!E111,'Q. PROF.'!E111,PSICOSSOCIAL!E111,PEC!E111)</f>
        <v>0</v>
      </c>
      <c r="F111" s="37">
        <f>SUM(EDITAIS!F111,'CASA SONHAR'!F111,'Q. PROF.'!F111,PSICOSSOCIAL!F111,PEC!F111)</f>
        <v>0</v>
      </c>
      <c r="G111" s="37">
        <f>SUM(EDITAIS!G111,'CASA SONHAR'!G111,'Q. PROF.'!G111,PSICOSSOCIAL!G111,PEC!G111)</f>
        <v>0</v>
      </c>
      <c r="H111" s="37">
        <f>SUM(EDITAIS!H111,'CASA SONHAR'!H111,'Q. PROF.'!H111,PSICOSSOCIAL!H111,PEC!H111)</f>
        <v>0</v>
      </c>
      <c r="I111" s="37">
        <f>SUM(EDITAIS!I111,'CASA SONHAR'!I111,'Q. PROF.'!I111,PSICOSSOCIAL!I111,PEC!I111)</f>
        <v>0</v>
      </c>
      <c r="J111" s="37">
        <f>SUM(EDITAIS!J111,'CASA SONHAR'!J111,'Q. PROF.'!J111,PSICOSSOCIAL!J111,PEC!J111)</f>
        <v>0</v>
      </c>
      <c r="K111" s="37">
        <f>SUM(EDITAIS!K111,'CASA SONHAR'!K111,'Q. PROF.'!K111,PSICOSSOCIAL!K111,PEC!K111)</f>
        <v>0</v>
      </c>
      <c r="L111" s="37">
        <f>SUM(EDITAIS!L111,'CASA SONHAR'!L111,'Q. PROF.'!L111,PSICOSSOCIAL!L111,PEC!L111)</f>
        <v>0</v>
      </c>
      <c r="M111" s="37">
        <f>SUM(EDITAIS!M111,'CASA SONHAR'!M111,'Q. PROF.'!M111,PSICOSSOCIAL!M111,PEC!M111)</f>
        <v>0</v>
      </c>
      <c r="N111" s="37">
        <f>SUM(EDITAIS!N111,'CASA SONHAR'!N111,'Q. PROF.'!N111,PSICOSSOCIAL!N111,PEC!N111)</f>
        <v>0</v>
      </c>
      <c r="O111" s="5">
        <f t="shared" si="20"/>
        <v>0</v>
      </c>
    </row>
    <row r="112" spans="2:15" s="9" customFormat="1" ht="15.75" x14ac:dyDescent="0.25">
      <c r="B112" s="12" t="s">
        <v>134</v>
      </c>
      <c r="C112" s="37">
        <f>SUM(EDITAIS!C112,'CASA SONHAR'!C112,'Q. PROF.'!C112,PSICOSSOCIAL!C112,PEC!C112)</f>
        <v>0</v>
      </c>
      <c r="D112" s="37">
        <f>SUM(EDITAIS!D112,'CASA SONHAR'!D112,'Q. PROF.'!D112,PSICOSSOCIAL!D112,PEC!D112)</f>
        <v>0</v>
      </c>
      <c r="E112" s="37">
        <f>SUM(EDITAIS!E112,'CASA SONHAR'!E112,'Q. PROF.'!E112,PSICOSSOCIAL!E112,PEC!E112)</f>
        <v>0</v>
      </c>
      <c r="F112" s="37">
        <f>SUM(EDITAIS!F112,'CASA SONHAR'!F112,'Q. PROF.'!F112,PSICOSSOCIAL!F112,PEC!F112)</f>
        <v>0</v>
      </c>
      <c r="G112" s="37">
        <f>SUM(EDITAIS!G112,'CASA SONHAR'!G112,'Q. PROF.'!G112,PSICOSSOCIAL!G112,PEC!G112)</f>
        <v>0</v>
      </c>
      <c r="H112" s="37">
        <f>SUM(EDITAIS!H112,'CASA SONHAR'!H112,'Q. PROF.'!H112,PSICOSSOCIAL!H112,PEC!H112)</f>
        <v>0</v>
      </c>
      <c r="I112" s="37">
        <f>SUM(EDITAIS!I112,'CASA SONHAR'!I112,'Q. PROF.'!I112,PSICOSSOCIAL!I112,PEC!I112)</f>
        <v>0</v>
      </c>
      <c r="J112" s="37">
        <f>SUM(EDITAIS!J112,'CASA SONHAR'!J112,'Q. PROF.'!J112,PSICOSSOCIAL!J112,PEC!J112)</f>
        <v>0</v>
      </c>
      <c r="K112" s="37">
        <f>SUM(EDITAIS!K112,'CASA SONHAR'!K112,'Q. PROF.'!K112,PSICOSSOCIAL!K112,PEC!K112)</f>
        <v>0</v>
      </c>
      <c r="L112" s="37">
        <f>SUM(EDITAIS!L112,'CASA SONHAR'!L112,'Q. PROF.'!L112,PSICOSSOCIAL!L112,PEC!L112)</f>
        <v>0</v>
      </c>
      <c r="M112" s="37">
        <f>SUM(EDITAIS!M112,'CASA SONHAR'!M112,'Q. PROF.'!M112,PSICOSSOCIAL!M112,PEC!M112)</f>
        <v>0</v>
      </c>
      <c r="N112" s="37">
        <f>SUM(EDITAIS!N112,'CASA SONHAR'!N112,'Q. PROF.'!N112,PSICOSSOCIAL!N112,PEC!N112)</f>
        <v>0</v>
      </c>
      <c r="O112" s="5">
        <f t="shared" si="20"/>
        <v>0</v>
      </c>
    </row>
    <row r="113" spans="2:15" s="9" customFormat="1" ht="15.75" x14ac:dyDescent="0.25">
      <c r="B113" s="12" t="s">
        <v>135</v>
      </c>
      <c r="C113" s="37">
        <f>SUM(EDITAIS!C113,'CASA SONHAR'!C113,'Q. PROF.'!C113,PSICOSSOCIAL!C113,PEC!C113)</f>
        <v>0</v>
      </c>
      <c r="D113" s="37">
        <f>SUM(EDITAIS!D113,'CASA SONHAR'!D113,'Q. PROF.'!D113,PSICOSSOCIAL!D113,PEC!D113)</f>
        <v>0</v>
      </c>
      <c r="E113" s="37">
        <f>SUM(EDITAIS!E113,'CASA SONHAR'!E113,'Q. PROF.'!E113,PSICOSSOCIAL!E113,PEC!E113)</f>
        <v>0</v>
      </c>
      <c r="F113" s="37">
        <f>SUM(EDITAIS!F113,'CASA SONHAR'!F113,'Q. PROF.'!F113,PSICOSSOCIAL!F113,PEC!F113)</f>
        <v>0</v>
      </c>
      <c r="G113" s="37">
        <f>SUM(EDITAIS!G113,'CASA SONHAR'!G113,'Q. PROF.'!G113,PSICOSSOCIAL!G113,PEC!G113)</f>
        <v>0</v>
      </c>
      <c r="H113" s="37">
        <f>SUM(EDITAIS!H113,'CASA SONHAR'!H113,'Q. PROF.'!H113,PSICOSSOCIAL!H113,PEC!H113)</f>
        <v>0</v>
      </c>
      <c r="I113" s="37">
        <f>SUM(EDITAIS!I113,'CASA SONHAR'!I113,'Q. PROF.'!I113,PSICOSSOCIAL!I113,PEC!I113)</f>
        <v>0</v>
      </c>
      <c r="J113" s="37">
        <f>SUM(EDITAIS!J113,'CASA SONHAR'!J113,'Q. PROF.'!J113,PSICOSSOCIAL!J113,PEC!J113)</f>
        <v>0</v>
      </c>
      <c r="K113" s="37">
        <f>SUM(EDITAIS!K113,'CASA SONHAR'!K113,'Q. PROF.'!K113,PSICOSSOCIAL!K113,PEC!K113)</f>
        <v>0</v>
      </c>
      <c r="L113" s="37">
        <f>SUM(EDITAIS!L113,'CASA SONHAR'!L113,'Q. PROF.'!L113,PSICOSSOCIAL!L113,PEC!L113)</f>
        <v>0</v>
      </c>
      <c r="M113" s="37">
        <f>SUM(EDITAIS!M113,'CASA SONHAR'!M113,'Q. PROF.'!M113,PSICOSSOCIAL!M113,PEC!M113)</f>
        <v>0</v>
      </c>
      <c r="N113" s="37">
        <f>SUM(EDITAIS!N113,'CASA SONHAR'!N113,'Q. PROF.'!N113,PSICOSSOCIAL!N113,PEC!N113)</f>
        <v>0</v>
      </c>
      <c r="O113" s="5">
        <f t="shared" si="20"/>
        <v>0</v>
      </c>
    </row>
    <row r="114" spans="2:15" s="9" customFormat="1" ht="15.75" x14ac:dyDescent="0.25">
      <c r="B114" s="12" t="s">
        <v>136</v>
      </c>
      <c r="C114" s="37">
        <f>SUM(EDITAIS!C114,'CASA SONHAR'!C114,'Q. PROF.'!C114,PSICOSSOCIAL!C114,PEC!C114)</f>
        <v>0</v>
      </c>
      <c r="D114" s="37">
        <f>SUM(EDITAIS!D114,'CASA SONHAR'!D114,'Q. PROF.'!D114,PSICOSSOCIAL!D114,PEC!D114)</f>
        <v>0</v>
      </c>
      <c r="E114" s="37">
        <f>SUM(EDITAIS!E114,'CASA SONHAR'!E114,'Q. PROF.'!E114,PSICOSSOCIAL!E114,PEC!E114)</f>
        <v>0</v>
      </c>
      <c r="F114" s="37">
        <f>SUM(EDITAIS!F114,'CASA SONHAR'!F114,'Q. PROF.'!F114,PSICOSSOCIAL!F114,PEC!F114)</f>
        <v>0</v>
      </c>
      <c r="G114" s="37">
        <f>SUM(EDITAIS!G114,'CASA SONHAR'!G114,'Q. PROF.'!G114,PSICOSSOCIAL!G114,PEC!G114)</f>
        <v>0</v>
      </c>
      <c r="H114" s="37">
        <f>SUM(EDITAIS!H114,'CASA SONHAR'!H114,'Q. PROF.'!H114,PSICOSSOCIAL!H114,PEC!H114)</f>
        <v>0</v>
      </c>
      <c r="I114" s="37">
        <f>SUM(EDITAIS!I114,'CASA SONHAR'!I114,'Q. PROF.'!I114,PSICOSSOCIAL!I114,PEC!I114)</f>
        <v>0</v>
      </c>
      <c r="J114" s="37">
        <f>SUM(EDITAIS!J114,'CASA SONHAR'!J114,'Q. PROF.'!J114,PSICOSSOCIAL!J114,PEC!J114)</f>
        <v>0</v>
      </c>
      <c r="K114" s="37">
        <f>SUM(EDITAIS!K114,'CASA SONHAR'!K114,'Q. PROF.'!K114,PSICOSSOCIAL!K114,PEC!K114)</f>
        <v>0</v>
      </c>
      <c r="L114" s="37">
        <f>SUM(EDITAIS!L114,'CASA SONHAR'!L114,'Q. PROF.'!L114,PSICOSSOCIAL!L114,PEC!L114)</f>
        <v>0</v>
      </c>
      <c r="M114" s="37">
        <f>SUM(EDITAIS!M114,'CASA SONHAR'!M114,'Q. PROF.'!M114,PSICOSSOCIAL!M114,PEC!M114)</f>
        <v>0</v>
      </c>
      <c r="N114" s="37">
        <f>SUM(EDITAIS!N114,'CASA SONHAR'!N114,'Q. PROF.'!N114,PSICOSSOCIAL!N114,PEC!N114)</f>
        <v>0</v>
      </c>
      <c r="O114" s="5">
        <f t="shared" si="20"/>
        <v>0</v>
      </c>
    </row>
    <row r="115" spans="2:15" s="9" customFormat="1" ht="15.75" x14ac:dyDescent="0.25">
      <c r="B115" s="12" t="s">
        <v>137</v>
      </c>
      <c r="C115" s="37">
        <f>SUM(EDITAIS!C115,'CASA SONHAR'!C115,'Q. PROF.'!C115,PSICOSSOCIAL!C115,PEC!C115)</f>
        <v>0</v>
      </c>
      <c r="D115" s="37">
        <f>SUM(EDITAIS!D115,'CASA SONHAR'!D115,'Q. PROF.'!D115,PSICOSSOCIAL!D115,PEC!D115)</f>
        <v>0</v>
      </c>
      <c r="E115" s="37">
        <f>SUM(EDITAIS!E115,'CASA SONHAR'!E115,'Q. PROF.'!E115,PSICOSSOCIAL!E115,PEC!E115)</f>
        <v>0</v>
      </c>
      <c r="F115" s="37">
        <f>SUM(EDITAIS!F115,'CASA SONHAR'!F115,'Q. PROF.'!F115,PSICOSSOCIAL!F115,PEC!F115)</f>
        <v>0</v>
      </c>
      <c r="G115" s="37">
        <f>SUM(EDITAIS!G115,'CASA SONHAR'!G115,'Q. PROF.'!G115,PSICOSSOCIAL!G115,PEC!G115)</f>
        <v>0</v>
      </c>
      <c r="H115" s="37">
        <f>SUM(EDITAIS!H115,'CASA SONHAR'!H115,'Q. PROF.'!H115,PSICOSSOCIAL!H115,PEC!H115)</f>
        <v>0</v>
      </c>
      <c r="I115" s="37">
        <f>SUM(EDITAIS!I115,'CASA SONHAR'!I115,'Q. PROF.'!I115,PSICOSSOCIAL!I115,PEC!I115)</f>
        <v>0</v>
      </c>
      <c r="J115" s="37">
        <f>SUM(EDITAIS!J115,'CASA SONHAR'!J115,'Q. PROF.'!J115,PSICOSSOCIAL!J115,PEC!J115)</f>
        <v>0</v>
      </c>
      <c r="K115" s="37">
        <f>SUM(EDITAIS!K115,'CASA SONHAR'!K115,'Q. PROF.'!K115,PSICOSSOCIAL!K115,PEC!K115)</f>
        <v>0</v>
      </c>
      <c r="L115" s="37">
        <f>SUM(EDITAIS!L115,'CASA SONHAR'!L115,'Q. PROF.'!L115,PSICOSSOCIAL!L115,PEC!L115)</f>
        <v>0</v>
      </c>
      <c r="M115" s="37">
        <f>SUM(EDITAIS!M115,'CASA SONHAR'!M115,'Q. PROF.'!M115,PSICOSSOCIAL!M115,PEC!M115)</f>
        <v>0</v>
      </c>
      <c r="N115" s="37">
        <f>SUM(EDITAIS!N115,'CASA SONHAR'!N115,'Q. PROF.'!N115,PSICOSSOCIAL!N115,PEC!N115)</f>
        <v>0</v>
      </c>
      <c r="O115" s="5">
        <f t="shared" si="20"/>
        <v>0</v>
      </c>
    </row>
    <row r="116" spans="2:15" s="42" customFormat="1" ht="19.5" x14ac:dyDescent="0.4">
      <c r="B116" s="15" t="s">
        <v>138</v>
      </c>
      <c r="C116" s="45">
        <f>SUM(C117:C119)</f>
        <v>0</v>
      </c>
      <c r="D116" s="45">
        <f t="shared" ref="D116:N116" si="23">SUM(D117:D119)</f>
        <v>32000</v>
      </c>
      <c r="E116" s="45">
        <f t="shared" si="23"/>
        <v>0</v>
      </c>
      <c r="F116" s="45">
        <f t="shared" si="23"/>
        <v>0</v>
      </c>
      <c r="G116" s="45">
        <f t="shared" si="23"/>
        <v>0</v>
      </c>
      <c r="H116" s="45">
        <f t="shared" si="23"/>
        <v>0</v>
      </c>
      <c r="I116" s="45">
        <f t="shared" si="23"/>
        <v>0</v>
      </c>
      <c r="J116" s="45">
        <f t="shared" si="23"/>
        <v>0</v>
      </c>
      <c r="K116" s="45">
        <f t="shared" si="23"/>
        <v>0</v>
      </c>
      <c r="L116" s="45">
        <f t="shared" si="23"/>
        <v>0</v>
      </c>
      <c r="M116" s="45">
        <f t="shared" si="23"/>
        <v>0</v>
      </c>
      <c r="N116" s="45">
        <f t="shared" si="23"/>
        <v>0</v>
      </c>
      <c r="O116" s="44">
        <f t="shared" si="20"/>
        <v>32000</v>
      </c>
    </row>
    <row r="117" spans="2:15" s="9" customFormat="1" ht="15.75" x14ac:dyDescent="0.25">
      <c r="B117" s="12" t="s">
        <v>139</v>
      </c>
      <c r="C117" s="37">
        <f>SUM(EDITAIS!C117,'CASA SONHAR'!C117,'Q. PROF.'!C117,PSICOSSOCIAL!C117,PEC!C117)</f>
        <v>0</v>
      </c>
      <c r="D117" s="37">
        <f>SUM(EDITAIS!D117,'CASA SONHAR'!D117,'Q. PROF.'!D117,PSICOSSOCIAL!D117,PEC!D117)</f>
        <v>600</v>
      </c>
      <c r="E117" s="37">
        <f>SUM(EDITAIS!E117,'CASA SONHAR'!E117,'Q. PROF.'!E117,PSICOSSOCIAL!E117,PEC!E117)</f>
        <v>0</v>
      </c>
      <c r="F117" s="37">
        <f>SUM(EDITAIS!F117,'CASA SONHAR'!F117,'Q. PROF.'!F117,PSICOSSOCIAL!F117,PEC!F117)</f>
        <v>0</v>
      </c>
      <c r="G117" s="37">
        <f>SUM(EDITAIS!G117,'CASA SONHAR'!G117,'Q. PROF.'!G117,PSICOSSOCIAL!G117,PEC!G117)</f>
        <v>0</v>
      </c>
      <c r="H117" s="37">
        <f>SUM(EDITAIS!H117,'CASA SONHAR'!H117,'Q. PROF.'!H117,PSICOSSOCIAL!H117,PEC!H117)</f>
        <v>0</v>
      </c>
      <c r="I117" s="37">
        <f>SUM(EDITAIS!I117,'CASA SONHAR'!I117,'Q. PROF.'!I117,PSICOSSOCIAL!I117,PEC!I117)</f>
        <v>0</v>
      </c>
      <c r="J117" s="37">
        <f>SUM(EDITAIS!J117,'CASA SONHAR'!J117,'Q. PROF.'!J117,PSICOSSOCIAL!J117,PEC!J117)</f>
        <v>0</v>
      </c>
      <c r="K117" s="37">
        <f>SUM(EDITAIS!K117,'CASA SONHAR'!K117,'Q. PROF.'!K117,PSICOSSOCIAL!K117,PEC!K117)</f>
        <v>0</v>
      </c>
      <c r="L117" s="37">
        <f>SUM(EDITAIS!L117,'CASA SONHAR'!L117,'Q. PROF.'!L117,PSICOSSOCIAL!L117,PEC!L117)</f>
        <v>0</v>
      </c>
      <c r="M117" s="37">
        <f>SUM(EDITAIS!M117,'CASA SONHAR'!M117,'Q. PROF.'!M117,PSICOSSOCIAL!M117,PEC!M117)</f>
        <v>0</v>
      </c>
      <c r="N117" s="37">
        <f>SUM(EDITAIS!N117,'CASA SONHAR'!N117,'Q. PROF.'!N117,PSICOSSOCIAL!N117,PEC!N117)</f>
        <v>0</v>
      </c>
      <c r="O117" s="5">
        <f t="shared" si="20"/>
        <v>600</v>
      </c>
    </row>
    <row r="118" spans="2:15" s="9" customFormat="1" ht="15.75" x14ac:dyDescent="0.25">
      <c r="B118" s="12" t="s">
        <v>140</v>
      </c>
      <c r="C118" s="37">
        <f>SUM(EDITAIS!C118,'CASA SONHAR'!C118,'Q. PROF.'!C118,PSICOSSOCIAL!C118,PEC!C118)</f>
        <v>0</v>
      </c>
      <c r="D118" s="37">
        <f>SUM(EDITAIS!D118,'CASA SONHAR'!D118,'Q. PROF.'!D118,PSICOSSOCIAL!D118,PEC!D118)</f>
        <v>11400</v>
      </c>
      <c r="E118" s="37">
        <f>SUM(EDITAIS!E118,'CASA SONHAR'!E118,'Q. PROF.'!E118,PSICOSSOCIAL!E118,PEC!E118)</f>
        <v>0</v>
      </c>
      <c r="F118" s="37">
        <f>SUM(EDITAIS!F118,'CASA SONHAR'!F118,'Q. PROF.'!F118,PSICOSSOCIAL!F118,PEC!F118)</f>
        <v>0</v>
      </c>
      <c r="G118" s="37">
        <f>SUM(EDITAIS!G118,'CASA SONHAR'!G118,'Q. PROF.'!G118,PSICOSSOCIAL!G118,PEC!G118)</f>
        <v>0</v>
      </c>
      <c r="H118" s="37">
        <f>SUM(EDITAIS!H118,'CASA SONHAR'!H118,'Q. PROF.'!H118,PSICOSSOCIAL!H118,PEC!H118)</f>
        <v>0</v>
      </c>
      <c r="I118" s="37">
        <f>SUM(EDITAIS!I118,'CASA SONHAR'!I118,'Q. PROF.'!I118,PSICOSSOCIAL!I118,PEC!I118)</f>
        <v>0</v>
      </c>
      <c r="J118" s="37">
        <f>SUM(EDITAIS!J118,'CASA SONHAR'!J118,'Q. PROF.'!J118,PSICOSSOCIAL!J118,PEC!J118)</f>
        <v>0</v>
      </c>
      <c r="K118" s="37">
        <f>SUM(EDITAIS!K118,'CASA SONHAR'!K118,'Q. PROF.'!K118,PSICOSSOCIAL!K118,PEC!K118)</f>
        <v>0</v>
      </c>
      <c r="L118" s="37">
        <f>SUM(EDITAIS!L118,'CASA SONHAR'!L118,'Q. PROF.'!L118,PSICOSSOCIAL!L118,PEC!L118)</f>
        <v>0</v>
      </c>
      <c r="M118" s="37">
        <f>SUM(EDITAIS!M118,'CASA SONHAR'!M118,'Q. PROF.'!M118,PSICOSSOCIAL!M118,PEC!M118)</f>
        <v>0</v>
      </c>
      <c r="N118" s="37">
        <f>SUM(EDITAIS!N118,'CASA SONHAR'!N118,'Q. PROF.'!N118,PSICOSSOCIAL!N118,PEC!N118)</f>
        <v>0</v>
      </c>
      <c r="O118" s="5">
        <f t="shared" si="20"/>
        <v>11400</v>
      </c>
    </row>
    <row r="119" spans="2:15" s="9" customFormat="1" ht="15.75" x14ac:dyDescent="0.25">
      <c r="B119" s="12" t="s">
        <v>141</v>
      </c>
      <c r="C119" s="37">
        <f>SUM(EDITAIS!C119,'CASA SONHAR'!C119,'Q. PROF.'!C119,PSICOSSOCIAL!C119,PEC!C119)</f>
        <v>0</v>
      </c>
      <c r="D119" s="37">
        <f>SUM(EDITAIS!D119,'CASA SONHAR'!D119,'Q. PROF.'!D119,PSICOSSOCIAL!D119,PEC!D119)</f>
        <v>20000</v>
      </c>
      <c r="E119" s="37">
        <f>SUM(EDITAIS!E119,'CASA SONHAR'!E119,'Q. PROF.'!E119,PSICOSSOCIAL!E119,PEC!E119)</f>
        <v>0</v>
      </c>
      <c r="F119" s="37">
        <f>SUM(EDITAIS!F119,'CASA SONHAR'!F119,'Q. PROF.'!F119,PSICOSSOCIAL!F119,PEC!F119)</f>
        <v>0</v>
      </c>
      <c r="G119" s="37">
        <f>SUM(EDITAIS!G119,'CASA SONHAR'!G119,'Q. PROF.'!G119,PSICOSSOCIAL!G119,PEC!G119)</f>
        <v>0</v>
      </c>
      <c r="H119" s="37">
        <f>SUM(EDITAIS!H119,'CASA SONHAR'!H119,'Q. PROF.'!H119,PSICOSSOCIAL!H119,PEC!H119)</f>
        <v>0</v>
      </c>
      <c r="I119" s="37">
        <f>SUM(EDITAIS!I119,'CASA SONHAR'!I119,'Q. PROF.'!I119,PSICOSSOCIAL!I119,PEC!I119)</f>
        <v>0</v>
      </c>
      <c r="J119" s="37">
        <f>SUM(EDITAIS!J119,'CASA SONHAR'!J119,'Q. PROF.'!J119,PSICOSSOCIAL!J119,PEC!J119)</f>
        <v>0</v>
      </c>
      <c r="K119" s="37">
        <f>SUM(EDITAIS!K119,'CASA SONHAR'!K119,'Q. PROF.'!K119,PSICOSSOCIAL!K119,PEC!K119)</f>
        <v>0</v>
      </c>
      <c r="L119" s="37">
        <f>SUM(EDITAIS!L119,'CASA SONHAR'!L119,'Q. PROF.'!L119,PSICOSSOCIAL!L119,PEC!L119)</f>
        <v>0</v>
      </c>
      <c r="M119" s="37">
        <f>SUM(EDITAIS!M119,'CASA SONHAR'!M119,'Q. PROF.'!M119,PSICOSSOCIAL!M119,PEC!M119)</f>
        <v>0</v>
      </c>
      <c r="N119" s="37">
        <f>SUM(EDITAIS!N119,'CASA SONHAR'!N119,'Q. PROF.'!N119,PSICOSSOCIAL!N119,PEC!N119)</f>
        <v>0</v>
      </c>
      <c r="O119" s="5">
        <f t="shared" si="20"/>
        <v>20000</v>
      </c>
    </row>
    <row r="120" spans="2:15" s="42" customFormat="1" ht="19.5" x14ac:dyDescent="0.4">
      <c r="B120" s="15" t="s">
        <v>142</v>
      </c>
      <c r="C120" s="45">
        <f>SUM(C121:C122)</f>
        <v>0</v>
      </c>
      <c r="D120" s="45">
        <f t="shared" ref="D120:N120" si="24">SUM(D121:D122)</f>
        <v>0</v>
      </c>
      <c r="E120" s="45">
        <f t="shared" si="24"/>
        <v>0</v>
      </c>
      <c r="F120" s="45">
        <f t="shared" si="24"/>
        <v>0</v>
      </c>
      <c r="G120" s="45">
        <f t="shared" si="24"/>
        <v>0</v>
      </c>
      <c r="H120" s="45">
        <f t="shared" si="24"/>
        <v>0</v>
      </c>
      <c r="I120" s="45">
        <f t="shared" si="24"/>
        <v>0</v>
      </c>
      <c r="J120" s="45">
        <f t="shared" si="24"/>
        <v>0</v>
      </c>
      <c r="K120" s="45">
        <f t="shared" si="24"/>
        <v>0</v>
      </c>
      <c r="L120" s="45">
        <f t="shared" si="24"/>
        <v>0</v>
      </c>
      <c r="M120" s="45">
        <f t="shared" si="24"/>
        <v>0</v>
      </c>
      <c r="N120" s="45">
        <f t="shared" si="24"/>
        <v>0</v>
      </c>
      <c r="O120" s="44">
        <f t="shared" si="20"/>
        <v>0</v>
      </c>
    </row>
    <row r="121" spans="2:15" s="9" customFormat="1" ht="15.75" x14ac:dyDescent="0.25">
      <c r="B121" s="12" t="s">
        <v>143</v>
      </c>
      <c r="C121" s="37">
        <f>SUM(EDITAIS!C121,'CASA SONHAR'!C121,'Q. PROF.'!C121,PSICOSSOCIAL!C121,PEC!C121)</f>
        <v>0</v>
      </c>
      <c r="D121" s="37">
        <f>SUM(EDITAIS!D121,'CASA SONHAR'!D121,'Q. PROF.'!D121,PSICOSSOCIAL!D121,PEC!D121)</f>
        <v>0</v>
      </c>
      <c r="E121" s="37">
        <f>SUM(EDITAIS!E121,'CASA SONHAR'!E121,'Q. PROF.'!E121,PSICOSSOCIAL!E121,PEC!E121)</f>
        <v>0</v>
      </c>
      <c r="F121" s="37">
        <f>SUM(EDITAIS!F121,'CASA SONHAR'!F121,'Q. PROF.'!F121,PSICOSSOCIAL!F121,PEC!F121)</f>
        <v>0</v>
      </c>
      <c r="G121" s="37">
        <f>SUM(EDITAIS!G121,'CASA SONHAR'!G121,'Q. PROF.'!G121,PSICOSSOCIAL!G121,PEC!G121)</f>
        <v>0</v>
      </c>
      <c r="H121" s="37">
        <f>SUM(EDITAIS!H121,'CASA SONHAR'!H121,'Q. PROF.'!H121,PSICOSSOCIAL!H121,PEC!H121)</f>
        <v>0</v>
      </c>
      <c r="I121" s="37">
        <f>SUM(EDITAIS!I121,'CASA SONHAR'!I121,'Q. PROF.'!I121,PSICOSSOCIAL!I121,PEC!I121)</f>
        <v>0</v>
      </c>
      <c r="J121" s="37">
        <f>SUM(EDITAIS!J121,'CASA SONHAR'!J121,'Q. PROF.'!J121,PSICOSSOCIAL!J121,PEC!J121)</f>
        <v>0</v>
      </c>
      <c r="K121" s="37">
        <f>SUM(EDITAIS!K121,'CASA SONHAR'!K121,'Q. PROF.'!K121,PSICOSSOCIAL!K121,PEC!K121)</f>
        <v>0</v>
      </c>
      <c r="L121" s="37">
        <f>SUM(EDITAIS!L121,'CASA SONHAR'!L121,'Q. PROF.'!L121,PSICOSSOCIAL!L121,PEC!L121)</f>
        <v>0</v>
      </c>
      <c r="M121" s="37">
        <f>SUM(EDITAIS!M121,'CASA SONHAR'!M121,'Q. PROF.'!M121,PSICOSSOCIAL!M121,PEC!M121)</f>
        <v>0</v>
      </c>
      <c r="N121" s="37">
        <f>SUM(EDITAIS!N121,'CASA SONHAR'!N121,'Q. PROF.'!N121,PSICOSSOCIAL!N121,PEC!N121)</f>
        <v>0</v>
      </c>
      <c r="O121" s="5">
        <f t="shared" si="20"/>
        <v>0</v>
      </c>
    </row>
    <row r="122" spans="2:15" s="9" customFormat="1" ht="15.75" x14ac:dyDescent="0.25">
      <c r="B122" s="12" t="s">
        <v>43</v>
      </c>
      <c r="C122" s="37">
        <f>SUM(EDITAIS!C122,'CASA SONHAR'!C122,'Q. PROF.'!C122,PSICOSSOCIAL!C122,PEC!C122)</f>
        <v>0</v>
      </c>
      <c r="D122" s="37">
        <f>SUM(EDITAIS!D122,'CASA SONHAR'!D122,'Q. PROF.'!D122,PSICOSSOCIAL!D122,PEC!D122)</f>
        <v>0</v>
      </c>
      <c r="E122" s="37">
        <f>SUM(EDITAIS!E122,'CASA SONHAR'!E122,'Q. PROF.'!E122,PSICOSSOCIAL!E122,PEC!E122)</f>
        <v>0</v>
      </c>
      <c r="F122" s="37">
        <f>SUM(EDITAIS!F122,'CASA SONHAR'!F122,'Q. PROF.'!F122,PSICOSSOCIAL!F122,PEC!F122)</f>
        <v>0</v>
      </c>
      <c r="G122" s="37">
        <f>SUM(EDITAIS!G122,'CASA SONHAR'!G122,'Q. PROF.'!G122,PSICOSSOCIAL!G122,PEC!G122)</f>
        <v>0</v>
      </c>
      <c r="H122" s="37">
        <f>SUM(EDITAIS!H122,'CASA SONHAR'!H122,'Q. PROF.'!H122,PSICOSSOCIAL!H122,PEC!H122)</f>
        <v>0</v>
      </c>
      <c r="I122" s="37">
        <f>SUM(EDITAIS!I122,'CASA SONHAR'!I122,'Q. PROF.'!I122,PSICOSSOCIAL!I122,PEC!I122)</f>
        <v>0</v>
      </c>
      <c r="J122" s="37">
        <f>SUM(EDITAIS!J122,'CASA SONHAR'!J122,'Q. PROF.'!J122,PSICOSSOCIAL!J122,PEC!J122)</f>
        <v>0</v>
      </c>
      <c r="K122" s="37">
        <f>SUM(EDITAIS!K122,'CASA SONHAR'!K122,'Q. PROF.'!K122,PSICOSSOCIAL!K122,PEC!K122)</f>
        <v>0</v>
      </c>
      <c r="L122" s="37">
        <f>SUM(EDITAIS!L122,'CASA SONHAR'!L122,'Q. PROF.'!L122,PSICOSSOCIAL!L122,PEC!L122)</f>
        <v>0</v>
      </c>
      <c r="M122" s="37">
        <f>SUM(EDITAIS!M122,'CASA SONHAR'!M122,'Q. PROF.'!M122,PSICOSSOCIAL!M122,PEC!M122)</f>
        <v>0</v>
      </c>
      <c r="N122" s="37">
        <f>SUM(EDITAIS!N122,'CASA SONHAR'!N122,'Q. PROF.'!N122,PSICOSSOCIAL!N122,PEC!N122)</f>
        <v>0</v>
      </c>
      <c r="O122" s="5">
        <f t="shared" si="20"/>
        <v>0</v>
      </c>
    </row>
    <row r="123" spans="2:15" s="42" customFormat="1" ht="19.5" x14ac:dyDescent="0.4">
      <c r="B123" s="15" t="s">
        <v>32</v>
      </c>
      <c r="C123" s="45">
        <f t="shared" ref="C123" si="25">SUM(C124:C125)</f>
        <v>0</v>
      </c>
      <c r="D123" s="45">
        <f t="shared" ref="D123:N123" si="26">SUM(D124:D125)</f>
        <v>0</v>
      </c>
      <c r="E123" s="45">
        <f t="shared" si="26"/>
        <v>0</v>
      </c>
      <c r="F123" s="45">
        <f t="shared" si="26"/>
        <v>0</v>
      </c>
      <c r="G123" s="45">
        <f t="shared" si="26"/>
        <v>0</v>
      </c>
      <c r="H123" s="45">
        <f t="shared" si="26"/>
        <v>0</v>
      </c>
      <c r="I123" s="45">
        <f t="shared" si="26"/>
        <v>0</v>
      </c>
      <c r="J123" s="45">
        <f t="shared" si="26"/>
        <v>0</v>
      </c>
      <c r="K123" s="45">
        <f t="shared" si="26"/>
        <v>0</v>
      </c>
      <c r="L123" s="45">
        <f t="shared" si="26"/>
        <v>0</v>
      </c>
      <c r="M123" s="45">
        <f t="shared" si="26"/>
        <v>0</v>
      </c>
      <c r="N123" s="45">
        <f t="shared" si="26"/>
        <v>0</v>
      </c>
      <c r="O123" s="44">
        <f t="shared" si="20"/>
        <v>0</v>
      </c>
    </row>
    <row r="124" spans="2:15" s="9" customFormat="1" ht="15.75" x14ac:dyDescent="0.25">
      <c r="B124" s="12" t="s">
        <v>144</v>
      </c>
      <c r="C124" s="37">
        <f>SUM(EDITAIS!C124,'CASA SONHAR'!C124,'Q. PROF.'!C124,PSICOSSOCIAL!C124,PEC!C124)</f>
        <v>0</v>
      </c>
      <c r="D124" s="37">
        <f>SUM(EDITAIS!D124,'CASA SONHAR'!D124,'Q. PROF.'!D124,PSICOSSOCIAL!D124,PEC!D124)</f>
        <v>0</v>
      </c>
      <c r="E124" s="37">
        <f>SUM(EDITAIS!E124,'CASA SONHAR'!E124,'Q. PROF.'!E124,PSICOSSOCIAL!E124,PEC!E124)</f>
        <v>0</v>
      </c>
      <c r="F124" s="37">
        <f>SUM(EDITAIS!F124,'CASA SONHAR'!F124,'Q. PROF.'!F124,PSICOSSOCIAL!F124,PEC!F124)</f>
        <v>0</v>
      </c>
      <c r="G124" s="37">
        <f>SUM(EDITAIS!G124,'CASA SONHAR'!G124,'Q. PROF.'!G124,PSICOSSOCIAL!G124,PEC!G124)</f>
        <v>0</v>
      </c>
      <c r="H124" s="37">
        <f>SUM(EDITAIS!H124,'CASA SONHAR'!H124,'Q. PROF.'!H124,PSICOSSOCIAL!H124,PEC!H124)</f>
        <v>0</v>
      </c>
      <c r="I124" s="37">
        <f>SUM(EDITAIS!I124,'CASA SONHAR'!I124,'Q. PROF.'!I124,PSICOSSOCIAL!I124,PEC!I124)</f>
        <v>0</v>
      </c>
      <c r="J124" s="37">
        <f>SUM(EDITAIS!J124,'CASA SONHAR'!J124,'Q. PROF.'!J124,PSICOSSOCIAL!J124,PEC!J124)</f>
        <v>0</v>
      </c>
      <c r="K124" s="37">
        <f>SUM(EDITAIS!K124,'CASA SONHAR'!K124,'Q. PROF.'!K124,PSICOSSOCIAL!K124,PEC!K124)</f>
        <v>0</v>
      </c>
      <c r="L124" s="37">
        <f>SUM(EDITAIS!L124,'CASA SONHAR'!L124,'Q. PROF.'!L124,PSICOSSOCIAL!L124,PEC!L124)</f>
        <v>0</v>
      </c>
      <c r="M124" s="37">
        <f>SUM(EDITAIS!M124,'CASA SONHAR'!M124,'Q. PROF.'!M124,PSICOSSOCIAL!M124,PEC!M124)</f>
        <v>0</v>
      </c>
      <c r="N124" s="37">
        <f>SUM(EDITAIS!N124,'CASA SONHAR'!N124,'Q. PROF.'!N124,PSICOSSOCIAL!N124,PEC!N124)</f>
        <v>0</v>
      </c>
      <c r="O124" s="5">
        <f t="shared" si="20"/>
        <v>0</v>
      </c>
    </row>
    <row r="125" spans="2:15" s="9" customFormat="1" ht="15.75" x14ac:dyDescent="0.25">
      <c r="B125" s="12" t="s">
        <v>145</v>
      </c>
      <c r="C125" s="37">
        <f>SUM(EDITAIS!C125,'CASA SONHAR'!C125,'Q. PROF.'!C125,PSICOSSOCIAL!C125,PEC!C125)</f>
        <v>0</v>
      </c>
      <c r="D125" s="37">
        <f>SUM(EDITAIS!D125,'CASA SONHAR'!D125,'Q. PROF.'!D125,PSICOSSOCIAL!D125,PEC!D125)</f>
        <v>0</v>
      </c>
      <c r="E125" s="37">
        <f>SUM(EDITAIS!E125,'CASA SONHAR'!E125,'Q. PROF.'!E125,PSICOSSOCIAL!E125,PEC!E125)</f>
        <v>0</v>
      </c>
      <c r="F125" s="37">
        <f>SUM(EDITAIS!F125,'CASA SONHAR'!F125,'Q. PROF.'!F125,PSICOSSOCIAL!F125,PEC!F125)</f>
        <v>0</v>
      </c>
      <c r="G125" s="37">
        <f>SUM(EDITAIS!G125,'CASA SONHAR'!G125,'Q. PROF.'!G125,PSICOSSOCIAL!G125,PEC!G125)</f>
        <v>0</v>
      </c>
      <c r="H125" s="37">
        <f>SUM(EDITAIS!H125,'CASA SONHAR'!H125,'Q. PROF.'!H125,PSICOSSOCIAL!H125,PEC!H125)</f>
        <v>0</v>
      </c>
      <c r="I125" s="37">
        <f>SUM(EDITAIS!I125,'CASA SONHAR'!I125,'Q. PROF.'!I125,PSICOSSOCIAL!I125,PEC!I125)</f>
        <v>0</v>
      </c>
      <c r="J125" s="37">
        <f>SUM(EDITAIS!J125,'CASA SONHAR'!J125,'Q. PROF.'!J125,PSICOSSOCIAL!J125,PEC!J125)</f>
        <v>0</v>
      </c>
      <c r="K125" s="37">
        <f>SUM(EDITAIS!K125,'CASA SONHAR'!K125,'Q. PROF.'!K125,PSICOSSOCIAL!K125,PEC!K125)</f>
        <v>0</v>
      </c>
      <c r="L125" s="37">
        <f>SUM(EDITAIS!L125,'CASA SONHAR'!L125,'Q. PROF.'!L125,PSICOSSOCIAL!L125,PEC!L125)</f>
        <v>0</v>
      </c>
      <c r="M125" s="37">
        <f>SUM(EDITAIS!M125,'CASA SONHAR'!M125,'Q. PROF.'!M125,PSICOSSOCIAL!M125,PEC!M125)</f>
        <v>0</v>
      </c>
      <c r="N125" s="37">
        <f>SUM(EDITAIS!N125,'CASA SONHAR'!N125,'Q. PROF.'!N125,PSICOSSOCIAL!N125,PEC!N125)</f>
        <v>0</v>
      </c>
      <c r="O125" s="5">
        <f t="shared" si="20"/>
        <v>0</v>
      </c>
    </row>
    <row r="126" spans="2:15" s="42" customFormat="1" ht="19.5" x14ac:dyDescent="0.4">
      <c r="B126" s="15" t="s">
        <v>146</v>
      </c>
      <c r="C126" s="45">
        <f>SUM(C127:C129)</f>
        <v>0</v>
      </c>
      <c r="D126" s="45">
        <f t="shared" ref="D126:N126" si="27">SUM(D127:D129)</f>
        <v>150</v>
      </c>
      <c r="E126" s="45">
        <f t="shared" si="27"/>
        <v>200</v>
      </c>
      <c r="F126" s="45">
        <f t="shared" si="27"/>
        <v>150</v>
      </c>
      <c r="G126" s="45">
        <f t="shared" si="27"/>
        <v>200</v>
      </c>
      <c r="H126" s="45">
        <f t="shared" si="27"/>
        <v>150</v>
      </c>
      <c r="I126" s="45">
        <f t="shared" si="27"/>
        <v>200</v>
      </c>
      <c r="J126" s="45">
        <f t="shared" si="27"/>
        <v>150</v>
      </c>
      <c r="K126" s="45">
        <f t="shared" si="27"/>
        <v>150</v>
      </c>
      <c r="L126" s="45">
        <f t="shared" si="27"/>
        <v>150</v>
      </c>
      <c r="M126" s="45">
        <f t="shared" si="27"/>
        <v>150</v>
      </c>
      <c r="N126" s="45">
        <f t="shared" si="27"/>
        <v>150</v>
      </c>
      <c r="O126" s="44">
        <f t="shared" si="20"/>
        <v>1800</v>
      </c>
    </row>
    <row r="127" spans="2:15" s="9" customFormat="1" ht="15.75" x14ac:dyDescent="0.25">
      <c r="B127" s="12" t="s">
        <v>147</v>
      </c>
      <c r="C127" s="37">
        <f>SUM(EDITAIS!C127,'CASA SONHAR'!C127,'Q. PROF.'!C127,PSICOSSOCIAL!C127,PEC!C127)</f>
        <v>0</v>
      </c>
      <c r="D127" s="37">
        <f>SUM(EDITAIS!D127,'CASA SONHAR'!D127,'Q. PROF.'!D127,PSICOSSOCIAL!D127,PEC!D127)</f>
        <v>150</v>
      </c>
      <c r="E127" s="37">
        <f>SUM(EDITAIS!E127,'CASA SONHAR'!E127,'Q. PROF.'!E127,PSICOSSOCIAL!E127,PEC!E127)</f>
        <v>200</v>
      </c>
      <c r="F127" s="37">
        <f>SUM(EDITAIS!F127,'CASA SONHAR'!F127,'Q. PROF.'!F127,PSICOSSOCIAL!F127,PEC!F127)</f>
        <v>150</v>
      </c>
      <c r="G127" s="37">
        <f>SUM(EDITAIS!G127,'CASA SONHAR'!G127,'Q. PROF.'!G127,PSICOSSOCIAL!G127,PEC!G127)</f>
        <v>200</v>
      </c>
      <c r="H127" s="37">
        <f>SUM(EDITAIS!H127,'CASA SONHAR'!H127,'Q. PROF.'!H127,PSICOSSOCIAL!H127,PEC!H127)</f>
        <v>150</v>
      </c>
      <c r="I127" s="37">
        <f>SUM(EDITAIS!I127,'CASA SONHAR'!I127,'Q. PROF.'!I127,PSICOSSOCIAL!I127,PEC!I127)</f>
        <v>200</v>
      </c>
      <c r="J127" s="37">
        <f>SUM(EDITAIS!J127,'CASA SONHAR'!J127,'Q. PROF.'!J127,PSICOSSOCIAL!J127,PEC!J127)</f>
        <v>150</v>
      </c>
      <c r="K127" s="37">
        <f>SUM(EDITAIS!K127,'CASA SONHAR'!K127,'Q. PROF.'!K127,PSICOSSOCIAL!K127,PEC!K127)</f>
        <v>150</v>
      </c>
      <c r="L127" s="37">
        <f>SUM(EDITAIS!L127,'CASA SONHAR'!L127,'Q. PROF.'!L127,PSICOSSOCIAL!L127,PEC!L127)</f>
        <v>150</v>
      </c>
      <c r="M127" s="37">
        <f>SUM(EDITAIS!M127,'CASA SONHAR'!M127,'Q. PROF.'!M127,PSICOSSOCIAL!M127,PEC!M127)</f>
        <v>150</v>
      </c>
      <c r="N127" s="37">
        <f>SUM(EDITAIS!N127,'CASA SONHAR'!N127,'Q. PROF.'!N127,PSICOSSOCIAL!N127,PEC!N127)</f>
        <v>150</v>
      </c>
      <c r="O127" s="5">
        <f t="shared" si="20"/>
        <v>1800</v>
      </c>
    </row>
    <row r="128" spans="2:15" s="9" customFormat="1" ht="15.75" x14ac:dyDescent="0.25">
      <c r="B128" s="12" t="s">
        <v>148</v>
      </c>
      <c r="C128" s="37">
        <f>SUM(EDITAIS!C128,'CASA SONHAR'!C128,'Q. PROF.'!C128,PSICOSSOCIAL!C128,PEC!C128)</f>
        <v>0</v>
      </c>
      <c r="D128" s="37">
        <f>SUM(EDITAIS!D128,'CASA SONHAR'!D128,'Q. PROF.'!D128,PSICOSSOCIAL!D128,PEC!D128)</f>
        <v>0</v>
      </c>
      <c r="E128" s="37">
        <f>SUM(EDITAIS!E128,'CASA SONHAR'!E128,'Q. PROF.'!E128,PSICOSSOCIAL!E128,PEC!E128)</f>
        <v>0</v>
      </c>
      <c r="F128" s="37">
        <f>SUM(EDITAIS!F128,'CASA SONHAR'!F128,'Q. PROF.'!F128,PSICOSSOCIAL!F128,PEC!F128)</f>
        <v>0</v>
      </c>
      <c r="G128" s="37">
        <f>SUM(EDITAIS!G128,'CASA SONHAR'!G128,'Q. PROF.'!G128,PSICOSSOCIAL!G128,PEC!G128)</f>
        <v>0</v>
      </c>
      <c r="H128" s="37">
        <f>SUM(EDITAIS!H128,'CASA SONHAR'!H128,'Q. PROF.'!H128,PSICOSSOCIAL!H128,PEC!H128)</f>
        <v>0</v>
      </c>
      <c r="I128" s="37">
        <f>SUM(EDITAIS!I128,'CASA SONHAR'!I128,'Q. PROF.'!I128,PSICOSSOCIAL!I128,PEC!I128)</f>
        <v>0</v>
      </c>
      <c r="J128" s="37">
        <f>SUM(EDITAIS!J128,'CASA SONHAR'!J128,'Q. PROF.'!J128,PSICOSSOCIAL!J128,PEC!J128)</f>
        <v>0</v>
      </c>
      <c r="K128" s="37">
        <f>SUM(EDITAIS!K128,'CASA SONHAR'!K128,'Q. PROF.'!K128,PSICOSSOCIAL!K128,PEC!K128)</f>
        <v>0</v>
      </c>
      <c r="L128" s="37">
        <f>SUM(EDITAIS!L128,'CASA SONHAR'!L128,'Q. PROF.'!L128,PSICOSSOCIAL!L128,PEC!L128)</f>
        <v>0</v>
      </c>
      <c r="M128" s="37">
        <f>SUM(EDITAIS!M128,'CASA SONHAR'!M128,'Q. PROF.'!M128,PSICOSSOCIAL!M128,PEC!M128)</f>
        <v>0</v>
      </c>
      <c r="N128" s="37">
        <f>SUM(EDITAIS!N128,'CASA SONHAR'!N128,'Q. PROF.'!N128,PSICOSSOCIAL!N128,PEC!N128)</f>
        <v>0</v>
      </c>
      <c r="O128" s="5">
        <f t="shared" si="20"/>
        <v>0</v>
      </c>
    </row>
    <row r="129" spans="2:15" s="9" customFormat="1" ht="15.75" x14ac:dyDescent="0.25">
      <c r="B129" s="12" t="s">
        <v>149</v>
      </c>
      <c r="C129" s="37">
        <f>SUM(EDITAIS!C129,'CASA SONHAR'!C129,'Q. PROF.'!C129,PSICOSSOCIAL!C129,PEC!C129)</f>
        <v>0</v>
      </c>
      <c r="D129" s="37">
        <f>SUM(EDITAIS!D129,'CASA SONHAR'!D129,'Q. PROF.'!D129,PSICOSSOCIAL!D129,PEC!D129)</f>
        <v>0</v>
      </c>
      <c r="E129" s="37">
        <f>SUM(EDITAIS!E129,'CASA SONHAR'!E129,'Q. PROF.'!E129,PSICOSSOCIAL!E129,PEC!E129)</f>
        <v>0</v>
      </c>
      <c r="F129" s="37">
        <f>SUM(EDITAIS!F129,'CASA SONHAR'!F129,'Q. PROF.'!F129,PSICOSSOCIAL!F129,PEC!F129)</f>
        <v>0</v>
      </c>
      <c r="G129" s="37">
        <f>SUM(EDITAIS!G129,'CASA SONHAR'!G129,'Q. PROF.'!G129,PSICOSSOCIAL!G129,PEC!G129)</f>
        <v>0</v>
      </c>
      <c r="H129" s="37">
        <f>SUM(EDITAIS!H129,'CASA SONHAR'!H129,'Q. PROF.'!H129,PSICOSSOCIAL!H129,PEC!H129)</f>
        <v>0</v>
      </c>
      <c r="I129" s="37">
        <f>SUM(EDITAIS!I129,'CASA SONHAR'!I129,'Q. PROF.'!I129,PSICOSSOCIAL!I129,PEC!I129)</f>
        <v>0</v>
      </c>
      <c r="J129" s="37">
        <f>SUM(EDITAIS!J129,'CASA SONHAR'!J129,'Q. PROF.'!J129,PSICOSSOCIAL!J129,PEC!J129)</f>
        <v>0</v>
      </c>
      <c r="K129" s="37">
        <f>SUM(EDITAIS!K129,'CASA SONHAR'!K129,'Q. PROF.'!K129,PSICOSSOCIAL!K129,PEC!K129)</f>
        <v>0</v>
      </c>
      <c r="L129" s="37">
        <f>SUM(EDITAIS!L129,'CASA SONHAR'!L129,'Q. PROF.'!L129,PSICOSSOCIAL!L129,PEC!L129)</f>
        <v>0</v>
      </c>
      <c r="M129" s="37">
        <f>SUM(EDITAIS!M129,'CASA SONHAR'!M129,'Q. PROF.'!M129,PSICOSSOCIAL!M129,PEC!M129)</f>
        <v>0</v>
      </c>
      <c r="N129" s="37">
        <f>SUM(EDITAIS!N129,'CASA SONHAR'!N129,'Q. PROF.'!N129,PSICOSSOCIAL!N129,PEC!N129)</f>
        <v>0</v>
      </c>
      <c r="O129" s="5">
        <f t="shared" si="20"/>
        <v>0</v>
      </c>
    </row>
    <row r="130" spans="2:15" s="42" customFormat="1" ht="19.5" x14ac:dyDescent="0.4">
      <c r="B130" s="15" t="s">
        <v>150</v>
      </c>
      <c r="C130" s="45">
        <f>SUM(C131:C132)</f>
        <v>0</v>
      </c>
      <c r="D130" s="45">
        <f t="shared" ref="D130:N130" si="28">SUM(D131:D132)</f>
        <v>8700</v>
      </c>
      <c r="E130" s="45">
        <f t="shared" si="28"/>
        <v>3000</v>
      </c>
      <c r="F130" s="45">
        <f t="shared" si="28"/>
        <v>5300</v>
      </c>
      <c r="G130" s="45">
        <f t="shared" si="28"/>
        <v>5700</v>
      </c>
      <c r="H130" s="45">
        <f t="shared" si="28"/>
        <v>4700</v>
      </c>
      <c r="I130" s="45">
        <f t="shared" si="28"/>
        <v>5700</v>
      </c>
      <c r="J130" s="45">
        <f t="shared" si="28"/>
        <v>5700</v>
      </c>
      <c r="K130" s="45">
        <f t="shared" si="28"/>
        <v>2100</v>
      </c>
      <c r="L130" s="45">
        <f t="shared" si="28"/>
        <v>7700</v>
      </c>
      <c r="M130" s="45">
        <f t="shared" si="28"/>
        <v>12700</v>
      </c>
      <c r="N130" s="45">
        <f t="shared" si="28"/>
        <v>6200</v>
      </c>
      <c r="O130" s="44">
        <f t="shared" si="20"/>
        <v>67500</v>
      </c>
    </row>
    <row r="131" spans="2:15" s="9" customFormat="1" ht="15.75" x14ac:dyDescent="0.25">
      <c r="B131" s="12" t="s">
        <v>64</v>
      </c>
      <c r="C131" s="37">
        <f>SUM(EDITAIS!C131,'CASA SONHAR'!C131,'Q. PROF.'!C131,PSICOSSOCIAL!C131,PEC!C131)</f>
        <v>0</v>
      </c>
      <c r="D131" s="37">
        <f>SUM(EDITAIS!D131,'CASA SONHAR'!D131,'Q. PROF.'!D131,PSICOSSOCIAL!D131,PEC!D131)</f>
        <v>0</v>
      </c>
      <c r="E131" s="37">
        <f>SUM(EDITAIS!E131,'CASA SONHAR'!E131,'Q. PROF.'!E131,PSICOSSOCIAL!E131,PEC!E131)</f>
        <v>0</v>
      </c>
      <c r="F131" s="37">
        <f>SUM(EDITAIS!F131,'CASA SONHAR'!F131,'Q. PROF.'!F131,PSICOSSOCIAL!F131,PEC!F131)</f>
        <v>0</v>
      </c>
      <c r="G131" s="37">
        <f>SUM(EDITAIS!G131,'CASA SONHAR'!G131,'Q. PROF.'!G131,PSICOSSOCIAL!G131,PEC!G131)</f>
        <v>0</v>
      </c>
      <c r="H131" s="37">
        <f>SUM(EDITAIS!H131,'CASA SONHAR'!H131,'Q. PROF.'!H131,PSICOSSOCIAL!H131,PEC!H131)</f>
        <v>0</v>
      </c>
      <c r="I131" s="37">
        <f>SUM(EDITAIS!I131,'CASA SONHAR'!I131,'Q. PROF.'!I131,PSICOSSOCIAL!I131,PEC!I131)</f>
        <v>0</v>
      </c>
      <c r="J131" s="37">
        <f>SUM(EDITAIS!J131,'CASA SONHAR'!J131,'Q. PROF.'!J131,PSICOSSOCIAL!J131,PEC!J131)</f>
        <v>0</v>
      </c>
      <c r="K131" s="37">
        <f>SUM(EDITAIS!K131,'CASA SONHAR'!K131,'Q. PROF.'!K131,PSICOSSOCIAL!K131,PEC!K131)</f>
        <v>0</v>
      </c>
      <c r="L131" s="37">
        <f>SUM(EDITAIS!L131,'CASA SONHAR'!L131,'Q. PROF.'!L131,PSICOSSOCIAL!L131,PEC!L131)</f>
        <v>0</v>
      </c>
      <c r="M131" s="37">
        <f>SUM(EDITAIS!M131,'CASA SONHAR'!M131,'Q. PROF.'!M131,PSICOSSOCIAL!M131,PEC!M131)</f>
        <v>0</v>
      </c>
      <c r="N131" s="37">
        <f>SUM(EDITAIS!N131,'CASA SONHAR'!N131,'Q. PROF.'!N131,PSICOSSOCIAL!N131,PEC!N131)</f>
        <v>0</v>
      </c>
      <c r="O131" s="5">
        <f t="shared" si="20"/>
        <v>0</v>
      </c>
    </row>
    <row r="132" spans="2:15" s="9" customFormat="1" ht="15.75" x14ac:dyDescent="0.25">
      <c r="B132" s="12" t="s">
        <v>151</v>
      </c>
      <c r="C132" s="37">
        <f>SUM(EDITAIS!C132,'CASA SONHAR'!C132,'Q. PROF.'!C132,PSICOSSOCIAL!C132,PEC!C132)</f>
        <v>0</v>
      </c>
      <c r="D132" s="37">
        <f>SUM(EDITAIS!D132,'CASA SONHAR'!D132,'Q. PROF.'!D132,PSICOSSOCIAL!D132,PEC!D132)</f>
        <v>8700</v>
      </c>
      <c r="E132" s="37">
        <f>SUM(EDITAIS!E132,'CASA SONHAR'!E132,'Q. PROF.'!E132,PSICOSSOCIAL!E132,PEC!E132)</f>
        <v>3000</v>
      </c>
      <c r="F132" s="37">
        <f>SUM(EDITAIS!F132,'CASA SONHAR'!F132,'Q. PROF.'!F132,PSICOSSOCIAL!F132,PEC!F132)</f>
        <v>5300</v>
      </c>
      <c r="G132" s="37">
        <f>SUM(EDITAIS!G132,'CASA SONHAR'!G132,'Q. PROF.'!G132,PSICOSSOCIAL!G132,PEC!G132)</f>
        <v>5700</v>
      </c>
      <c r="H132" s="37">
        <f>SUM(EDITAIS!H132,'CASA SONHAR'!H132,'Q. PROF.'!H132,PSICOSSOCIAL!H132,PEC!H132)</f>
        <v>4700</v>
      </c>
      <c r="I132" s="37">
        <f>SUM(EDITAIS!I132,'CASA SONHAR'!I132,'Q. PROF.'!I132,PSICOSSOCIAL!I132,PEC!I132)</f>
        <v>5700</v>
      </c>
      <c r="J132" s="37">
        <f>SUM(EDITAIS!J132,'CASA SONHAR'!J132,'Q. PROF.'!J132,PSICOSSOCIAL!J132,PEC!J132)</f>
        <v>5700</v>
      </c>
      <c r="K132" s="37">
        <f>SUM(EDITAIS!K132,'CASA SONHAR'!K132,'Q. PROF.'!K132,PSICOSSOCIAL!K132,PEC!K132)</f>
        <v>2100</v>
      </c>
      <c r="L132" s="37">
        <f>SUM(EDITAIS!L132,'CASA SONHAR'!L132,'Q. PROF.'!L132,PSICOSSOCIAL!L132,PEC!L132)</f>
        <v>7700</v>
      </c>
      <c r="M132" s="37">
        <f>SUM(EDITAIS!M132,'CASA SONHAR'!M132,'Q. PROF.'!M132,PSICOSSOCIAL!M132,PEC!M132)</f>
        <v>12700</v>
      </c>
      <c r="N132" s="37">
        <f>SUM(EDITAIS!N132,'CASA SONHAR'!N132,'Q. PROF.'!N132,PSICOSSOCIAL!N132,PEC!N132)</f>
        <v>6200</v>
      </c>
      <c r="O132" s="5">
        <f t="shared" si="20"/>
        <v>67500</v>
      </c>
    </row>
    <row r="133" spans="2:15" s="42" customFormat="1" ht="19.5" x14ac:dyDescent="0.4">
      <c r="B133" s="15" t="s">
        <v>152</v>
      </c>
      <c r="C133" s="45">
        <f>SUM(C134:C138)</f>
        <v>0</v>
      </c>
      <c r="D133" s="45">
        <f t="shared" ref="D133:N133" si="29">SUM(D134:D138)</f>
        <v>0</v>
      </c>
      <c r="E133" s="45">
        <f t="shared" si="29"/>
        <v>0</v>
      </c>
      <c r="F133" s="45">
        <f t="shared" si="29"/>
        <v>0</v>
      </c>
      <c r="G133" s="45">
        <f t="shared" si="29"/>
        <v>0</v>
      </c>
      <c r="H133" s="45">
        <f t="shared" si="29"/>
        <v>0</v>
      </c>
      <c r="I133" s="45">
        <f t="shared" si="29"/>
        <v>0</v>
      </c>
      <c r="J133" s="45">
        <f t="shared" si="29"/>
        <v>0</v>
      </c>
      <c r="K133" s="45">
        <f t="shared" si="29"/>
        <v>0</v>
      </c>
      <c r="L133" s="45">
        <f t="shared" si="29"/>
        <v>0</v>
      </c>
      <c r="M133" s="45">
        <f t="shared" si="29"/>
        <v>0</v>
      </c>
      <c r="N133" s="45">
        <f t="shared" si="29"/>
        <v>0</v>
      </c>
      <c r="O133" s="44">
        <f t="shared" si="20"/>
        <v>0</v>
      </c>
    </row>
    <row r="134" spans="2:15" s="9" customFormat="1" ht="15.75" x14ac:dyDescent="0.25">
      <c r="B134" s="12" t="s">
        <v>153</v>
      </c>
      <c r="C134" s="37">
        <f>SUM(EDITAIS!C134,'CASA SONHAR'!C134,'Q. PROF.'!C134,PSICOSSOCIAL!C134,PEC!C134)</f>
        <v>0</v>
      </c>
      <c r="D134" s="37">
        <f>SUM(EDITAIS!D134,'CASA SONHAR'!D134,'Q. PROF.'!D134,PSICOSSOCIAL!D134,PEC!D134)</f>
        <v>0</v>
      </c>
      <c r="E134" s="37">
        <f>SUM(EDITAIS!E134,'CASA SONHAR'!E134,'Q. PROF.'!E134,PSICOSSOCIAL!E134,PEC!E134)</f>
        <v>0</v>
      </c>
      <c r="F134" s="37">
        <f>SUM(EDITAIS!F134,'CASA SONHAR'!F134,'Q. PROF.'!F134,PSICOSSOCIAL!F134,PEC!F134)</f>
        <v>0</v>
      </c>
      <c r="G134" s="37">
        <f>SUM(EDITAIS!G134,'CASA SONHAR'!G134,'Q. PROF.'!G134,PSICOSSOCIAL!G134,PEC!G134)</f>
        <v>0</v>
      </c>
      <c r="H134" s="37">
        <f>SUM(EDITAIS!H134,'CASA SONHAR'!H134,'Q. PROF.'!H134,PSICOSSOCIAL!H134,PEC!H134)</f>
        <v>0</v>
      </c>
      <c r="I134" s="37">
        <f>SUM(EDITAIS!I134,'CASA SONHAR'!I134,'Q. PROF.'!I134,PSICOSSOCIAL!I134,PEC!I134)</f>
        <v>0</v>
      </c>
      <c r="J134" s="37">
        <f>SUM(EDITAIS!J134,'CASA SONHAR'!J134,'Q. PROF.'!J134,PSICOSSOCIAL!J134,PEC!J134)</f>
        <v>0</v>
      </c>
      <c r="K134" s="37">
        <f>SUM(EDITAIS!K134,'CASA SONHAR'!K134,'Q. PROF.'!K134,PSICOSSOCIAL!K134,PEC!K134)</f>
        <v>0</v>
      </c>
      <c r="L134" s="37">
        <f>SUM(EDITAIS!L134,'CASA SONHAR'!L134,'Q. PROF.'!L134,PSICOSSOCIAL!L134,PEC!L134)</f>
        <v>0</v>
      </c>
      <c r="M134" s="37">
        <f>SUM(EDITAIS!M134,'CASA SONHAR'!M134,'Q. PROF.'!M134,PSICOSSOCIAL!M134,PEC!M134)</f>
        <v>0</v>
      </c>
      <c r="N134" s="37">
        <f>SUM(EDITAIS!N134,'CASA SONHAR'!N134,'Q. PROF.'!N134,PSICOSSOCIAL!N134,PEC!N134)</f>
        <v>0</v>
      </c>
      <c r="O134" s="5">
        <f t="shared" si="20"/>
        <v>0</v>
      </c>
    </row>
    <row r="135" spans="2:15" s="9" customFormat="1" ht="15.75" x14ac:dyDescent="0.25">
      <c r="B135" s="12" t="s">
        <v>154</v>
      </c>
      <c r="C135" s="37">
        <f>SUM(EDITAIS!C135,'CASA SONHAR'!C135,'Q. PROF.'!C135,PSICOSSOCIAL!C135,PEC!C135)</f>
        <v>0</v>
      </c>
      <c r="D135" s="37">
        <f>SUM(EDITAIS!D135,'CASA SONHAR'!D135,'Q. PROF.'!D135,PSICOSSOCIAL!D135,PEC!D135)</f>
        <v>0</v>
      </c>
      <c r="E135" s="37">
        <f>SUM(EDITAIS!E135,'CASA SONHAR'!E135,'Q. PROF.'!E135,PSICOSSOCIAL!E135,PEC!E135)</f>
        <v>0</v>
      </c>
      <c r="F135" s="37">
        <f>SUM(EDITAIS!F135,'CASA SONHAR'!F135,'Q. PROF.'!F135,PSICOSSOCIAL!F135,PEC!F135)</f>
        <v>0</v>
      </c>
      <c r="G135" s="37">
        <f>SUM(EDITAIS!G135,'CASA SONHAR'!G135,'Q. PROF.'!G135,PSICOSSOCIAL!G135,PEC!G135)</f>
        <v>0</v>
      </c>
      <c r="H135" s="37">
        <f>SUM(EDITAIS!H135,'CASA SONHAR'!H135,'Q. PROF.'!H135,PSICOSSOCIAL!H135,PEC!H135)</f>
        <v>0</v>
      </c>
      <c r="I135" s="37">
        <f>SUM(EDITAIS!I135,'CASA SONHAR'!I135,'Q. PROF.'!I135,PSICOSSOCIAL!I135,PEC!I135)</f>
        <v>0</v>
      </c>
      <c r="J135" s="37">
        <f>SUM(EDITAIS!J135,'CASA SONHAR'!J135,'Q. PROF.'!J135,PSICOSSOCIAL!J135,PEC!J135)</f>
        <v>0</v>
      </c>
      <c r="K135" s="37">
        <f>SUM(EDITAIS!K135,'CASA SONHAR'!K135,'Q. PROF.'!K135,PSICOSSOCIAL!K135,PEC!K135)</f>
        <v>0</v>
      </c>
      <c r="L135" s="37">
        <f>SUM(EDITAIS!L135,'CASA SONHAR'!L135,'Q. PROF.'!L135,PSICOSSOCIAL!L135,PEC!L135)</f>
        <v>0</v>
      </c>
      <c r="M135" s="37">
        <f>SUM(EDITAIS!M135,'CASA SONHAR'!M135,'Q. PROF.'!M135,PSICOSSOCIAL!M135,PEC!M135)</f>
        <v>0</v>
      </c>
      <c r="N135" s="37">
        <f>SUM(EDITAIS!N135,'CASA SONHAR'!N135,'Q. PROF.'!N135,PSICOSSOCIAL!N135,PEC!N135)</f>
        <v>0</v>
      </c>
      <c r="O135" s="5">
        <f t="shared" si="20"/>
        <v>0</v>
      </c>
    </row>
    <row r="136" spans="2:15" s="9" customFormat="1" ht="15.75" x14ac:dyDescent="0.25">
      <c r="B136" s="12" t="s">
        <v>155</v>
      </c>
      <c r="C136" s="37">
        <f>SUM(EDITAIS!C136,'CASA SONHAR'!C136,'Q. PROF.'!C136,PSICOSSOCIAL!C136,PEC!C136)</f>
        <v>0</v>
      </c>
      <c r="D136" s="37">
        <f>SUM(EDITAIS!D136,'CASA SONHAR'!D136,'Q. PROF.'!D136,PSICOSSOCIAL!D136,PEC!D136)</f>
        <v>0</v>
      </c>
      <c r="E136" s="37">
        <f>SUM(EDITAIS!E136,'CASA SONHAR'!E136,'Q. PROF.'!E136,PSICOSSOCIAL!E136,PEC!E136)</f>
        <v>0</v>
      </c>
      <c r="F136" s="37">
        <f>SUM(EDITAIS!F136,'CASA SONHAR'!F136,'Q. PROF.'!F136,PSICOSSOCIAL!F136,PEC!F136)</f>
        <v>0</v>
      </c>
      <c r="G136" s="37">
        <f>SUM(EDITAIS!G136,'CASA SONHAR'!G136,'Q. PROF.'!G136,PSICOSSOCIAL!G136,PEC!G136)</f>
        <v>0</v>
      </c>
      <c r="H136" s="37">
        <f>SUM(EDITAIS!H136,'CASA SONHAR'!H136,'Q. PROF.'!H136,PSICOSSOCIAL!H136,PEC!H136)</f>
        <v>0</v>
      </c>
      <c r="I136" s="37">
        <f>SUM(EDITAIS!I136,'CASA SONHAR'!I136,'Q. PROF.'!I136,PSICOSSOCIAL!I136,PEC!I136)</f>
        <v>0</v>
      </c>
      <c r="J136" s="37">
        <f>SUM(EDITAIS!J136,'CASA SONHAR'!J136,'Q. PROF.'!J136,PSICOSSOCIAL!J136,PEC!J136)</f>
        <v>0</v>
      </c>
      <c r="K136" s="37">
        <f>SUM(EDITAIS!K136,'CASA SONHAR'!K136,'Q. PROF.'!K136,PSICOSSOCIAL!K136,PEC!K136)</f>
        <v>0</v>
      </c>
      <c r="L136" s="37">
        <f>SUM(EDITAIS!L136,'CASA SONHAR'!L136,'Q. PROF.'!L136,PSICOSSOCIAL!L136,PEC!L136)</f>
        <v>0</v>
      </c>
      <c r="M136" s="37">
        <f>SUM(EDITAIS!M136,'CASA SONHAR'!M136,'Q. PROF.'!M136,PSICOSSOCIAL!M136,PEC!M136)</f>
        <v>0</v>
      </c>
      <c r="N136" s="37">
        <f>SUM(EDITAIS!N136,'CASA SONHAR'!N136,'Q. PROF.'!N136,PSICOSSOCIAL!N136,PEC!N136)</f>
        <v>0</v>
      </c>
      <c r="O136" s="5">
        <f t="shared" si="20"/>
        <v>0</v>
      </c>
    </row>
    <row r="137" spans="2:15" s="9" customFormat="1" ht="15.75" x14ac:dyDescent="0.25">
      <c r="B137" s="12" t="s">
        <v>156</v>
      </c>
      <c r="C137" s="37">
        <f>SUM(EDITAIS!C137,'CASA SONHAR'!C137,'Q. PROF.'!C137,PSICOSSOCIAL!C137,PEC!C137)</f>
        <v>0</v>
      </c>
      <c r="D137" s="37">
        <f>SUM(EDITAIS!D137,'CASA SONHAR'!D137,'Q. PROF.'!D137,PSICOSSOCIAL!D137,PEC!D137)</f>
        <v>0</v>
      </c>
      <c r="E137" s="37">
        <f>SUM(EDITAIS!E137,'CASA SONHAR'!E137,'Q. PROF.'!E137,PSICOSSOCIAL!E137,PEC!E137)</f>
        <v>0</v>
      </c>
      <c r="F137" s="37">
        <f>SUM(EDITAIS!F137,'CASA SONHAR'!F137,'Q. PROF.'!F137,PSICOSSOCIAL!F137,PEC!F137)</f>
        <v>0</v>
      </c>
      <c r="G137" s="37">
        <f>SUM(EDITAIS!G137,'CASA SONHAR'!G137,'Q. PROF.'!G137,PSICOSSOCIAL!G137,PEC!G137)</f>
        <v>0</v>
      </c>
      <c r="H137" s="37">
        <f>SUM(EDITAIS!H137,'CASA SONHAR'!H137,'Q. PROF.'!H137,PSICOSSOCIAL!H137,PEC!H137)</f>
        <v>0</v>
      </c>
      <c r="I137" s="37">
        <f>SUM(EDITAIS!I137,'CASA SONHAR'!I137,'Q. PROF.'!I137,PSICOSSOCIAL!I137,PEC!I137)</f>
        <v>0</v>
      </c>
      <c r="J137" s="37">
        <f>SUM(EDITAIS!J137,'CASA SONHAR'!J137,'Q. PROF.'!J137,PSICOSSOCIAL!J137,PEC!J137)</f>
        <v>0</v>
      </c>
      <c r="K137" s="37">
        <f>SUM(EDITAIS!K137,'CASA SONHAR'!K137,'Q. PROF.'!K137,PSICOSSOCIAL!K137,PEC!K137)</f>
        <v>0</v>
      </c>
      <c r="L137" s="37">
        <f>SUM(EDITAIS!L137,'CASA SONHAR'!L137,'Q. PROF.'!L137,PSICOSSOCIAL!L137,PEC!L137)</f>
        <v>0</v>
      </c>
      <c r="M137" s="37">
        <f>SUM(EDITAIS!M137,'CASA SONHAR'!M137,'Q. PROF.'!M137,PSICOSSOCIAL!M137,PEC!M137)</f>
        <v>0</v>
      </c>
      <c r="N137" s="37">
        <f>SUM(EDITAIS!N137,'CASA SONHAR'!N137,'Q. PROF.'!N137,PSICOSSOCIAL!N137,PEC!N137)</f>
        <v>0</v>
      </c>
      <c r="O137" s="5">
        <f t="shared" si="20"/>
        <v>0</v>
      </c>
    </row>
    <row r="138" spans="2:15" s="9" customFormat="1" ht="15.75" x14ac:dyDescent="0.25">
      <c r="C138" s="37">
        <f>SUM(EDITAIS!C138,'CASA SONHAR'!C138,'Q. PROF.'!C138,PSICOSSOCIAL!C138,PEC!C138)</f>
        <v>0</v>
      </c>
      <c r="D138" s="37">
        <f>SUM(EDITAIS!D138,'CASA SONHAR'!D138,'Q. PROF.'!D138,PSICOSSOCIAL!D138,PEC!D138)</f>
        <v>0</v>
      </c>
      <c r="E138" s="37">
        <f>SUM(EDITAIS!E138,'CASA SONHAR'!E138,'Q. PROF.'!E138,PSICOSSOCIAL!E138,PEC!E138)</f>
        <v>0</v>
      </c>
      <c r="F138" s="37">
        <f>SUM(EDITAIS!F138,'CASA SONHAR'!F138,'Q. PROF.'!F138,PSICOSSOCIAL!F138,PEC!F138)</f>
        <v>0</v>
      </c>
      <c r="G138" s="37">
        <f>SUM(EDITAIS!G138,'CASA SONHAR'!G138,'Q. PROF.'!G138,PSICOSSOCIAL!G138,PEC!G138)</f>
        <v>0</v>
      </c>
      <c r="H138" s="37">
        <f>SUM(EDITAIS!H138,'CASA SONHAR'!H138,'Q. PROF.'!H138,PSICOSSOCIAL!H138,PEC!H138)</f>
        <v>0</v>
      </c>
      <c r="I138" s="37">
        <f>SUM(EDITAIS!I138,'CASA SONHAR'!I138,'Q. PROF.'!I138,PSICOSSOCIAL!I138,PEC!I138)</f>
        <v>0</v>
      </c>
      <c r="J138" s="37">
        <f>SUM(EDITAIS!J138,'CASA SONHAR'!J138,'Q. PROF.'!J138,PSICOSSOCIAL!J138,PEC!J138)</f>
        <v>0</v>
      </c>
      <c r="K138" s="37">
        <f>SUM(EDITAIS!K138,'CASA SONHAR'!K138,'Q. PROF.'!K138,PSICOSSOCIAL!K138,PEC!K138)</f>
        <v>0</v>
      </c>
      <c r="L138" s="37">
        <f>SUM(EDITAIS!L138,'CASA SONHAR'!L138,'Q. PROF.'!L138,PSICOSSOCIAL!L138,PEC!L138)</f>
        <v>0</v>
      </c>
      <c r="M138" s="37">
        <f>SUM(EDITAIS!M138,'CASA SONHAR'!M138,'Q. PROF.'!M138,PSICOSSOCIAL!M138,PEC!M138)</f>
        <v>0</v>
      </c>
      <c r="N138" s="37">
        <f>SUM(EDITAIS!N138,'CASA SONHAR'!N138,'Q. PROF.'!N138,PSICOSSOCIAL!N138,PEC!N138)</f>
        <v>0</v>
      </c>
      <c r="O138" s="5">
        <f t="shared" si="20"/>
        <v>0</v>
      </c>
    </row>
    <row r="139" spans="2:15" s="9" customFormat="1" ht="15.75" x14ac:dyDescent="0.25"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17"/>
    </row>
    <row r="140" spans="2:15" s="9" customFormat="1" ht="15.75" x14ac:dyDescent="0.25"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17"/>
    </row>
    <row r="141" spans="2:15" s="9" customFormat="1" ht="15.75" x14ac:dyDescent="0.25"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17"/>
    </row>
    <row r="142" spans="2:15" s="9" customFormat="1" ht="15.75" x14ac:dyDescent="0.25"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17"/>
    </row>
    <row r="143" spans="2:15" s="9" customFormat="1" ht="15.75" x14ac:dyDescent="0.25"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17"/>
    </row>
    <row r="144" spans="2:15" s="9" customFormat="1" ht="15.75" x14ac:dyDescent="0.25">
      <c r="O144" s="17"/>
    </row>
    <row r="145" spans="15:15" s="9" customFormat="1" ht="15.75" x14ac:dyDescent="0.25">
      <c r="O145" s="17"/>
    </row>
    <row r="146" spans="15:15" s="9" customFormat="1" ht="15.75" x14ac:dyDescent="0.25">
      <c r="O146" s="17"/>
    </row>
    <row r="147" spans="15:15" s="9" customFormat="1" ht="15.75" x14ac:dyDescent="0.25">
      <c r="O147" s="17"/>
    </row>
    <row r="148" spans="15:15" s="9" customFormat="1" ht="15.75" x14ac:dyDescent="0.25">
      <c r="O148" s="17"/>
    </row>
    <row r="149" spans="15:15" s="9" customFormat="1" ht="15.75" x14ac:dyDescent="0.25">
      <c r="O149" s="17"/>
    </row>
    <row r="150" spans="15:15" s="9" customFormat="1" ht="15.75" x14ac:dyDescent="0.25">
      <c r="O150" s="17"/>
    </row>
    <row r="151" spans="15:15" s="9" customFormat="1" ht="15.75" x14ac:dyDescent="0.25">
      <c r="O151" s="17"/>
    </row>
    <row r="152" spans="15:15" s="9" customFormat="1" ht="15.75" x14ac:dyDescent="0.25">
      <c r="O152" s="17"/>
    </row>
    <row r="153" spans="15:15" s="9" customFormat="1" ht="15.75" x14ac:dyDescent="0.25">
      <c r="O153" s="17"/>
    </row>
    <row r="154" spans="15:15" s="9" customFormat="1" ht="15.75" x14ac:dyDescent="0.25">
      <c r="O154" s="17"/>
    </row>
    <row r="155" spans="15:15" s="9" customFormat="1" ht="15.75" x14ac:dyDescent="0.25">
      <c r="O155" s="17"/>
    </row>
    <row r="156" spans="15:15" s="9" customFormat="1" ht="15.75" x14ac:dyDescent="0.25">
      <c r="O156" s="17"/>
    </row>
    <row r="157" spans="15:15" s="9" customFormat="1" ht="15.75" x14ac:dyDescent="0.25">
      <c r="O157" s="17"/>
    </row>
    <row r="158" spans="15:15" s="9" customFormat="1" ht="15.75" x14ac:dyDescent="0.25">
      <c r="O158" s="17"/>
    </row>
    <row r="159" spans="15:15" s="9" customFormat="1" ht="15.75" x14ac:dyDescent="0.25">
      <c r="O159" s="17"/>
    </row>
    <row r="160" spans="15:15" s="9" customFormat="1" ht="15.75" x14ac:dyDescent="0.25">
      <c r="O160" s="17"/>
    </row>
    <row r="161" spans="15:15" s="9" customFormat="1" ht="15.75" x14ac:dyDescent="0.25">
      <c r="O161" s="17"/>
    </row>
    <row r="162" spans="15:15" s="9" customFormat="1" ht="15.75" x14ac:dyDescent="0.25">
      <c r="O162" s="17"/>
    </row>
    <row r="163" spans="15:15" s="9" customFormat="1" ht="15.75" x14ac:dyDescent="0.25">
      <c r="O163" s="17"/>
    </row>
    <row r="164" spans="15:15" s="9" customFormat="1" ht="15.75" x14ac:dyDescent="0.25">
      <c r="O164" s="17"/>
    </row>
    <row r="165" spans="15:15" s="9" customFormat="1" ht="15.75" x14ac:dyDescent="0.25">
      <c r="O165" s="17"/>
    </row>
  </sheetData>
  <sheetProtection formatCells="0" formatColumns="0" formatRows="0" insertColumns="0" insertRows="0" insertHyperlinks="0" deleteColumns="0" deleteRows="0" sort="0" autoFilter="0" pivotTables="0"/>
  <mergeCells count="2">
    <mergeCell ref="C1:O1"/>
    <mergeCell ref="A2:B2"/>
  </mergeCells>
  <pageMargins left="0" right="0" top="0.75" bottom="0.75" header="0.3" footer="0.3"/>
  <pageSetup paperSize="9" fitToHeight="0" orientation="landscape"/>
  <headerFooter>
    <oddFooter>&amp;L&amp;Bfinancas - previsto x realizad&amp;RPágina &amp;P de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4988-2A79-49A5-93BE-C7DEB5C0D169}">
  <sheetPr>
    <tabColor theme="8" tint="0.39997558519241921"/>
    <pageSetUpPr fitToPage="1"/>
  </sheetPr>
  <dimension ref="A1:O165"/>
  <sheetViews>
    <sheetView showGridLines="0" zoomScale="55" zoomScaleNormal="55" workbookViewId="0">
      <pane xSplit="2" ySplit="3" topLeftCell="C37" activePane="bottomRight" state="frozen"/>
      <selection pane="topRight"/>
      <selection pane="bottomLeft"/>
      <selection pane="bottomRight" activeCell="J47" sqref="C47:J47"/>
    </sheetView>
  </sheetViews>
  <sheetFormatPr defaultRowHeight="15" customHeight="1" x14ac:dyDescent="0.25"/>
  <cols>
    <col min="1" max="1" width="6.42578125" customWidth="1"/>
    <col min="2" max="2" width="40.85546875" bestFit="1" customWidth="1"/>
    <col min="3" max="8" width="22.7109375" bestFit="1" customWidth="1"/>
    <col min="9" max="10" width="23.28515625" bestFit="1" customWidth="1"/>
    <col min="11" max="11" width="22.7109375" bestFit="1" customWidth="1"/>
    <col min="12" max="14" width="23.28515625" bestFit="1" customWidth="1"/>
    <col min="15" max="15" width="23.28515625" style="220" bestFit="1" customWidth="1"/>
  </cols>
  <sheetData>
    <row r="1" spans="1:15" ht="68.25" customHeight="1" x14ac:dyDescent="0.25">
      <c r="C1" s="286" t="s">
        <v>255</v>
      </c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5" ht="24.95" customHeight="1" x14ac:dyDescent="0.25">
      <c r="A2" s="287" t="s">
        <v>246</v>
      </c>
      <c r="B2" s="287"/>
      <c r="C2" s="184">
        <f>C47/O$47</f>
        <v>8.3333333333333329E-2</v>
      </c>
      <c r="D2" s="184">
        <f>D47/$O$47</f>
        <v>8.3333333333333329E-2</v>
      </c>
      <c r="E2" s="184">
        <f>E47/$O$47</f>
        <v>8.3333333333333329E-2</v>
      </c>
      <c r="F2" s="184">
        <f t="shared" ref="F2:N2" si="0">F47/$O$47</f>
        <v>8.3333333333333329E-2</v>
      </c>
      <c r="G2" s="184">
        <f t="shared" si="0"/>
        <v>8.3333333333333329E-2</v>
      </c>
      <c r="H2" s="184">
        <f t="shared" si="0"/>
        <v>8.3333333333333329E-2</v>
      </c>
      <c r="I2" s="184">
        <f t="shared" si="0"/>
        <v>8.3333333333333329E-2</v>
      </c>
      <c r="J2" s="184">
        <f t="shared" si="0"/>
        <v>8.3333333333333329E-2</v>
      </c>
      <c r="K2" s="184">
        <f t="shared" si="0"/>
        <v>8.3333333333333329E-2</v>
      </c>
      <c r="L2" s="184">
        <f t="shared" si="0"/>
        <v>8.3333333333333329E-2</v>
      </c>
      <c r="M2" s="184">
        <f t="shared" si="0"/>
        <v>8.3333333333333329E-2</v>
      </c>
      <c r="N2" s="184">
        <f t="shared" si="0"/>
        <v>8.3333333333333329E-2</v>
      </c>
    </row>
    <row r="3" spans="1:15" ht="22.5" x14ac:dyDescent="0.25">
      <c r="B3" s="2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210" t="s">
        <v>5</v>
      </c>
    </row>
    <row r="4" spans="1:15" ht="22.5" x14ac:dyDescent="0.25">
      <c r="B4" s="31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211"/>
    </row>
    <row r="5" spans="1:15" ht="19.5" x14ac:dyDescent="0.25">
      <c r="B5" s="33" t="s">
        <v>29</v>
      </c>
      <c r="C5" s="243">
        <f>C6</f>
        <v>-10375</v>
      </c>
      <c r="D5" s="243">
        <f t="shared" ref="D5:N5" si="1">C5+D6</f>
        <v>-7750</v>
      </c>
      <c r="E5" s="243">
        <f t="shared" si="1"/>
        <v>-5125</v>
      </c>
      <c r="F5" s="243">
        <f t="shared" si="1"/>
        <v>-2500</v>
      </c>
      <c r="G5" s="243">
        <f t="shared" si="1"/>
        <v>125</v>
      </c>
      <c r="H5" s="243">
        <f t="shared" si="1"/>
        <v>2750</v>
      </c>
      <c r="I5" s="243">
        <f t="shared" si="1"/>
        <v>5375</v>
      </c>
      <c r="J5" s="243">
        <f t="shared" si="1"/>
        <v>8000</v>
      </c>
      <c r="K5" s="243">
        <f t="shared" si="1"/>
        <v>10625</v>
      </c>
      <c r="L5" s="243">
        <f t="shared" si="1"/>
        <v>13250</v>
      </c>
      <c r="M5" s="243">
        <f t="shared" si="1"/>
        <v>15875</v>
      </c>
      <c r="N5" s="243">
        <f t="shared" si="1"/>
        <v>5500</v>
      </c>
      <c r="O5" s="212"/>
    </row>
    <row r="6" spans="1:15" ht="19.5" x14ac:dyDescent="0.25">
      <c r="B6" s="33" t="s">
        <v>30</v>
      </c>
      <c r="C6" s="243">
        <f t="shared" ref="C6:N6" si="2">SUM(C8-C47)</f>
        <v>-10375</v>
      </c>
      <c r="D6" s="243">
        <f t="shared" si="2"/>
        <v>2625</v>
      </c>
      <c r="E6" s="243">
        <f t="shared" si="2"/>
        <v>2625</v>
      </c>
      <c r="F6" s="243">
        <f t="shared" si="2"/>
        <v>2625</v>
      </c>
      <c r="G6" s="243">
        <f t="shared" si="2"/>
        <v>2625</v>
      </c>
      <c r="H6" s="243">
        <f t="shared" si="2"/>
        <v>2625</v>
      </c>
      <c r="I6" s="243">
        <f t="shared" si="2"/>
        <v>2625</v>
      </c>
      <c r="J6" s="243">
        <f t="shared" si="2"/>
        <v>2625</v>
      </c>
      <c r="K6" s="243">
        <f t="shared" si="2"/>
        <v>2625</v>
      </c>
      <c r="L6" s="243">
        <f t="shared" si="2"/>
        <v>2625</v>
      </c>
      <c r="M6" s="243">
        <f t="shared" si="2"/>
        <v>2625</v>
      </c>
      <c r="N6" s="243">
        <f t="shared" si="2"/>
        <v>-10375</v>
      </c>
      <c r="O6" s="212">
        <f>SUM(C6:N6)</f>
        <v>5500</v>
      </c>
    </row>
    <row r="7" spans="1:15" ht="22.5" x14ac:dyDescent="0.25">
      <c r="B7" s="31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11"/>
    </row>
    <row r="8" spans="1:15" s="9" customFormat="1" ht="19.5" x14ac:dyDescent="0.25">
      <c r="B8" s="18" t="s">
        <v>31</v>
      </c>
      <c r="C8" s="49">
        <f>SUM(C9,C16,C22,C28,C33,C37,C40,C43)</f>
        <v>0</v>
      </c>
      <c r="D8" s="49">
        <f t="shared" ref="D8:N8" si="3">SUM(D9,D16,D22,D28,D33,D37,D40,D43)</f>
        <v>13000</v>
      </c>
      <c r="E8" s="49">
        <f t="shared" si="3"/>
        <v>13000</v>
      </c>
      <c r="F8" s="49">
        <f t="shared" si="3"/>
        <v>13000</v>
      </c>
      <c r="G8" s="49">
        <f t="shared" si="3"/>
        <v>13000</v>
      </c>
      <c r="H8" s="49">
        <f t="shared" si="3"/>
        <v>13000</v>
      </c>
      <c r="I8" s="49">
        <f t="shared" si="3"/>
        <v>13000</v>
      </c>
      <c r="J8" s="49">
        <f t="shared" si="3"/>
        <v>13000</v>
      </c>
      <c r="K8" s="49">
        <f t="shared" si="3"/>
        <v>13000</v>
      </c>
      <c r="L8" s="49">
        <f t="shared" si="3"/>
        <v>13000</v>
      </c>
      <c r="M8" s="49">
        <f t="shared" si="3"/>
        <v>13000</v>
      </c>
      <c r="N8" s="49">
        <f t="shared" si="3"/>
        <v>0</v>
      </c>
      <c r="O8" s="213">
        <f>SUM(C8:N8)</f>
        <v>130000</v>
      </c>
    </row>
    <row r="9" spans="1:15" s="42" customFormat="1" ht="19.5" hidden="1" x14ac:dyDescent="0.4">
      <c r="B9" s="10" t="s">
        <v>32</v>
      </c>
      <c r="C9" s="40">
        <f>SUM(C10:C15)</f>
        <v>0</v>
      </c>
      <c r="D9" s="40">
        <f>SUM(D10:D15)</f>
        <v>0</v>
      </c>
      <c r="E9" s="40">
        <f>SUM(E10:E15)</f>
        <v>0</v>
      </c>
      <c r="F9" s="40">
        <f t="shared" ref="F9:N9" si="4">SUM(F10:F15)</f>
        <v>0</v>
      </c>
      <c r="G9" s="40">
        <f>SUM(G10:G15)</f>
        <v>0</v>
      </c>
      <c r="H9" s="40">
        <f t="shared" si="4"/>
        <v>0</v>
      </c>
      <c r="I9" s="40">
        <f t="shared" si="4"/>
        <v>0</v>
      </c>
      <c r="J9" s="40">
        <f t="shared" si="4"/>
        <v>0</v>
      </c>
      <c r="K9" s="40">
        <f t="shared" si="4"/>
        <v>0</v>
      </c>
      <c r="L9" s="40">
        <f t="shared" si="4"/>
        <v>0</v>
      </c>
      <c r="M9" s="40">
        <f t="shared" si="4"/>
        <v>0</v>
      </c>
      <c r="N9" s="40">
        <f t="shared" si="4"/>
        <v>0</v>
      </c>
      <c r="O9" s="214">
        <f>SUM(C9:N9)</f>
        <v>0</v>
      </c>
    </row>
    <row r="10" spans="1:15" s="9" customFormat="1" ht="16.5" hidden="1" x14ac:dyDescent="0.25">
      <c r="B10" s="36" t="s">
        <v>33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215">
        <f t="shared" ref="O10:O73" si="5">SUM(C10:N10)</f>
        <v>0</v>
      </c>
    </row>
    <row r="11" spans="1:15" s="9" customFormat="1" ht="16.5" hidden="1" x14ac:dyDescent="0.25">
      <c r="B11" s="36" t="s">
        <v>34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215">
        <f t="shared" si="5"/>
        <v>0</v>
      </c>
    </row>
    <row r="12" spans="1:15" s="9" customFormat="1" ht="16.5" hidden="1" x14ac:dyDescent="0.25">
      <c r="B12" s="36" t="s">
        <v>35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215">
        <f t="shared" si="5"/>
        <v>0</v>
      </c>
    </row>
    <row r="13" spans="1:15" s="9" customFormat="1" ht="16.5" hidden="1" x14ac:dyDescent="0.25">
      <c r="B13" s="36" t="s">
        <v>36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215">
        <f t="shared" si="5"/>
        <v>0</v>
      </c>
    </row>
    <row r="14" spans="1:15" s="9" customFormat="1" ht="16.5" hidden="1" x14ac:dyDescent="0.25">
      <c r="B14" s="36" t="s">
        <v>37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215">
        <f t="shared" si="5"/>
        <v>0</v>
      </c>
    </row>
    <row r="15" spans="1:15" s="9" customFormat="1" ht="16.5" hidden="1" x14ac:dyDescent="0.25">
      <c r="B15" s="36" t="s">
        <v>38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215">
        <f t="shared" si="5"/>
        <v>0</v>
      </c>
    </row>
    <row r="16" spans="1:15" s="42" customFormat="1" ht="19.5" hidden="1" x14ac:dyDescent="0.4">
      <c r="B16" s="10" t="s">
        <v>39</v>
      </c>
      <c r="C16" s="40">
        <f>SUM(C17:C21)</f>
        <v>0</v>
      </c>
      <c r="D16" s="40">
        <f>SUM(D17:D21)</f>
        <v>0</v>
      </c>
      <c r="E16" s="40">
        <f t="shared" ref="E16:L16" si="6">SUM(E17:E21)</f>
        <v>0</v>
      </c>
      <c r="F16" s="40">
        <f t="shared" si="6"/>
        <v>0</v>
      </c>
      <c r="G16" s="40">
        <f>SUM(G17:G21)</f>
        <v>0</v>
      </c>
      <c r="H16" s="40">
        <f t="shared" si="6"/>
        <v>0</v>
      </c>
      <c r="I16" s="40">
        <f t="shared" si="6"/>
        <v>0</v>
      </c>
      <c r="J16" s="40">
        <f t="shared" si="6"/>
        <v>0</v>
      </c>
      <c r="K16" s="40">
        <f t="shared" si="6"/>
        <v>0</v>
      </c>
      <c r="L16" s="40">
        <f t="shared" si="6"/>
        <v>0</v>
      </c>
      <c r="M16" s="40">
        <f>SUM(M17:M21)</f>
        <v>0</v>
      </c>
      <c r="N16" s="40">
        <f>SUM(N17:N21)</f>
        <v>0</v>
      </c>
      <c r="O16" s="214">
        <f>SUM(C16:N16)</f>
        <v>0</v>
      </c>
    </row>
    <row r="17" spans="2:15" s="9" customFormat="1" ht="16.5" hidden="1" x14ac:dyDescent="0.25">
      <c r="B17" s="36" t="s">
        <v>40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215">
        <f t="shared" si="5"/>
        <v>0</v>
      </c>
    </row>
    <row r="18" spans="2:15" s="9" customFormat="1" ht="16.5" hidden="1" x14ac:dyDescent="0.25">
      <c r="B18" s="36" t="s">
        <v>41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215">
        <f t="shared" si="5"/>
        <v>0</v>
      </c>
    </row>
    <row r="19" spans="2:15" s="9" customFormat="1" ht="16.5" hidden="1" x14ac:dyDescent="0.25">
      <c r="B19" s="36" t="s">
        <v>42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215">
        <f t="shared" si="5"/>
        <v>0</v>
      </c>
    </row>
    <row r="20" spans="2:15" s="9" customFormat="1" ht="16.5" hidden="1" x14ac:dyDescent="0.25">
      <c r="B20" s="36" t="s">
        <v>43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215">
        <f t="shared" si="5"/>
        <v>0</v>
      </c>
    </row>
    <row r="21" spans="2:15" s="9" customFormat="1" ht="16.5" hidden="1" x14ac:dyDescent="0.25">
      <c r="B21" s="36" t="s">
        <v>44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215">
        <f t="shared" si="5"/>
        <v>0</v>
      </c>
    </row>
    <row r="22" spans="2:15" s="42" customFormat="1" ht="19.5" x14ac:dyDescent="0.4">
      <c r="B22" s="10" t="s">
        <v>45</v>
      </c>
      <c r="C22" s="40">
        <f>SUM(C23:C27)</f>
        <v>0</v>
      </c>
      <c r="D22" s="40">
        <f t="shared" ref="D22:N22" si="7">SUM(D23:D27)</f>
        <v>0</v>
      </c>
      <c r="E22" s="40">
        <f t="shared" si="7"/>
        <v>0</v>
      </c>
      <c r="F22" s="40">
        <f t="shared" si="7"/>
        <v>0</v>
      </c>
      <c r="G22" s="40">
        <f t="shared" si="7"/>
        <v>0</v>
      </c>
      <c r="H22" s="40">
        <f t="shared" si="7"/>
        <v>0</v>
      </c>
      <c r="I22" s="40">
        <f t="shared" si="7"/>
        <v>0</v>
      </c>
      <c r="J22" s="40">
        <f t="shared" si="7"/>
        <v>0</v>
      </c>
      <c r="K22" s="40">
        <f t="shared" si="7"/>
        <v>0</v>
      </c>
      <c r="L22" s="40">
        <f t="shared" si="7"/>
        <v>0</v>
      </c>
      <c r="M22" s="40">
        <f t="shared" si="7"/>
        <v>0</v>
      </c>
      <c r="N22" s="40">
        <f t="shared" si="7"/>
        <v>0</v>
      </c>
      <c r="O22" s="214">
        <f t="shared" si="5"/>
        <v>0</v>
      </c>
    </row>
    <row r="23" spans="2:15" s="9" customFormat="1" ht="16.5" x14ac:dyDescent="0.25">
      <c r="B23" s="12" t="s">
        <v>46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215">
        <f t="shared" si="5"/>
        <v>0</v>
      </c>
    </row>
    <row r="24" spans="2:15" s="9" customFormat="1" ht="16.5" x14ac:dyDescent="0.25">
      <c r="B24" s="12" t="s">
        <v>47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215">
        <f t="shared" si="5"/>
        <v>0</v>
      </c>
    </row>
    <row r="25" spans="2:15" s="9" customFormat="1" ht="16.5" x14ac:dyDescent="0.25">
      <c r="B25" s="12" t="s">
        <v>48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215">
        <f t="shared" si="5"/>
        <v>0</v>
      </c>
    </row>
    <row r="26" spans="2:15" s="9" customFormat="1" ht="16.5" x14ac:dyDescent="0.25">
      <c r="B26" s="12" t="s">
        <v>49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215">
        <f t="shared" si="5"/>
        <v>0</v>
      </c>
    </row>
    <row r="27" spans="2:15" s="9" customFormat="1" ht="16.5" x14ac:dyDescent="0.25">
      <c r="B27" s="12" t="s">
        <v>50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215">
        <f t="shared" si="5"/>
        <v>0</v>
      </c>
    </row>
    <row r="28" spans="2:15" s="42" customFormat="1" ht="19.5" x14ac:dyDescent="0.4">
      <c r="B28" s="10" t="s">
        <v>51</v>
      </c>
      <c r="C28" s="40">
        <f>SUM(C29:C32)</f>
        <v>0</v>
      </c>
      <c r="D28" s="40">
        <f t="shared" ref="D28:N28" si="8">SUM(D29:D32)</f>
        <v>0</v>
      </c>
      <c r="E28" s="40">
        <f t="shared" si="8"/>
        <v>0</v>
      </c>
      <c r="F28" s="40">
        <f t="shared" si="8"/>
        <v>0</v>
      </c>
      <c r="G28" s="40">
        <f t="shared" si="8"/>
        <v>0</v>
      </c>
      <c r="H28" s="40">
        <f t="shared" si="8"/>
        <v>0</v>
      </c>
      <c r="I28" s="40">
        <f t="shared" si="8"/>
        <v>0</v>
      </c>
      <c r="J28" s="40">
        <f t="shared" si="8"/>
        <v>0</v>
      </c>
      <c r="K28" s="40">
        <f t="shared" si="8"/>
        <v>0</v>
      </c>
      <c r="L28" s="40">
        <f t="shared" si="8"/>
        <v>0</v>
      </c>
      <c r="M28" s="40">
        <f t="shared" si="8"/>
        <v>0</v>
      </c>
      <c r="N28" s="40">
        <f t="shared" si="8"/>
        <v>0</v>
      </c>
      <c r="O28" s="214">
        <f>SUM(C28:N28)</f>
        <v>0</v>
      </c>
    </row>
    <row r="29" spans="2:15" s="9" customFormat="1" ht="16.5" x14ac:dyDescent="0.25">
      <c r="B29" s="12" t="s">
        <v>52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215">
        <f>SUM(C29:N29)</f>
        <v>0</v>
      </c>
    </row>
    <row r="30" spans="2:15" s="9" customFormat="1" ht="16.5" x14ac:dyDescent="0.25">
      <c r="B30" s="12" t="s">
        <v>53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215">
        <f t="shared" si="5"/>
        <v>0</v>
      </c>
    </row>
    <row r="31" spans="2:15" s="9" customFormat="1" ht="16.5" x14ac:dyDescent="0.25">
      <c r="B31" s="12" t="s">
        <v>54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215">
        <f t="shared" si="5"/>
        <v>0</v>
      </c>
    </row>
    <row r="32" spans="2:15" s="9" customFormat="1" ht="16.5" x14ac:dyDescent="0.25">
      <c r="B32" s="12" t="s">
        <v>55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215">
        <f t="shared" si="5"/>
        <v>0</v>
      </c>
    </row>
    <row r="33" spans="2:15" s="42" customFormat="1" ht="19.5" x14ac:dyDescent="0.4">
      <c r="B33" s="10" t="s">
        <v>56</v>
      </c>
      <c r="C33" s="40">
        <f>SUM(C34:C36)</f>
        <v>0</v>
      </c>
      <c r="D33" s="40">
        <f>SUM(D34:D36)</f>
        <v>0</v>
      </c>
      <c r="E33" s="40">
        <f>SUM(E34:E36)</f>
        <v>0</v>
      </c>
      <c r="F33" s="40">
        <f t="shared" ref="F33:N33" si="9">SUM(F34:F36)</f>
        <v>0</v>
      </c>
      <c r="G33" s="40">
        <f t="shared" si="9"/>
        <v>0</v>
      </c>
      <c r="H33" s="40">
        <f t="shared" si="9"/>
        <v>0</v>
      </c>
      <c r="I33" s="40">
        <f>SUM(I34:I36)</f>
        <v>0</v>
      </c>
      <c r="J33" s="40">
        <f t="shared" si="9"/>
        <v>0</v>
      </c>
      <c r="K33" s="40">
        <f t="shared" si="9"/>
        <v>0</v>
      </c>
      <c r="L33" s="40">
        <f t="shared" si="9"/>
        <v>0</v>
      </c>
      <c r="M33" s="40">
        <f t="shared" si="9"/>
        <v>0</v>
      </c>
      <c r="N33" s="40">
        <f t="shared" si="9"/>
        <v>0</v>
      </c>
      <c r="O33" s="214">
        <f t="shared" si="5"/>
        <v>0</v>
      </c>
    </row>
    <row r="34" spans="2:15" s="9" customFormat="1" ht="16.5" x14ac:dyDescent="0.25">
      <c r="B34" s="12" t="s">
        <v>57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215">
        <f t="shared" si="5"/>
        <v>0</v>
      </c>
    </row>
    <row r="35" spans="2:15" s="9" customFormat="1" ht="16.5" x14ac:dyDescent="0.25">
      <c r="B35" s="12" t="s">
        <v>58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215">
        <f t="shared" si="5"/>
        <v>0</v>
      </c>
    </row>
    <row r="36" spans="2:15" s="9" customFormat="1" ht="16.5" x14ac:dyDescent="0.25">
      <c r="B36" s="12" t="s">
        <v>59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215">
        <f t="shared" si="5"/>
        <v>0</v>
      </c>
    </row>
    <row r="37" spans="2:15" s="42" customFormat="1" ht="19.5" x14ac:dyDescent="0.4">
      <c r="B37" s="10" t="s">
        <v>60</v>
      </c>
      <c r="C37" s="40">
        <f>SUM(C38:C39)</f>
        <v>0</v>
      </c>
      <c r="D37" s="40">
        <f t="shared" ref="D37:N37" si="10">SUM(D38:D39)</f>
        <v>13000</v>
      </c>
      <c r="E37" s="40">
        <f t="shared" si="10"/>
        <v>13000</v>
      </c>
      <c r="F37" s="40">
        <f t="shared" si="10"/>
        <v>13000</v>
      </c>
      <c r="G37" s="40">
        <f t="shared" si="10"/>
        <v>13000</v>
      </c>
      <c r="H37" s="40">
        <f t="shared" si="10"/>
        <v>13000</v>
      </c>
      <c r="I37" s="40">
        <f t="shared" si="10"/>
        <v>13000</v>
      </c>
      <c r="J37" s="40">
        <f t="shared" si="10"/>
        <v>13000</v>
      </c>
      <c r="K37" s="40">
        <f t="shared" si="10"/>
        <v>13000</v>
      </c>
      <c r="L37" s="40">
        <f t="shared" si="10"/>
        <v>13000</v>
      </c>
      <c r="M37" s="40">
        <f t="shared" si="10"/>
        <v>13000</v>
      </c>
      <c r="N37" s="40">
        <f t="shared" si="10"/>
        <v>0</v>
      </c>
      <c r="O37" s="214">
        <f t="shared" si="5"/>
        <v>130000</v>
      </c>
    </row>
    <row r="38" spans="2:15" s="9" customFormat="1" ht="16.5" x14ac:dyDescent="0.25">
      <c r="B38" s="12" t="s">
        <v>61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215">
        <f t="shared" si="5"/>
        <v>0</v>
      </c>
    </row>
    <row r="39" spans="2:15" s="9" customFormat="1" ht="16.5" x14ac:dyDescent="0.25">
      <c r="B39" s="12" t="s">
        <v>62</v>
      </c>
      <c r="C39" s="37">
        <v>0</v>
      </c>
      <c r="D39" s="37">
        <v>13000</v>
      </c>
      <c r="E39" s="37">
        <v>13000</v>
      </c>
      <c r="F39" s="37">
        <v>13000</v>
      </c>
      <c r="G39" s="37">
        <v>13000</v>
      </c>
      <c r="H39" s="37">
        <v>13000</v>
      </c>
      <c r="I39" s="37">
        <v>13000</v>
      </c>
      <c r="J39" s="37">
        <v>13000</v>
      </c>
      <c r="K39" s="37">
        <v>13000</v>
      </c>
      <c r="L39" s="37">
        <v>13000</v>
      </c>
      <c r="M39" s="37">
        <v>13000</v>
      </c>
      <c r="N39" s="37">
        <v>0</v>
      </c>
      <c r="O39" s="215">
        <f t="shared" si="5"/>
        <v>130000</v>
      </c>
    </row>
    <row r="40" spans="2:15" s="42" customFormat="1" ht="19.5" x14ac:dyDescent="0.4">
      <c r="B40" s="10" t="s">
        <v>63</v>
      </c>
      <c r="C40" s="40">
        <f>SUM(C41:C42)</f>
        <v>0</v>
      </c>
      <c r="D40" s="40">
        <f t="shared" ref="D40:N40" si="11">SUM(D41:D42)</f>
        <v>0</v>
      </c>
      <c r="E40" s="40">
        <f t="shared" si="11"/>
        <v>0</v>
      </c>
      <c r="F40" s="40">
        <f t="shared" si="11"/>
        <v>0</v>
      </c>
      <c r="G40" s="40">
        <f t="shared" si="11"/>
        <v>0</v>
      </c>
      <c r="H40" s="40">
        <f t="shared" si="11"/>
        <v>0</v>
      </c>
      <c r="I40" s="40">
        <f t="shared" si="11"/>
        <v>0</v>
      </c>
      <c r="J40" s="40">
        <f t="shared" si="11"/>
        <v>0</v>
      </c>
      <c r="K40" s="40">
        <f t="shared" si="11"/>
        <v>0</v>
      </c>
      <c r="L40" s="40">
        <f t="shared" si="11"/>
        <v>0</v>
      </c>
      <c r="M40" s="40">
        <f t="shared" si="11"/>
        <v>0</v>
      </c>
      <c r="N40" s="40">
        <f t="shared" si="11"/>
        <v>0</v>
      </c>
      <c r="O40" s="214">
        <f t="shared" si="5"/>
        <v>0</v>
      </c>
    </row>
    <row r="41" spans="2:15" s="9" customFormat="1" ht="16.5" x14ac:dyDescent="0.25">
      <c r="B41" s="12" t="s">
        <v>64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215">
        <f t="shared" si="5"/>
        <v>0</v>
      </c>
    </row>
    <row r="42" spans="2:15" s="9" customFormat="1" ht="16.5" x14ac:dyDescent="0.25">
      <c r="B42" s="12" t="s">
        <v>65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215">
        <f t="shared" si="5"/>
        <v>0</v>
      </c>
    </row>
    <row r="43" spans="2:15" s="42" customFormat="1" ht="19.5" x14ac:dyDescent="0.4">
      <c r="B43" s="10" t="s">
        <v>66</v>
      </c>
      <c r="C43" s="40">
        <f t="shared" ref="C43:N43" si="12">SUM(C44:C46)</f>
        <v>0</v>
      </c>
      <c r="D43" s="40">
        <f t="shared" si="12"/>
        <v>0</v>
      </c>
      <c r="E43" s="40">
        <f t="shared" si="12"/>
        <v>0</v>
      </c>
      <c r="F43" s="40">
        <f t="shared" si="12"/>
        <v>0</v>
      </c>
      <c r="G43" s="40">
        <f t="shared" si="12"/>
        <v>0</v>
      </c>
      <c r="H43" s="40">
        <f t="shared" si="12"/>
        <v>0</v>
      </c>
      <c r="I43" s="40">
        <f t="shared" si="12"/>
        <v>0</v>
      </c>
      <c r="J43" s="40">
        <f t="shared" si="12"/>
        <v>0</v>
      </c>
      <c r="K43" s="40">
        <f t="shared" si="12"/>
        <v>0</v>
      </c>
      <c r="L43" s="40">
        <f t="shared" si="12"/>
        <v>0</v>
      </c>
      <c r="M43" s="40">
        <f t="shared" si="12"/>
        <v>0</v>
      </c>
      <c r="N43" s="40">
        <f t="shared" si="12"/>
        <v>0</v>
      </c>
      <c r="O43" s="214">
        <f t="shared" si="5"/>
        <v>0</v>
      </c>
    </row>
    <row r="44" spans="2:15" s="9" customFormat="1" ht="16.5" x14ac:dyDescent="0.25">
      <c r="B44" s="47" t="s">
        <v>247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215">
        <f t="shared" si="5"/>
        <v>0</v>
      </c>
    </row>
    <row r="45" spans="2:15" s="9" customFormat="1" ht="16.5" x14ac:dyDescent="0.25">
      <c r="B45" s="12" t="s">
        <v>68</v>
      </c>
      <c r="C45" s="37">
        <v>0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215">
        <f t="shared" si="5"/>
        <v>0</v>
      </c>
    </row>
    <row r="46" spans="2:15" s="9" customFormat="1" ht="16.5" x14ac:dyDescent="0.25">
      <c r="B46" s="12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215">
        <f t="shared" si="5"/>
        <v>0</v>
      </c>
    </row>
    <row r="47" spans="2:15" s="9" customFormat="1" ht="19.5" x14ac:dyDescent="0.25">
      <c r="B47" s="19" t="s">
        <v>69</v>
      </c>
      <c r="C47" s="48">
        <f t="shared" ref="C47:N47" si="13">SUM(C48,C50,C53,C75,C99,C105,C116,C120,C123,C126,C130,C133)</f>
        <v>10375</v>
      </c>
      <c r="D47" s="48">
        <f t="shared" si="13"/>
        <v>10375</v>
      </c>
      <c r="E47" s="48">
        <f t="shared" si="13"/>
        <v>10375</v>
      </c>
      <c r="F47" s="48">
        <f t="shared" si="13"/>
        <v>10375</v>
      </c>
      <c r="G47" s="48">
        <f t="shared" si="13"/>
        <v>10375</v>
      </c>
      <c r="H47" s="48">
        <f t="shared" si="13"/>
        <v>10375</v>
      </c>
      <c r="I47" s="48">
        <f t="shared" si="13"/>
        <v>10375</v>
      </c>
      <c r="J47" s="48">
        <f t="shared" si="13"/>
        <v>10375</v>
      </c>
      <c r="K47" s="48">
        <f t="shared" si="13"/>
        <v>10375</v>
      </c>
      <c r="L47" s="48">
        <f t="shared" si="13"/>
        <v>10375</v>
      </c>
      <c r="M47" s="48">
        <f t="shared" si="13"/>
        <v>10375</v>
      </c>
      <c r="N47" s="48">
        <f t="shared" si="13"/>
        <v>10375</v>
      </c>
      <c r="O47" s="217">
        <f t="shared" si="5"/>
        <v>124500</v>
      </c>
    </row>
    <row r="48" spans="2:15" s="42" customFormat="1" ht="19.5" x14ac:dyDescent="0.4">
      <c r="B48" s="15" t="s">
        <v>70</v>
      </c>
      <c r="C48" s="43">
        <f>SUM(C49)</f>
        <v>0</v>
      </c>
      <c r="D48" s="43">
        <f t="shared" ref="D48:N48" si="14">SUM(D49)</f>
        <v>0</v>
      </c>
      <c r="E48" s="43">
        <f t="shared" si="14"/>
        <v>0</v>
      </c>
      <c r="F48" s="43">
        <f t="shared" si="14"/>
        <v>0</v>
      </c>
      <c r="G48" s="43">
        <f t="shared" si="14"/>
        <v>0</v>
      </c>
      <c r="H48" s="43">
        <f t="shared" si="14"/>
        <v>0</v>
      </c>
      <c r="I48" s="43">
        <f t="shared" si="14"/>
        <v>0</v>
      </c>
      <c r="J48" s="43">
        <f t="shared" si="14"/>
        <v>0</v>
      </c>
      <c r="K48" s="43">
        <f t="shared" si="14"/>
        <v>0</v>
      </c>
      <c r="L48" s="43">
        <f t="shared" si="14"/>
        <v>0</v>
      </c>
      <c r="M48" s="43">
        <f t="shared" si="14"/>
        <v>0</v>
      </c>
      <c r="N48" s="43">
        <f t="shared" si="14"/>
        <v>0</v>
      </c>
      <c r="O48" s="218">
        <f t="shared" si="5"/>
        <v>0</v>
      </c>
    </row>
    <row r="49" spans="2:15" s="9" customFormat="1" ht="16.5" x14ac:dyDescent="0.25">
      <c r="B49" s="12" t="s">
        <v>71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215">
        <f t="shared" si="5"/>
        <v>0</v>
      </c>
    </row>
    <row r="50" spans="2:15" s="42" customFormat="1" ht="19.5" x14ac:dyDescent="0.4">
      <c r="B50" s="15" t="s">
        <v>72</v>
      </c>
      <c r="C50" s="43">
        <f t="shared" ref="C50:N50" si="15">SUM(C51:C52)</f>
        <v>0</v>
      </c>
      <c r="D50" s="43">
        <f t="shared" si="15"/>
        <v>0</v>
      </c>
      <c r="E50" s="43">
        <f t="shared" si="15"/>
        <v>0</v>
      </c>
      <c r="F50" s="43">
        <f t="shared" si="15"/>
        <v>0</v>
      </c>
      <c r="G50" s="43">
        <f t="shared" si="15"/>
        <v>0</v>
      </c>
      <c r="H50" s="43">
        <f t="shared" si="15"/>
        <v>0</v>
      </c>
      <c r="I50" s="43">
        <f t="shared" si="15"/>
        <v>0</v>
      </c>
      <c r="J50" s="43">
        <f t="shared" si="15"/>
        <v>0</v>
      </c>
      <c r="K50" s="43">
        <f t="shared" si="15"/>
        <v>0</v>
      </c>
      <c r="L50" s="43">
        <f t="shared" si="15"/>
        <v>0</v>
      </c>
      <c r="M50" s="43">
        <f t="shared" si="15"/>
        <v>0</v>
      </c>
      <c r="N50" s="43">
        <f t="shared" si="15"/>
        <v>0</v>
      </c>
      <c r="O50" s="218">
        <f t="shared" si="5"/>
        <v>0</v>
      </c>
    </row>
    <row r="51" spans="2:15" s="9" customFormat="1" ht="16.5" x14ac:dyDescent="0.25">
      <c r="B51" s="12" t="s">
        <v>73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215">
        <f t="shared" si="5"/>
        <v>0</v>
      </c>
    </row>
    <row r="52" spans="2:15" s="9" customFormat="1" ht="16.5" x14ac:dyDescent="0.25">
      <c r="B52" s="12" t="s">
        <v>74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215">
        <f t="shared" si="5"/>
        <v>0</v>
      </c>
    </row>
    <row r="53" spans="2:15" s="42" customFormat="1" ht="19.5" x14ac:dyDescent="0.4">
      <c r="B53" s="15" t="s">
        <v>75</v>
      </c>
      <c r="C53" s="43">
        <f>SUM(C54:C74)</f>
        <v>7800</v>
      </c>
      <c r="D53" s="43">
        <f t="shared" ref="D53:N53" si="16">SUM(D54:D74)</f>
        <v>7800</v>
      </c>
      <c r="E53" s="43">
        <f t="shared" si="16"/>
        <v>7800</v>
      </c>
      <c r="F53" s="43">
        <f t="shared" si="16"/>
        <v>7800</v>
      </c>
      <c r="G53" s="43">
        <f t="shared" si="16"/>
        <v>7800</v>
      </c>
      <c r="H53" s="43">
        <f t="shared" si="16"/>
        <v>7800</v>
      </c>
      <c r="I53" s="43">
        <f t="shared" si="16"/>
        <v>7800</v>
      </c>
      <c r="J53" s="43">
        <f t="shared" si="16"/>
        <v>7800</v>
      </c>
      <c r="K53" s="43">
        <f t="shared" si="16"/>
        <v>7800</v>
      </c>
      <c r="L53" s="43">
        <f t="shared" si="16"/>
        <v>7800</v>
      </c>
      <c r="M53" s="43">
        <f t="shared" si="16"/>
        <v>7800</v>
      </c>
      <c r="N53" s="43">
        <f t="shared" si="16"/>
        <v>7800</v>
      </c>
      <c r="O53" s="218">
        <f>SUM(C53:N53)</f>
        <v>93600</v>
      </c>
    </row>
    <row r="54" spans="2:15" s="9" customFormat="1" ht="16.5" x14ac:dyDescent="0.25">
      <c r="B54" s="12" t="s">
        <v>76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215">
        <f t="shared" si="5"/>
        <v>0</v>
      </c>
    </row>
    <row r="55" spans="2:15" s="9" customFormat="1" ht="16.5" x14ac:dyDescent="0.25">
      <c r="B55" s="12" t="s">
        <v>77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215">
        <f t="shared" si="5"/>
        <v>0</v>
      </c>
    </row>
    <row r="56" spans="2:15" s="9" customFormat="1" ht="16.5" x14ac:dyDescent="0.25">
      <c r="B56" s="12" t="s">
        <v>78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215">
        <f t="shared" si="5"/>
        <v>0</v>
      </c>
    </row>
    <row r="57" spans="2:15" s="9" customFormat="1" ht="16.5" x14ac:dyDescent="0.25">
      <c r="B57" s="12" t="s">
        <v>79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215">
        <f t="shared" si="5"/>
        <v>0</v>
      </c>
    </row>
    <row r="58" spans="2:15" s="9" customFormat="1" ht="16.5" x14ac:dyDescent="0.25">
      <c r="B58" s="12" t="s">
        <v>80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215">
        <f t="shared" si="5"/>
        <v>0</v>
      </c>
    </row>
    <row r="59" spans="2:15" s="9" customFormat="1" ht="16.5" x14ac:dyDescent="0.25">
      <c r="B59" s="12" t="s">
        <v>81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215">
        <f t="shared" si="5"/>
        <v>0</v>
      </c>
    </row>
    <row r="60" spans="2:15" s="9" customFormat="1" ht="16.5" x14ac:dyDescent="0.25">
      <c r="B60" s="12" t="s">
        <v>82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215">
        <f t="shared" si="5"/>
        <v>0</v>
      </c>
    </row>
    <row r="61" spans="2:15" s="9" customFormat="1" ht="16.5" x14ac:dyDescent="0.25">
      <c r="B61" s="12" t="s">
        <v>83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215">
        <f t="shared" si="5"/>
        <v>0</v>
      </c>
    </row>
    <row r="62" spans="2:15" s="9" customFormat="1" ht="16.5" x14ac:dyDescent="0.25">
      <c r="B62" s="12" t="s">
        <v>84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215">
        <f t="shared" si="5"/>
        <v>0</v>
      </c>
    </row>
    <row r="63" spans="2:15" s="9" customFormat="1" ht="16.5" x14ac:dyDescent="0.25">
      <c r="B63" s="12" t="s">
        <v>85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215">
        <f t="shared" si="5"/>
        <v>0</v>
      </c>
    </row>
    <row r="64" spans="2:15" s="9" customFormat="1" ht="16.5" x14ac:dyDescent="0.25">
      <c r="B64" s="12" t="s">
        <v>86</v>
      </c>
      <c r="C64" s="37">
        <v>350</v>
      </c>
      <c r="D64" s="37">
        <v>350</v>
      </c>
      <c r="E64" s="37">
        <v>350</v>
      </c>
      <c r="F64" s="37">
        <v>350</v>
      </c>
      <c r="G64" s="37">
        <v>350</v>
      </c>
      <c r="H64" s="37">
        <v>350</v>
      </c>
      <c r="I64" s="37">
        <v>350</v>
      </c>
      <c r="J64" s="37">
        <v>350</v>
      </c>
      <c r="K64" s="37">
        <v>350</v>
      </c>
      <c r="L64" s="37">
        <v>350</v>
      </c>
      <c r="M64" s="37">
        <v>350</v>
      </c>
      <c r="N64" s="37">
        <v>350</v>
      </c>
      <c r="O64" s="215">
        <f t="shared" si="5"/>
        <v>4200</v>
      </c>
    </row>
    <row r="65" spans="2:15" s="9" customFormat="1" ht="16.5" x14ac:dyDescent="0.25">
      <c r="B65" s="12" t="s">
        <v>87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215">
        <f t="shared" si="5"/>
        <v>0</v>
      </c>
    </row>
    <row r="66" spans="2:15" s="9" customFormat="1" ht="16.5" x14ac:dyDescent="0.25">
      <c r="B66" s="12" t="s">
        <v>88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215">
        <f t="shared" si="5"/>
        <v>0</v>
      </c>
    </row>
    <row r="67" spans="2:15" s="9" customFormat="1" ht="16.5" x14ac:dyDescent="0.25">
      <c r="B67" s="12" t="s">
        <v>89</v>
      </c>
      <c r="C67" s="37">
        <v>7450</v>
      </c>
      <c r="D67" s="37">
        <v>7450</v>
      </c>
      <c r="E67" s="37">
        <v>7450</v>
      </c>
      <c r="F67" s="37">
        <v>7450</v>
      </c>
      <c r="G67" s="37">
        <v>7450</v>
      </c>
      <c r="H67" s="37">
        <v>7450</v>
      </c>
      <c r="I67" s="37">
        <v>7450</v>
      </c>
      <c r="J67" s="37">
        <v>7450</v>
      </c>
      <c r="K67" s="37">
        <v>7450</v>
      </c>
      <c r="L67" s="37">
        <v>7450</v>
      </c>
      <c r="M67" s="37">
        <v>7450</v>
      </c>
      <c r="N67" s="37">
        <v>7450</v>
      </c>
      <c r="O67" s="215">
        <f t="shared" si="5"/>
        <v>89400</v>
      </c>
    </row>
    <row r="68" spans="2:15" s="9" customFormat="1" ht="16.5" x14ac:dyDescent="0.25">
      <c r="B68" s="12" t="s">
        <v>90</v>
      </c>
      <c r="C68" s="37">
        <v>0</v>
      </c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215">
        <f>SUM(C68:N68)</f>
        <v>0</v>
      </c>
    </row>
    <row r="69" spans="2:15" s="9" customFormat="1" ht="16.5" x14ac:dyDescent="0.25">
      <c r="B69" s="12" t="s">
        <v>91</v>
      </c>
      <c r="C69" s="37">
        <v>0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215">
        <f t="shared" si="5"/>
        <v>0</v>
      </c>
    </row>
    <row r="70" spans="2:15" s="9" customFormat="1" ht="16.5" x14ac:dyDescent="0.25">
      <c r="B70" s="12" t="s">
        <v>92</v>
      </c>
      <c r="C70" s="37">
        <v>0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215">
        <f t="shared" si="5"/>
        <v>0</v>
      </c>
    </row>
    <row r="71" spans="2:15" s="9" customFormat="1" ht="16.5" x14ac:dyDescent="0.25">
      <c r="B71" s="12" t="s">
        <v>93</v>
      </c>
      <c r="C71" s="37">
        <v>0</v>
      </c>
      <c r="D71" s="37">
        <v>0</v>
      </c>
      <c r="E71" s="37">
        <v>0</v>
      </c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215">
        <f t="shared" si="5"/>
        <v>0</v>
      </c>
    </row>
    <row r="72" spans="2:15" s="9" customFormat="1" ht="16.5" x14ac:dyDescent="0.25">
      <c r="B72" s="12" t="s">
        <v>94</v>
      </c>
      <c r="C72" s="37">
        <v>0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215">
        <f t="shared" si="5"/>
        <v>0</v>
      </c>
    </row>
    <row r="73" spans="2:15" s="9" customFormat="1" ht="16.5" x14ac:dyDescent="0.25">
      <c r="B73" s="12" t="s">
        <v>95</v>
      </c>
      <c r="C73" s="37">
        <v>0</v>
      </c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215">
        <f t="shared" si="5"/>
        <v>0</v>
      </c>
    </row>
    <row r="74" spans="2:15" s="9" customFormat="1" ht="16.5" x14ac:dyDescent="0.25">
      <c r="B74" s="12" t="s">
        <v>96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215">
        <f>SUM(C74:N74)</f>
        <v>0</v>
      </c>
    </row>
    <row r="75" spans="2:15" s="9" customFormat="1" ht="19.5" x14ac:dyDescent="0.25">
      <c r="B75" s="15" t="s">
        <v>97</v>
      </c>
      <c r="C75" s="38">
        <f t="shared" ref="C75:N75" si="17">SUM(C76:C98)</f>
        <v>2525</v>
      </c>
      <c r="D75" s="38">
        <f t="shared" si="17"/>
        <v>2525</v>
      </c>
      <c r="E75" s="38">
        <f t="shared" si="17"/>
        <v>2525</v>
      </c>
      <c r="F75" s="38">
        <f t="shared" si="17"/>
        <v>2525</v>
      </c>
      <c r="G75" s="38">
        <f t="shared" si="17"/>
        <v>2525</v>
      </c>
      <c r="H75" s="38">
        <f t="shared" si="17"/>
        <v>2525</v>
      </c>
      <c r="I75" s="38">
        <f t="shared" si="17"/>
        <v>2525</v>
      </c>
      <c r="J75" s="38">
        <f t="shared" si="17"/>
        <v>2525</v>
      </c>
      <c r="K75" s="38">
        <f t="shared" si="17"/>
        <v>2525</v>
      </c>
      <c r="L75" s="38">
        <f t="shared" si="17"/>
        <v>2525</v>
      </c>
      <c r="M75" s="38">
        <f t="shared" si="17"/>
        <v>2525</v>
      </c>
      <c r="N75" s="38">
        <f t="shared" si="17"/>
        <v>2525</v>
      </c>
      <c r="O75" s="218">
        <f>SUM(C75:N75)</f>
        <v>30300</v>
      </c>
    </row>
    <row r="76" spans="2:15" s="9" customFormat="1" ht="16.5" x14ac:dyDescent="0.25">
      <c r="B76" s="12" t="s">
        <v>98</v>
      </c>
      <c r="C76" s="37">
        <v>675</v>
      </c>
      <c r="D76" s="37">
        <v>675</v>
      </c>
      <c r="E76" s="37">
        <v>675</v>
      </c>
      <c r="F76" s="37">
        <v>675</v>
      </c>
      <c r="G76" s="37">
        <v>675</v>
      </c>
      <c r="H76" s="37">
        <v>675</v>
      </c>
      <c r="I76" s="37">
        <v>675</v>
      </c>
      <c r="J76" s="37">
        <v>675</v>
      </c>
      <c r="K76" s="37">
        <v>675</v>
      </c>
      <c r="L76" s="37">
        <v>675</v>
      </c>
      <c r="M76" s="37">
        <v>675</v>
      </c>
      <c r="N76" s="37">
        <v>675</v>
      </c>
      <c r="O76" s="215">
        <f t="shared" ref="O76:O138" si="18">SUM(C76:N76)</f>
        <v>8100</v>
      </c>
    </row>
    <row r="77" spans="2:15" s="9" customFormat="1" ht="16.5" x14ac:dyDescent="0.25">
      <c r="B77" s="12" t="s">
        <v>99</v>
      </c>
      <c r="C77" s="37">
        <v>0</v>
      </c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215">
        <f t="shared" si="18"/>
        <v>0</v>
      </c>
    </row>
    <row r="78" spans="2:15" s="9" customFormat="1" ht="16.5" x14ac:dyDescent="0.25">
      <c r="B78" s="12" t="s">
        <v>100</v>
      </c>
      <c r="C78" s="37">
        <v>100</v>
      </c>
      <c r="D78" s="37">
        <v>100</v>
      </c>
      <c r="E78" s="37">
        <v>100</v>
      </c>
      <c r="F78" s="37">
        <v>100</v>
      </c>
      <c r="G78" s="37">
        <v>100</v>
      </c>
      <c r="H78" s="37">
        <v>100</v>
      </c>
      <c r="I78" s="37">
        <v>100</v>
      </c>
      <c r="J78" s="37">
        <v>100</v>
      </c>
      <c r="K78" s="37">
        <v>100</v>
      </c>
      <c r="L78" s="37">
        <v>100</v>
      </c>
      <c r="M78" s="37">
        <v>100</v>
      </c>
      <c r="N78" s="37">
        <v>100</v>
      </c>
      <c r="O78" s="215">
        <f t="shared" si="18"/>
        <v>1200</v>
      </c>
    </row>
    <row r="79" spans="2:15" s="9" customFormat="1" ht="16.5" x14ac:dyDescent="0.25">
      <c r="B79" s="12" t="s">
        <v>101</v>
      </c>
      <c r="C79" s="37">
        <v>400</v>
      </c>
      <c r="D79" s="37">
        <v>400</v>
      </c>
      <c r="E79" s="37">
        <v>400</v>
      </c>
      <c r="F79" s="37">
        <v>400</v>
      </c>
      <c r="G79" s="37">
        <v>400</v>
      </c>
      <c r="H79" s="37">
        <v>400</v>
      </c>
      <c r="I79" s="37">
        <v>400</v>
      </c>
      <c r="J79" s="37">
        <v>400</v>
      </c>
      <c r="K79" s="37">
        <v>400</v>
      </c>
      <c r="L79" s="37">
        <v>400</v>
      </c>
      <c r="M79" s="37">
        <v>400</v>
      </c>
      <c r="N79" s="37">
        <v>400</v>
      </c>
      <c r="O79" s="215">
        <f t="shared" si="18"/>
        <v>4800</v>
      </c>
    </row>
    <row r="80" spans="2:15" s="9" customFormat="1" ht="16.5" x14ac:dyDescent="0.25">
      <c r="B80" s="12" t="s">
        <v>102</v>
      </c>
      <c r="C80" s="37">
        <v>200</v>
      </c>
      <c r="D80" s="37">
        <v>200</v>
      </c>
      <c r="E80" s="37">
        <v>200</v>
      </c>
      <c r="F80" s="37">
        <v>200</v>
      </c>
      <c r="G80" s="37">
        <v>200</v>
      </c>
      <c r="H80" s="37">
        <v>200</v>
      </c>
      <c r="I80" s="37">
        <v>200</v>
      </c>
      <c r="J80" s="37">
        <v>200</v>
      </c>
      <c r="K80" s="37">
        <v>200</v>
      </c>
      <c r="L80" s="37">
        <v>200</v>
      </c>
      <c r="M80" s="37">
        <v>200</v>
      </c>
      <c r="N80" s="37">
        <v>200</v>
      </c>
      <c r="O80" s="215">
        <f t="shared" si="18"/>
        <v>2400</v>
      </c>
    </row>
    <row r="81" spans="2:15" s="9" customFormat="1" ht="16.5" x14ac:dyDescent="0.25">
      <c r="B81" s="12" t="s">
        <v>103</v>
      </c>
      <c r="C81" s="37">
        <v>100</v>
      </c>
      <c r="D81" s="37">
        <v>100</v>
      </c>
      <c r="E81" s="37">
        <v>100</v>
      </c>
      <c r="F81" s="37">
        <v>100</v>
      </c>
      <c r="G81" s="37">
        <v>100</v>
      </c>
      <c r="H81" s="37">
        <v>100</v>
      </c>
      <c r="I81" s="37">
        <v>100</v>
      </c>
      <c r="J81" s="37">
        <v>100</v>
      </c>
      <c r="K81" s="37">
        <v>100</v>
      </c>
      <c r="L81" s="37">
        <v>100</v>
      </c>
      <c r="M81" s="37">
        <v>100</v>
      </c>
      <c r="N81" s="37">
        <v>100</v>
      </c>
      <c r="O81" s="215">
        <f t="shared" si="18"/>
        <v>1200</v>
      </c>
    </row>
    <row r="82" spans="2:15" s="9" customFormat="1" ht="16.5" x14ac:dyDescent="0.25">
      <c r="B82" s="12" t="s">
        <v>104</v>
      </c>
      <c r="C82" s="37">
        <v>0</v>
      </c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0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215">
        <f t="shared" si="18"/>
        <v>0</v>
      </c>
    </row>
    <row r="83" spans="2:15" s="9" customFormat="1" ht="16.5" x14ac:dyDescent="0.25">
      <c r="B83" s="12" t="s">
        <v>105</v>
      </c>
      <c r="C83" s="37">
        <v>0</v>
      </c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0</v>
      </c>
      <c r="J83" s="37">
        <v>0</v>
      </c>
      <c r="K83" s="37">
        <v>0</v>
      </c>
      <c r="L83" s="37">
        <v>0</v>
      </c>
      <c r="M83" s="37">
        <v>0</v>
      </c>
      <c r="N83" s="37">
        <v>0</v>
      </c>
      <c r="O83" s="215">
        <f t="shared" si="18"/>
        <v>0</v>
      </c>
    </row>
    <row r="84" spans="2:15" s="9" customFormat="1" ht="16.5" x14ac:dyDescent="0.25">
      <c r="B84" s="12" t="s">
        <v>106</v>
      </c>
      <c r="C84" s="37">
        <v>0</v>
      </c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0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215">
        <f t="shared" si="18"/>
        <v>0</v>
      </c>
    </row>
    <row r="85" spans="2:15" s="9" customFormat="1" ht="16.5" x14ac:dyDescent="0.25">
      <c r="B85" s="12" t="s">
        <v>107</v>
      </c>
      <c r="C85" s="37">
        <v>0</v>
      </c>
      <c r="D85" s="37">
        <v>0</v>
      </c>
      <c r="E85" s="37">
        <v>0</v>
      </c>
      <c r="F85" s="37">
        <v>0</v>
      </c>
      <c r="G85" s="37">
        <v>0</v>
      </c>
      <c r="H85" s="37">
        <v>0</v>
      </c>
      <c r="I85" s="37">
        <v>0</v>
      </c>
      <c r="J85" s="37">
        <v>0</v>
      </c>
      <c r="K85" s="37">
        <v>0</v>
      </c>
      <c r="L85" s="37">
        <v>0</v>
      </c>
      <c r="M85" s="37">
        <v>0</v>
      </c>
      <c r="N85" s="37">
        <v>0</v>
      </c>
      <c r="O85" s="215">
        <f t="shared" si="18"/>
        <v>0</v>
      </c>
    </row>
    <row r="86" spans="2:15" s="9" customFormat="1" ht="16.5" x14ac:dyDescent="0.25">
      <c r="B86" s="12" t="s">
        <v>108</v>
      </c>
      <c r="C86" s="37">
        <v>0</v>
      </c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215">
        <f t="shared" si="18"/>
        <v>0</v>
      </c>
    </row>
    <row r="87" spans="2:15" s="9" customFormat="1" ht="16.5" x14ac:dyDescent="0.25">
      <c r="B87" s="12" t="s">
        <v>109</v>
      </c>
      <c r="C87" s="37">
        <v>0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215">
        <f t="shared" si="18"/>
        <v>0</v>
      </c>
    </row>
    <row r="88" spans="2:15" s="9" customFormat="1" ht="16.5" x14ac:dyDescent="0.25">
      <c r="B88" s="12" t="s">
        <v>110</v>
      </c>
      <c r="C88" s="37">
        <v>100</v>
      </c>
      <c r="D88" s="37">
        <v>100</v>
      </c>
      <c r="E88" s="37">
        <v>100</v>
      </c>
      <c r="F88" s="37">
        <v>100</v>
      </c>
      <c r="G88" s="37">
        <v>100</v>
      </c>
      <c r="H88" s="37">
        <v>100</v>
      </c>
      <c r="I88" s="37">
        <v>100</v>
      </c>
      <c r="J88" s="37">
        <v>100</v>
      </c>
      <c r="K88" s="37">
        <v>100</v>
      </c>
      <c r="L88" s="37">
        <v>100</v>
      </c>
      <c r="M88" s="37">
        <v>100</v>
      </c>
      <c r="N88" s="37">
        <v>100</v>
      </c>
      <c r="O88" s="215">
        <f t="shared" si="18"/>
        <v>1200</v>
      </c>
    </row>
    <row r="89" spans="2:15" s="9" customFormat="1" ht="16.5" x14ac:dyDescent="0.25">
      <c r="B89" s="12" t="s">
        <v>111</v>
      </c>
      <c r="C89" s="37">
        <v>250</v>
      </c>
      <c r="D89" s="37">
        <v>250</v>
      </c>
      <c r="E89" s="37">
        <v>250</v>
      </c>
      <c r="F89" s="37">
        <v>250</v>
      </c>
      <c r="G89" s="37">
        <v>250</v>
      </c>
      <c r="H89" s="37">
        <v>250</v>
      </c>
      <c r="I89" s="37">
        <v>250</v>
      </c>
      <c r="J89" s="37">
        <v>250</v>
      </c>
      <c r="K89" s="37">
        <v>250</v>
      </c>
      <c r="L89" s="37">
        <v>250</v>
      </c>
      <c r="M89" s="37">
        <v>250</v>
      </c>
      <c r="N89" s="37">
        <v>250</v>
      </c>
      <c r="O89" s="215">
        <f t="shared" si="18"/>
        <v>3000</v>
      </c>
    </row>
    <row r="90" spans="2:15" s="9" customFormat="1" ht="16.5" x14ac:dyDescent="0.25">
      <c r="B90" s="12" t="s">
        <v>112</v>
      </c>
      <c r="C90" s="37">
        <v>0</v>
      </c>
      <c r="D90" s="37">
        <v>0</v>
      </c>
      <c r="E90" s="37">
        <v>0</v>
      </c>
      <c r="F90" s="37">
        <v>0</v>
      </c>
      <c r="G90" s="37">
        <v>0</v>
      </c>
      <c r="H90" s="37">
        <v>0</v>
      </c>
      <c r="I90" s="37">
        <v>0</v>
      </c>
      <c r="J90" s="37">
        <v>0</v>
      </c>
      <c r="K90" s="37">
        <v>0</v>
      </c>
      <c r="L90" s="37">
        <v>0</v>
      </c>
      <c r="M90" s="37">
        <v>0</v>
      </c>
      <c r="N90" s="37">
        <v>0</v>
      </c>
      <c r="O90" s="215">
        <f t="shared" si="18"/>
        <v>0</v>
      </c>
    </row>
    <row r="91" spans="2:15" s="9" customFormat="1" ht="16.5" x14ac:dyDescent="0.25">
      <c r="B91" s="12" t="s">
        <v>113</v>
      </c>
      <c r="C91" s="37">
        <v>0</v>
      </c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215">
        <f t="shared" si="18"/>
        <v>0</v>
      </c>
    </row>
    <row r="92" spans="2:15" s="9" customFormat="1" ht="16.5" x14ac:dyDescent="0.25">
      <c r="B92" s="12" t="s">
        <v>114</v>
      </c>
      <c r="C92" s="37">
        <v>0</v>
      </c>
      <c r="D92" s="37">
        <v>0</v>
      </c>
      <c r="E92" s="37">
        <v>0</v>
      </c>
      <c r="F92" s="37">
        <v>0</v>
      </c>
      <c r="G92" s="37">
        <v>0</v>
      </c>
      <c r="H92" s="37">
        <v>0</v>
      </c>
      <c r="I92" s="37">
        <v>0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215">
        <f t="shared" si="18"/>
        <v>0</v>
      </c>
    </row>
    <row r="93" spans="2:15" s="9" customFormat="1" ht="16.5" x14ac:dyDescent="0.25">
      <c r="B93" s="12" t="s">
        <v>115</v>
      </c>
      <c r="C93" s="37">
        <v>500</v>
      </c>
      <c r="D93" s="37">
        <v>500</v>
      </c>
      <c r="E93" s="37">
        <v>500</v>
      </c>
      <c r="F93" s="37">
        <v>500</v>
      </c>
      <c r="G93" s="37">
        <v>500</v>
      </c>
      <c r="H93" s="37">
        <v>500</v>
      </c>
      <c r="I93" s="37">
        <v>500</v>
      </c>
      <c r="J93" s="37">
        <v>500</v>
      </c>
      <c r="K93" s="37">
        <v>500</v>
      </c>
      <c r="L93" s="37">
        <v>500</v>
      </c>
      <c r="M93" s="37">
        <v>500</v>
      </c>
      <c r="N93" s="37">
        <v>500</v>
      </c>
      <c r="O93" s="215">
        <f t="shared" si="18"/>
        <v>6000</v>
      </c>
    </row>
    <row r="94" spans="2:15" s="9" customFormat="1" ht="16.5" x14ac:dyDescent="0.25">
      <c r="B94" s="12" t="s">
        <v>116</v>
      </c>
      <c r="C94" s="37">
        <v>200</v>
      </c>
      <c r="D94" s="37">
        <v>200</v>
      </c>
      <c r="E94" s="37">
        <v>200</v>
      </c>
      <c r="F94" s="37">
        <v>200</v>
      </c>
      <c r="G94" s="37">
        <v>200</v>
      </c>
      <c r="H94" s="37">
        <v>200</v>
      </c>
      <c r="I94" s="37">
        <v>200</v>
      </c>
      <c r="J94" s="37">
        <v>200</v>
      </c>
      <c r="K94" s="37">
        <v>200</v>
      </c>
      <c r="L94" s="37">
        <v>200</v>
      </c>
      <c r="M94" s="37">
        <v>200</v>
      </c>
      <c r="N94" s="37">
        <v>200</v>
      </c>
      <c r="O94" s="215">
        <f t="shared" si="18"/>
        <v>2400</v>
      </c>
    </row>
    <row r="95" spans="2:15" s="9" customFormat="1" ht="16.5" x14ac:dyDescent="0.25">
      <c r="B95" s="12" t="s">
        <v>117</v>
      </c>
      <c r="C95" s="37">
        <v>0</v>
      </c>
      <c r="D95" s="37">
        <v>0</v>
      </c>
      <c r="E95" s="37">
        <v>0</v>
      </c>
      <c r="F95" s="37">
        <v>0</v>
      </c>
      <c r="G95" s="37">
        <v>0</v>
      </c>
      <c r="H95" s="37">
        <v>0</v>
      </c>
      <c r="I95" s="37">
        <v>0</v>
      </c>
      <c r="J95" s="37">
        <v>0</v>
      </c>
      <c r="K95" s="37">
        <v>0</v>
      </c>
      <c r="L95" s="37">
        <v>0</v>
      </c>
      <c r="M95" s="37">
        <v>0</v>
      </c>
      <c r="N95" s="37">
        <v>0</v>
      </c>
      <c r="O95" s="215">
        <f t="shared" si="18"/>
        <v>0</v>
      </c>
    </row>
    <row r="96" spans="2:15" s="9" customFormat="1" ht="16.5" x14ac:dyDescent="0.25">
      <c r="B96" s="12" t="s">
        <v>118</v>
      </c>
      <c r="C96" s="37">
        <v>0</v>
      </c>
      <c r="D96" s="37">
        <v>0</v>
      </c>
      <c r="E96" s="37">
        <v>0</v>
      </c>
      <c r="F96" s="37">
        <v>0</v>
      </c>
      <c r="G96" s="37">
        <v>0</v>
      </c>
      <c r="H96" s="37">
        <v>0</v>
      </c>
      <c r="I96" s="37">
        <v>0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215">
        <f t="shared" si="18"/>
        <v>0</v>
      </c>
    </row>
    <row r="97" spans="2:15" s="9" customFormat="1" ht="16.5" x14ac:dyDescent="0.25">
      <c r="B97" s="12" t="s">
        <v>119</v>
      </c>
      <c r="C97" s="37">
        <v>0</v>
      </c>
      <c r="D97" s="37">
        <v>0</v>
      </c>
      <c r="E97" s="37">
        <v>0</v>
      </c>
      <c r="F97" s="37">
        <v>0</v>
      </c>
      <c r="G97" s="37">
        <v>0</v>
      </c>
      <c r="H97" s="37">
        <v>0</v>
      </c>
      <c r="I97" s="37">
        <v>0</v>
      </c>
      <c r="J97" s="37">
        <v>0</v>
      </c>
      <c r="K97" s="37">
        <v>0</v>
      </c>
      <c r="L97" s="37">
        <v>0</v>
      </c>
      <c r="M97" s="37">
        <v>0</v>
      </c>
      <c r="N97" s="37">
        <v>0</v>
      </c>
      <c r="O97" s="215">
        <f t="shared" si="18"/>
        <v>0</v>
      </c>
    </row>
    <row r="98" spans="2:15" s="9" customFormat="1" ht="16.5" x14ac:dyDescent="0.25">
      <c r="B98" s="12" t="s">
        <v>120</v>
      </c>
      <c r="C98" s="37">
        <v>0</v>
      </c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0</v>
      </c>
      <c r="J98" s="37">
        <v>0</v>
      </c>
      <c r="K98" s="37">
        <v>0</v>
      </c>
      <c r="L98" s="37">
        <v>0</v>
      </c>
      <c r="M98" s="37">
        <v>0</v>
      </c>
      <c r="N98" s="37">
        <v>0</v>
      </c>
      <c r="O98" s="215">
        <f t="shared" si="18"/>
        <v>0</v>
      </c>
    </row>
    <row r="99" spans="2:15" s="9" customFormat="1" ht="19.5" x14ac:dyDescent="0.25">
      <c r="B99" s="15" t="s">
        <v>121</v>
      </c>
      <c r="C99" s="38">
        <f>SUM(C100:C104)</f>
        <v>50</v>
      </c>
      <c r="D99" s="38">
        <f t="shared" ref="D99:N99" si="19">SUM(D100:D104)</f>
        <v>50</v>
      </c>
      <c r="E99" s="38">
        <f t="shared" si="19"/>
        <v>50</v>
      </c>
      <c r="F99" s="38">
        <f t="shared" si="19"/>
        <v>50</v>
      </c>
      <c r="G99" s="38">
        <f t="shared" si="19"/>
        <v>50</v>
      </c>
      <c r="H99" s="38">
        <f t="shared" si="19"/>
        <v>50</v>
      </c>
      <c r="I99" s="38">
        <f t="shared" si="19"/>
        <v>50</v>
      </c>
      <c r="J99" s="38">
        <f t="shared" si="19"/>
        <v>50</v>
      </c>
      <c r="K99" s="38">
        <f t="shared" si="19"/>
        <v>50</v>
      </c>
      <c r="L99" s="38">
        <f t="shared" si="19"/>
        <v>50</v>
      </c>
      <c r="M99" s="38">
        <f t="shared" si="19"/>
        <v>50</v>
      </c>
      <c r="N99" s="38">
        <f t="shared" si="19"/>
        <v>50</v>
      </c>
      <c r="O99" s="218">
        <f>SUM(C99:N99)</f>
        <v>600</v>
      </c>
    </row>
    <row r="100" spans="2:15" s="9" customFormat="1" ht="16.5" x14ac:dyDescent="0.25">
      <c r="B100" s="36" t="s">
        <v>122</v>
      </c>
      <c r="C100" s="37">
        <v>0</v>
      </c>
      <c r="D100" s="37">
        <v>0</v>
      </c>
      <c r="E100" s="37">
        <v>0</v>
      </c>
      <c r="F100" s="37">
        <v>0</v>
      </c>
      <c r="G100" s="37">
        <v>0</v>
      </c>
      <c r="H100" s="37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215">
        <f t="shared" si="18"/>
        <v>0</v>
      </c>
    </row>
    <row r="101" spans="2:15" s="9" customFormat="1" ht="16.5" x14ac:dyDescent="0.25">
      <c r="B101" s="36" t="s">
        <v>123</v>
      </c>
      <c r="C101" s="37">
        <v>0</v>
      </c>
      <c r="D101" s="37">
        <v>0</v>
      </c>
      <c r="E101" s="37">
        <v>0</v>
      </c>
      <c r="F101" s="37">
        <v>0</v>
      </c>
      <c r="G101" s="37">
        <v>0</v>
      </c>
      <c r="H101" s="37">
        <v>0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215">
        <f t="shared" si="18"/>
        <v>0</v>
      </c>
    </row>
    <row r="102" spans="2:15" s="9" customFormat="1" ht="16.5" x14ac:dyDescent="0.25">
      <c r="B102" s="36" t="s">
        <v>124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>
        <v>0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215">
        <f t="shared" si="18"/>
        <v>0</v>
      </c>
    </row>
    <row r="103" spans="2:15" s="9" customFormat="1" ht="16.5" x14ac:dyDescent="0.25">
      <c r="B103" s="12" t="s">
        <v>125</v>
      </c>
      <c r="C103" s="37">
        <v>50</v>
      </c>
      <c r="D103" s="37">
        <v>50</v>
      </c>
      <c r="E103" s="37">
        <v>50</v>
      </c>
      <c r="F103" s="37">
        <v>50</v>
      </c>
      <c r="G103" s="37">
        <v>50</v>
      </c>
      <c r="H103" s="37">
        <v>50</v>
      </c>
      <c r="I103" s="37">
        <v>50</v>
      </c>
      <c r="J103" s="37">
        <v>50</v>
      </c>
      <c r="K103" s="37">
        <v>50</v>
      </c>
      <c r="L103" s="37">
        <v>50</v>
      </c>
      <c r="M103" s="37">
        <v>50</v>
      </c>
      <c r="N103" s="37">
        <v>50</v>
      </c>
      <c r="O103" s="215">
        <f t="shared" si="18"/>
        <v>600</v>
      </c>
    </row>
    <row r="104" spans="2:15" s="9" customFormat="1" ht="16.5" x14ac:dyDescent="0.25">
      <c r="B104" s="12" t="s">
        <v>126</v>
      </c>
      <c r="C104" s="37">
        <v>0</v>
      </c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215">
        <f t="shared" si="18"/>
        <v>0</v>
      </c>
    </row>
    <row r="105" spans="2:15" s="9" customFormat="1" ht="19.5" x14ac:dyDescent="0.25">
      <c r="B105" s="15" t="s">
        <v>127</v>
      </c>
      <c r="C105" s="38">
        <f>SUM(C106:C115)</f>
        <v>0</v>
      </c>
      <c r="D105" s="38">
        <f t="shared" ref="D105:N105" si="20">SUM(D106:D115)</f>
        <v>0</v>
      </c>
      <c r="E105" s="38">
        <f t="shared" si="20"/>
        <v>0</v>
      </c>
      <c r="F105" s="38">
        <f t="shared" si="20"/>
        <v>0</v>
      </c>
      <c r="G105" s="38">
        <f t="shared" si="20"/>
        <v>0</v>
      </c>
      <c r="H105" s="38">
        <f t="shared" si="20"/>
        <v>0</v>
      </c>
      <c r="I105" s="38">
        <f t="shared" si="20"/>
        <v>0</v>
      </c>
      <c r="J105" s="38">
        <f t="shared" si="20"/>
        <v>0</v>
      </c>
      <c r="K105" s="38">
        <f t="shared" si="20"/>
        <v>0</v>
      </c>
      <c r="L105" s="38">
        <f t="shared" si="20"/>
        <v>0</v>
      </c>
      <c r="M105" s="38">
        <f t="shared" si="20"/>
        <v>0</v>
      </c>
      <c r="N105" s="38">
        <f t="shared" si="20"/>
        <v>0</v>
      </c>
      <c r="O105" s="218">
        <f t="shared" si="18"/>
        <v>0</v>
      </c>
    </row>
    <row r="106" spans="2:15" s="9" customFormat="1" ht="16.5" x14ac:dyDescent="0.25">
      <c r="B106" s="12" t="s">
        <v>128</v>
      </c>
      <c r="C106" s="37">
        <v>0</v>
      </c>
      <c r="D106" s="37">
        <v>0</v>
      </c>
      <c r="E106" s="37">
        <v>0</v>
      </c>
      <c r="F106" s="37">
        <v>0</v>
      </c>
      <c r="G106" s="37">
        <v>0</v>
      </c>
      <c r="H106" s="37">
        <v>0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215">
        <f t="shared" si="18"/>
        <v>0</v>
      </c>
    </row>
    <row r="107" spans="2:15" s="9" customFormat="1" ht="16.5" x14ac:dyDescent="0.25">
      <c r="B107" s="12" t="s">
        <v>129</v>
      </c>
      <c r="C107" s="37">
        <v>0</v>
      </c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0</v>
      </c>
      <c r="J107" s="37">
        <v>0</v>
      </c>
      <c r="K107" s="37">
        <v>0</v>
      </c>
      <c r="L107" s="37">
        <v>0</v>
      </c>
      <c r="M107" s="37">
        <v>0</v>
      </c>
      <c r="N107" s="37">
        <v>0</v>
      </c>
      <c r="O107" s="215">
        <f t="shared" si="18"/>
        <v>0</v>
      </c>
    </row>
    <row r="108" spans="2:15" s="9" customFormat="1" ht="16.5" x14ac:dyDescent="0.25">
      <c r="B108" s="12" t="s">
        <v>130</v>
      </c>
      <c r="C108" s="37">
        <v>0</v>
      </c>
      <c r="D108" s="37">
        <v>0</v>
      </c>
      <c r="E108" s="37">
        <v>0</v>
      </c>
      <c r="F108" s="37">
        <v>0</v>
      </c>
      <c r="G108" s="37">
        <v>0</v>
      </c>
      <c r="H108" s="37">
        <v>0</v>
      </c>
      <c r="I108" s="37">
        <v>0</v>
      </c>
      <c r="J108" s="37">
        <v>0</v>
      </c>
      <c r="K108" s="37">
        <v>0</v>
      </c>
      <c r="L108" s="37">
        <v>0</v>
      </c>
      <c r="M108" s="37">
        <v>0</v>
      </c>
      <c r="N108" s="37">
        <v>0</v>
      </c>
      <c r="O108" s="215">
        <f t="shared" si="18"/>
        <v>0</v>
      </c>
    </row>
    <row r="109" spans="2:15" s="9" customFormat="1" ht="16.5" x14ac:dyDescent="0.25">
      <c r="B109" s="12" t="s">
        <v>131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215">
        <f t="shared" si="18"/>
        <v>0</v>
      </c>
    </row>
    <row r="110" spans="2:15" s="9" customFormat="1" ht="16.5" x14ac:dyDescent="0.25">
      <c r="B110" s="12" t="s">
        <v>132</v>
      </c>
      <c r="C110" s="37">
        <v>0</v>
      </c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0</v>
      </c>
      <c r="J110" s="37">
        <v>0</v>
      </c>
      <c r="K110" s="37">
        <v>0</v>
      </c>
      <c r="L110" s="37">
        <v>0</v>
      </c>
      <c r="M110" s="37">
        <v>0</v>
      </c>
      <c r="N110" s="37">
        <v>0</v>
      </c>
      <c r="O110" s="215">
        <f t="shared" si="18"/>
        <v>0</v>
      </c>
    </row>
    <row r="111" spans="2:15" s="9" customFormat="1" ht="16.5" x14ac:dyDescent="0.25">
      <c r="B111" s="12" t="s">
        <v>133</v>
      </c>
      <c r="C111" s="37">
        <v>0</v>
      </c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0</v>
      </c>
      <c r="J111" s="37">
        <v>0</v>
      </c>
      <c r="K111" s="37">
        <v>0</v>
      </c>
      <c r="L111" s="37">
        <v>0</v>
      </c>
      <c r="M111" s="37">
        <v>0</v>
      </c>
      <c r="N111" s="37">
        <v>0</v>
      </c>
      <c r="O111" s="215">
        <f t="shared" si="18"/>
        <v>0</v>
      </c>
    </row>
    <row r="112" spans="2:15" s="9" customFormat="1" ht="16.5" x14ac:dyDescent="0.25">
      <c r="B112" s="12" t="s">
        <v>134</v>
      </c>
      <c r="C112" s="37">
        <v>0</v>
      </c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215">
        <f t="shared" si="18"/>
        <v>0</v>
      </c>
    </row>
    <row r="113" spans="2:15" s="9" customFormat="1" ht="16.5" x14ac:dyDescent="0.25">
      <c r="B113" s="12" t="s">
        <v>135</v>
      </c>
      <c r="C113" s="37">
        <v>0</v>
      </c>
      <c r="D113" s="37">
        <v>0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215">
        <f t="shared" si="18"/>
        <v>0</v>
      </c>
    </row>
    <row r="114" spans="2:15" s="9" customFormat="1" ht="16.5" x14ac:dyDescent="0.25">
      <c r="B114" s="12" t="s">
        <v>136</v>
      </c>
      <c r="C114" s="37">
        <v>0</v>
      </c>
      <c r="D114" s="37">
        <v>0</v>
      </c>
      <c r="E114" s="37">
        <v>0</v>
      </c>
      <c r="F114" s="37">
        <v>0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215">
        <f t="shared" si="18"/>
        <v>0</v>
      </c>
    </row>
    <row r="115" spans="2:15" s="9" customFormat="1" ht="16.5" x14ac:dyDescent="0.25">
      <c r="B115" s="12" t="s">
        <v>137</v>
      </c>
      <c r="C115" s="37">
        <v>0</v>
      </c>
      <c r="D115" s="37">
        <v>0</v>
      </c>
      <c r="E115" s="37">
        <v>0</v>
      </c>
      <c r="F115" s="37">
        <v>0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215">
        <f t="shared" si="18"/>
        <v>0</v>
      </c>
    </row>
    <row r="116" spans="2:15" s="42" customFormat="1" ht="19.5" x14ac:dyDescent="0.4">
      <c r="B116" s="15" t="s">
        <v>138</v>
      </c>
      <c r="C116" s="45">
        <f>SUM(C117:C119)</f>
        <v>0</v>
      </c>
      <c r="D116" s="45">
        <f t="shared" ref="D116:N116" si="21">SUM(D117:D119)</f>
        <v>0</v>
      </c>
      <c r="E116" s="45">
        <f t="shared" si="21"/>
        <v>0</v>
      </c>
      <c r="F116" s="45">
        <f t="shared" si="21"/>
        <v>0</v>
      </c>
      <c r="G116" s="45">
        <f t="shared" si="21"/>
        <v>0</v>
      </c>
      <c r="H116" s="45">
        <f t="shared" si="21"/>
        <v>0</v>
      </c>
      <c r="I116" s="45">
        <f t="shared" si="21"/>
        <v>0</v>
      </c>
      <c r="J116" s="45">
        <f t="shared" si="21"/>
        <v>0</v>
      </c>
      <c r="K116" s="45">
        <f t="shared" si="21"/>
        <v>0</v>
      </c>
      <c r="L116" s="45">
        <f t="shared" si="21"/>
        <v>0</v>
      </c>
      <c r="M116" s="45">
        <f t="shared" si="21"/>
        <v>0</v>
      </c>
      <c r="N116" s="45">
        <f t="shared" si="21"/>
        <v>0</v>
      </c>
      <c r="O116" s="218">
        <f t="shared" si="18"/>
        <v>0</v>
      </c>
    </row>
    <row r="117" spans="2:15" s="9" customFormat="1" ht="16.5" x14ac:dyDescent="0.25">
      <c r="B117" s="12" t="s">
        <v>139</v>
      </c>
      <c r="C117" s="37">
        <v>0</v>
      </c>
      <c r="D117" s="37">
        <v>0</v>
      </c>
      <c r="E117" s="37">
        <v>0</v>
      </c>
      <c r="F117" s="37">
        <v>0</v>
      </c>
      <c r="G117" s="37">
        <v>0</v>
      </c>
      <c r="H117" s="37">
        <v>0</v>
      </c>
      <c r="I117" s="37">
        <v>0</v>
      </c>
      <c r="J117" s="37">
        <v>0</v>
      </c>
      <c r="K117" s="37">
        <v>0</v>
      </c>
      <c r="L117" s="37">
        <v>0</v>
      </c>
      <c r="M117" s="37">
        <v>0</v>
      </c>
      <c r="N117" s="37">
        <v>0</v>
      </c>
      <c r="O117" s="215">
        <f t="shared" si="18"/>
        <v>0</v>
      </c>
    </row>
    <row r="118" spans="2:15" s="9" customFormat="1" ht="16.5" x14ac:dyDescent="0.25">
      <c r="B118" s="12" t="s">
        <v>140</v>
      </c>
      <c r="C118" s="37">
        <v>0</v>
      </c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215">
        <f t="shared" si="18"/>
        <v>0</v>
      </c>
    </row>
    <row r="119" spans="2:15" s="9" customFormat="1" ht="16.5" x14ac:dyDescent="0.25">
      <c r="B119" s="12" t="s">
        <v>141</v>
      </c>
      <c r="C119" s="37">
        <v>0</v>
      </c>
      <c r="D119" s="37">
        <v>0</v>
      </c>
      <c r="E119" s="37">
        <v>0</v>
      </c>
      <c r="F119" s="37">
        <v>0</v>
      </c>
      <c r="G119" s="37">
        <v>0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215">
        <f t="shared" si="18"/>
        <v>0</v>
      </c>
    </row>
    <row r="120" spans="2:15" s="42" customFormat="1" ht="19.5" x14ac:dyDescent="0.4">
      <c r="B120" s="15" t="s">
        <v>142</v>
      </c>
      <c r="C120" s="45">
        <f>SUM(C121:C122)</f>
        <v>0</v>
      </c>
      <c r="D120" s="45">
        <f t="shared" ref="D120:N120" si="22">SUM(D121:D122)</f>
        <v>0</v>
      </c>
      <c r="E120" s="45">
        <f t="shared" si="22"/>
        <v>0</v>
      </c>
      <c r="F120" s="45">
        <f t="shared" si="22"/>
        <v>0</v>
      </c>
      <c r="G120" s="45">
        <f t="shared" si="22"/>
        <v>0</v>
      </c>
      <c r="H120" s="45">
        <f t="shared" si="22"/>
        <v>0</v>
      </c>
      <c r="I120" s="45">
        <f t="shared" si="22"/>
        <v>0</v>
      </c>
      <c r="J120" s="45">
        <f t="shared" si="22"/>
        <v>0</v>
      </c>
      <c r="K120" s="45">
        <f t="shared" si="22"/>
        <v>0</v>
      </c>
      <c r="L120" s="45">
        <f t="shared" si="22"/>
        <v>0</v>
      </c>
      <c r="M120" s="45">
        <f t="shared" si="22"/>
        <v>0</v>
      </c>
      <c r="N120" s="45">
        <f t="shared" si="22"/>
        <v>0</v>
      </c>
      <c r="O120" s="218">
        <f t="shared" si="18"/>
        <v>0</v>
      </c>
    </row>
    <row r="121" spans="2:15" s="9" customFormat="1" ht="16.5" x14ac:dyDescent="0.25">
      <c r="B121" s="12" t="s">
        <v>143</v>
      </c>
      <c r="C121" s="37">
        <v>0</v>
      </c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0</v>
      </c>
      <c r="J121" s="37">
        <v>0</v>
      </c>
      <c r="K121" s="37">
        <v>0</v>
      </c>
      <c r="L121" s="37">
        <v>0</v>
      </c>
      <c r="M121" s="37">
        <v>0</v>
      </c>
      <c r="N121" s="37">
        <v>0</v>
      </c>
      <c r="O121" s="215">
        <f t="shared" si="18"/>
        <v>0</v>
      </c>
    </row>
    <row r="122" spans="2:15" s="9" customFormat="1" ht="16.5" x14ac:dyDescent="0.25">
      <c r="B122" s="12" t="s">
        <v>43</v>
      </c>
      <c r="C122" s="37">
        <v>0</v>
      </c>
      <c r="D122" s="37">
        <v>0</v>
      </c>
      <c r="E122" s="37">
        <v>0</v>
      </c>
      <c r="F122" s="37">
        <v>0</v>
      </c>
      <c r="G122" s="37">
        <v>0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  <c r="M122" s="37">
        <v>0</v>
      </c>
      <c r="N122" s="37">
        <v>0</v>
      </c>
      <c r="O122" s="215">
        <f t="shared" si="18"/>
        <v>0</v>
      </c>
    </row>
    <row r="123" spans="2:15" s="42" customFormat="1" ht="19.5" x14ac:dyDescent="0.4">
      <c r="B123" s="15" t="s">
        <v>32</v>
      </c>
      <c r="C123" s="45">
        <f t="shared" ref="C123:N123" si="23">SUM(C124:C125)</f>
        <v>0</v>
      </c>
      <c r="D123" s="45">
        <f t="shared" si="23"/>
        <v>0</v>
      </c>
      <c r="E123" s="45">
        <f t="shared" si="23"/>
        <v>0</v>
      </c>
      <c r="F123" s="45">
        <f t="shared" si="23"/>
        <v>0</v>
      </c>
      <c r="G123" s="45">
        <f t="shared" si="23"/>
        <v>0</v>
      </c>
      <c r="H123" s="45">
        <f t="shared" si="23"/>
        <v>0</v>
      </c>
      <c r="I123" s="45">
        <f t="shared" si="23"/>
        <v>0</v>
      </c>
      <c r="J123" s="45">
        <f t="shared" si="23"/>
        <v>0</v>
      </c>
      <c r="K123" s="45">
        <f t="shared" si="23"/>
        <v>0</v>
      </c>
      <c r="L123" s="45">
        <f t="shared" si="23"/>
        <v>0</v>
      </c>
      <c r="M123" s="45">
        <f t="shared" si="23"/>
        <v>0</v>
      </c>
      <c r="N123" s="45">
        <f t="shared" si="23"/>
        <v>0</v>
      </c>
      <c r="O123" s="218">
        <f t="shared" si="18"/>
        <v>0</v>
      </c>
    </row>
    <row r="124" spans="2:15" s="9" customFormat="1" ht="16.5" x14ac:dyDescent="0.25">
      <c r="B124" s="12" t="s">
        <v>144</v>
      </c>
      <c r="C124" s="37">
        <v>0</v>
      </c>
      <c r="D124" s="37">
        <v>0</v>
      </c>
      <c r="E124" s="37">
        <v>0</v>
      </c>
      <c r="F124" s="37">
        <v>0</v>
      </c>
      <c r="G124" s="37">
        <v>0</v>
      </c>
      <c r="H124" s="37">
        <v>0</v>
      </c>
      <c r="I124" s="37">
        <v>0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215">
        <f t="shared" si="18"/>
        <v>0</v>
      </c>
    </row>
    <row r="125" spans="2:15" s="9" customFormat="1" ht="16.5" x14ac:dyDescent="0.25">
      <c r="B125" s="12" t="s">
        <v>145</v>
      </c>
      <c r="C125" s="37">
        <v>0</v>
      </c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215">
        <f t="shared" si="18"/>
        <v>0</v>
      </c>
    </row>
    <row r="126" spans="2:15" s="42" customFormat="1" ht="19.5" x14ac:dyDescent="0.4">
      <c r="B126" s="15" t="s">
        <v>146</v>
      </c>
      <c r="C126" s="45">
        <f>SUM(C127:C129)</f>
        <v>0</v>
      </c>
      <c r="D126" s="45">
        <f t="shared" ref="D126:N126" si="24">SUM(D127:D129)</f>
        <v>0</v>
      </c>
      <c r="E126" s="45">
        <f t="shared" si="24"/>
        <v>0</v>
      </c>
      <c r="F126" s="45">
        <f t="shared" si="24"/>
        <v>0</v>
      </c>
      <c r="G126" s="45">
        <f t="shared" si="24"/>
        <v>0</v>
      </c>
      <c r="H126" s="45">
        <f t="shared" si="24"/>
        <v>0</v>
      </c>
      <c r="I126" s="45">
        <f t="shared" si="24"/>
        <v>0</v>
      </c>
      <c r="J126" s="45">
        <f t="shared" si="24"/>
        <v>0</v>
      </c>
      <c r="K126" s="45">
        <f t="shared" si="24"/>
        <v>0</v>
      </c>
      <c r="L126" s="45">
        <f t="shared" si="24"/>
        <v>0</v>
      </c>
      <c r="M126" s="45">
        <f t="shared" si="24"/>
        <v>0</v>
      </c>
      <c r="N126" s="45">
        <f t="shared" si="24"/>
        <v>0</v>
      </c>
      <c r="O126" s="218">
        <f t="shared" si="18"/>
        <v>0</v>
      </c>
    </row>
    <row r="127" spans="2:15" s="9" customFormat="1" ht="16.5" x14ac:dyDescent="0.25">
      <c r="B127" s="12" t="s">
        <v>147</v>
      </c>
      <c r="C127" s="37">
        <v>0</v>
      </c>
      <c r="D127" s="37">
        <v>0</v>
      </c>
      <c r="E127" s="37">
        <v>0</v>
      </c>
      <c r="F127" s="37">
        <v>0</v>
      </c>
      <c r="G127" s="37">
        <v>0</v>
      </c>
      <c r="H127" s="37">
        <v>0</v>
      </c>
      <c r="I127" s="37">
        <v>0</v>
      </c>
      <c r="J127" s="37">
        <v>0</v>
      </c>
      <c r="K127" s="37">
        <v>0</v>
      </c>
      <c r="L127" s="37">
        <v>0</v>
      </c>
      <c r="M127" s="37">
        <v>0</v>
      </c>
      <c r="N127" s="37">
        <v>0</v>
      </c>
      <c r="O127" s="215">
        <f t="shared" si="18"/>
        <v>0</v>
      </c>
    </row>
    <row r="128" spans="2:15" s="9" customFormat="1" ht="16.5" x14ac:dyDescent="0.25">
      <c r="B128" s="12" t="s">
        <v>148</v>
      </c>
      <c r="C128" s="37">
        <v>0</v>
      </c>
      <c r="D128" s="37">
        <v>0</v>
      </c>
      <c r="E128" s="37">
        <v>0</v>
      </c>
      <c r="F128" s="37">
        <v>0</v>
      </c>
      <c r="G128" s="37">
        <v>0</v>
      </c>
      <c r="H128" s="37">
        <v>0</v>
      </c>
      <c r="I128" s="37">
        <v>0</v>
      </c>
      <c r="J128" s="37">
        <v>0</v>
      </c>
      <c r="K128" s="37">
        <v>0</v>
      </c>
      <c r="L128" s="37">
        <v>0</v>
      </c>
      <c r="M128" s="37">
        <v>0</v>
      </c>
      <c r="N128" s="37">
        <v>0</v>
      </c>
      <c r="O128" s="215">
        <f t="shared" si="18"/>
        <v>0</v>
      </c>
    </row>
    <row r="129" spans="2:15" s="9" customFormat="1" ht="16.5" x14ac:dyDescent="0.25">
      <c r="B129" s="12" t="s">
        <v>149</v>
      </c>
      <c r="C129" s="37">
        <v>0</v>
      </c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0</v>
      </c>
      <c r="J129" s="37">
        <v>0</v>
      </c>
      <c r="K129" s="37">
        <v>0</v>
      </c>
      <c r="L129" s="37">
        <v>0</v>
      </c>
      <c r="M129" s="37">
        <v>0</v>
      </c>
      <c r="N129" s="37">
        <v>0</v>
      </c>
      <c r="O129" s="215">
        <f t="shared" si="18"/>
        <v>0</v>
      </c>
    </row>
    <row r="130" spans="2:15" s="42" customFormat="1" ht="19.5" x14ac:dyDescent="0.4">
      <c r="B130" s="15" t="s">
        <v>150</v>
      </c>
      <c r="C130" s="45">
        <f>SUM(C131:C132)</f>
        <v>0</v>
      </c>
      <c r="D130" s="45">
        <f t="shared" ref="D130:N130" si="25">SUM(D131:D132)</f>
        <v>0</v>
      </c>
      <c r="E130" s="45">
        <f t="shared" si="25"/>
        <v>0</v>
      </c>
      <c r="F130" s="45">
        <f t="shared" si="25"/>
        <v>0</v>
      </c>
      <c r="G130" s="45">
        <f t="shared" si="25"/>
        <v>0</v>
      </c>
      <c r="H130" s="45">
        <f t="shared" si="25"/>
        <v>0</v>
      </c>
      <c r="I130" s="45">
        <f t="shared" si="25"/>
        <v>0</v>
      </c>
      <c r="J130" s="45">
        <f t="shared" si="25"/>
        <v>0</v>
      </c>
      <c r="K130" s="45">
        <f t="shared" si="25"/>
        <v>0</v>
      </c>
      <c r="L130" s="45">
        <f t="shared" si="25"/>
        <v>0</v>
      </c>
      <c r="M130" s="45">
        <f t="shared" si="25"/>
        <v>0</v>
      </c>
      <c r="N130" s="45">
        <f t="shared" si="25"/>
        <v>0</v>
      </c>
      <c r="O130" s="218">
        <f t="shared" si="18"/>
        <v>0</v>
      </c>
    </row>
    <row r="131" spans="2:15" s="9" customFormat="1" ht="16.5" x14ac:dyDescent="0.25">
      <c r="B131" s="12" t="s">
        <v>64</v>
      </c>
      <c r="C131" s="37">
        <v>0</v>
      </c>
      <c r="D131" s="37">
        <v>0</v>
      </c>
      <c r="E131" s="37">
        <v>0</v>
      </c>
      <c r="F131" s="37">
        <v>0</v>
      </c>
      <c r="G131" s="37">
        <v>0</v>
      </c>
      <c r="H131" s="37">
        <v>0</v>
      </c>
      <c r="I131" s="37">
        <v>0</v>
      </c>
      <c r="J131" s="37">
        <v>0</v>
      </c>
      <c r="K131" s="37">
        <v>0</v>
      </c>
      <c r="L131" s="37">
        <v>0</v>
      </c>
      <c r="M131" s="37">
        <v>0</v>
      </c>
      <c r="N131" s="37">
        <v>0</v>
      </c>
      <c r="O131" s="215">
        <f t="shared" si="18"/>
        <v>0</v>
      </c>
    </row>
    <row r="132" spans="2:15" s="9" customFormat="1" ht="16.5" x14ac:dyDescent="0.25">
      <c r="B132" s="12" t="s">
        <v>151</v>
      </c>
      <c r="C132" s="37">
        <v>0</v>
      </c>
      <c r="D132" s="37">
        <v>0</v>
      </c>
      <c r="E132" s="37">
        <v>0</v>
      </c>
      <c r="F132" s="37">
        <v>0</v>
      </c>
      <c r="G132" s="37">
        <v>0</v>
      </c>
      <c r="H132" s="37">
        <v>0</v>
      </c>
      <c r="I132" s="37">
        <v>0</v>
      </c>
      <c r="J132" s="37">
        <v>0</v>
      </c>
      <c r="K132" s="37">
        <v>0</v>
      </c>
      <c r="L132" s="37">
        <v>0</v>
      </c>
      <c r="M132" s="37">
        <v>0</v>
      </c>
      <c r="N132" s="37">
        <v>0</v>
      </c>
      <c r="O132" s="215">
        <f t="shared" si="18"/>
        <v>0</v>
      </c>
    </row>
    <row r="133" spans="2:15" s="42" customFormat="1" ht="19.5" x14ac:dyDescent="0.4">
      <c r="B133" s="15" t="s">
        <v>152</v>
      </c>
      <c r="C133" s="45">
        <f>SUM(C134:C138)</f>
        <v>0</v>
      </c>
      <c r="D133" s="45">
        <f t="shared" ref="D133:N133" si="26">SUM(D134:D138)</f>
        <v>0</v>
      </c>
      <c r="E133" s="45">
        <f t="shared" si="26"/>
        <v>0</v>
      </c>
      <c r="F133" s="45">
        <f t="shared" si="26"/>
        <v>0</v>
      </c>
      <c r="G133" s="45">
        <f t="shared" si="26"/>
        <v>0</v>
      </c>
      <c r="H133" s="45">
        <f t="shared" si="26"/>
        <v>0</v>
      </c>
      <c r="I133" s="45">
        <f t="shared" si="26"/>
        <v>0</v>
      </c>
      <c r="J133" s="45">
        <f t="shared" si="26"/>
        <v>0</v>
      </c>
      <c r="K133" s="45">
        <f t="shared" si="26"/>
        <v>0</v>
      </c>
      <c r="L133" s="45">
        <f>SUM(L134:L138)</f>
        <v>0</v>
      </c>
      <c r="M133" s="45">
        <f t="shared" si="26"/>
        <v>0</v>
      </c>
      <c r="N133" s="45">
        <f t="shared" si="26"/>
        <v>0</v>
      </c>
      <c r="O133" s="218">
        <f t="shared" si="18"/>
        <v>0</v>
      </c>
    </row>
    <row r="134" spans="2:15" s="9" customFormat="1" ht="16.5" x14ac:dyDescent="0.25">
      <c r="B134" s="12" t="s">
        <v>153</v>
      </c>
      <c r="C134" s="37">
        <v>0</v>
      </c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0</v>
      </c>
      <c r="J134" s="37">
        <v>0</v>
      </c>
      <c r="K134" s="37">
        <v>0</v>
      </c>
      <c r="L134" s="37">
        <v>0</v>
      </c>
      <c r="M134" s="37">
        <v>0</v>
      </c>
      <c r="N134" s="37">
        <v>0</v>
      </c>
      <c r="O134" s="215">
        <f t="shared" si="18"/>
        <v>0</v>
      </c>
    </row>
    <row r="135" spans="2:15" s="9" customFormat="1" ht="16.5" x14ac:dyDescent="0.25">
      <c r="B135" s="12" t="s">
        <v>154</v>
      </c>
      <c r="C135" s="37">
        <v>0</v>
      </c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v>0</v>
      </c>
      <c r="N135" s="37">
        <v>0</v>
      </c>
      <c r="O135" s="215">
        <f t="shared" si="18"/>
        <v>0</v>
      </c>
    </row>
    <row r="136" spans="2:15" s="9" customFormat="1" ht="16.5" x14ac:dyDescent="0.25">
      <c r="B136" s="12" t="s">
        <v>155</v>
      </c>
      <c r="C136" s="37">
        <v>0</v>
      </c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0</v>
      </c>
      <c r="J136" s="37">
        <v>0</v>
      </c>
      <c r="K136" s="37">
        <v>0</v>
      </c>
      <c r="L136" s="37">
        <v>0</v>
      </c>
      <c r="M136" s="37">
        <v>0</v>
      </c>
      <c r="N136" s="37">
        <v>0</v>
      </c>
      <c r="O136" s="215">
        <f t="shared" si="18"/>
        <v>0</v>
      </c>
    </row>
    <row r="137" spans="2:15" s="9" customFormat="1" ht="16.5" x14ac:dyDescent="0.25">
      <c r="B137" s="12" t="s">
        <v>156</v>
      </c>
      <c r="C137" s="37">
        <v>0</v>
      </c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0</v>
      </c>
      <c r="J137" s="37">
        <v>0</v>
      </c>
      <c r="K137" s="37">
        <v>0</v>
      </c>
      <c r="L137" s="37">
        <v>0</v>
      </c>
      <c r="M137" s="37">
        <v>0</v>
      </c>
      <c r="N137" s="37">
        <v>0</v>
      </c>
      <c r="O137" s="215">
        <f t="shared" si="18"/>
        <v>0</v>
      </c>
    </row>
    <row r="138" spans="2:15" s="9" customFormat="1" ht="16.5" x14ac:dyDescent="0.25"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215">
        <f t="shared" si="18"/>
        <v>0</v>
      </c>
    </row>
    <row r="139" spans="2:15" s="9" customFormat="1" ht="15.75" x14ac:dyDescent="0.25"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221"/>
    </row>
    <row r="140" spans="2:15" s="9" customFormat="1" ht="15.75" x14ac:dyDescent="0.25"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221"/>
    </row>
    <row r="141" spans="2:15" s="9" customFormat="1" ht="15.75" x14ac:dyDescent="0.25"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221"/>
    </row>
    <row r="142" spans="2:15" s="9" customFormat="1" ht="15.75" x14ac:dyDescent="0.25"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221"/>
    </row>
    <row r="143" spans="2:15" s="9" customFormat="1" ht="15.75" x14ac:dyDescent="0.25"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221"/>
    </row>
    <row r="144" spans="2:15" s="9" customFormat="1" ht="15.75" x14ac:dyDescent="0.25">
      <c r="O144" s="221"/>
    </row>
    <row r="145" spans="15:15" s="9" customFormat="1" ht="15.75" x14ac:dyDescent="0.25">
      <c r="O145" s="221"/>
    </row>
    <row r="146" spans="15:15" s="9" customFormat="1" ht="15.75" x14ac:dyDescent="0.25">
      <c r="O146" s="221"/>
    </row>
    <row r="147" spans="15:15" s="9" customFormat="1" ht="15.75" x14ac:dyDescent="0.25">
      <c r="O147" s="221"/>
    </row>
    <row r="148" spans="15:15" s="9" customFormat="1" ht="15.75" x14ac:dyDescent="0.25">
      <c r="O148" s="221"/>
    </row>
    <row r="149" spans="15:15" s="9" customFormat="1" ht="15.75" x14ac:dyDescent="0.25">
      <c r="O149" s="221"/>
    </row>
    <row r="150" spans="15:15" s="9" customFormat="1" ht="15.75" x14ac:dyDescent="0.25">
      <c r="O150" s="221"/>
    </row>
    <row r="151" spans="15:15" s="9" customFormat="1" ht="15.75" x14ac:dyDescent="0.25">
      <c r="O151" s="221"/>
    </row>
    <row r="152" spans="15:15" s="9" customFormat="1" ht="15.75" x14ac:dyDescent="0.25">
      <c r="O152" s="221"/>
    </row>
    <row r="153" spans="15:15" s="9" customFormat="1" ht="15.75" x14ac:dyDescent="0.25">
      <c r="O153" s="221"/>
    </row>
    <row r="154" spans="15:15" s="9" customFormat="1" ht="15.75" x14ac:dyDescent="0.25">
      <c r="O154" s="221"/>
    </row>
    <row r="155" spans="15:15" s="9" customFormat="1" ht="15.75" x14ac:dyDescent="0.25">
      <c r="O155" s="221"/>
    </row>
    <row r="156" spans="15:15" s="9" customFormat="1" ht="15.75" x14ac:dyDescent="0.25">
      <c r="O156" s="221"/>
    </row>
    <row r="157" spans="15:15" s="9" customFormat="1" ht="15.75" x14ac:dyDescent="0.25">
      <c r="O157" s="221"/>
    </row>
    <row r="158" spans="15:15" s="9" customFormat="1" ht="15.75" x14ac:dyDescent="0.25">
      <c r="O158" s="221"/>
    </row>
    <row r="159" spans="15:15" s="9" customFormat="1" ht="15.75" x14ac:dyDescent="0.25">
      <c r="O159" s="221"/>
    </row>
    <row r="160" spans="15:15" s="9" customFormat="1" ht="15.75" x14ac:dyDescent="0.25">
      <c r="O160" s="221"/>
    </row>
    <row r="161" spans="15:15" s="9" customFormat="1" ht="15.75" x14ac:dyDescent="0.25">
      <c r="O161" s="221"/>
    </row>
    <row r="162" spans="15:15" s="9" customFormat="1" ht="15.75" x14ac:dyDescent="0.25">
      <c r="O162" s="221"/>
    </row>
    <row r="163" spans="15:15" s="9" customFormat="1" ht="15.75" x14ac:dyDescent="0.25">
      <c r="O163" s="221"/>
    </row>
    <row r="164" spans="15:15" s="9" customFormat="1" ht="15.75" x14ac:dyDescent="0.25">
      <c r="O164" s="221"/>
    </row>
    <row r="165" spans="15:15" s="9" customFormat="1" ht="15.75" x14ac:dyDescent="0.25">
      <c r="O165" s="221"/>
    </row>
  </sheetData>
  <sheetProtection formatCells="0" formatColumns="0" formatRows="0" insertColumns="0" insertRows="0" insertHyperlinks="0" deleteColumns="0" deleteRows="0" sort="0" autoFilter="0" pivotTables="0"/>
  <mergeCells count="2">
    <mergeCell ref="C1:O1"/>
    <mergeCell ref="A2:B2"/>
  </mergeCells>
  <pageMargins left="0" right="0" top="0.75" bottom="0.75" header="0.3" footer="0.3"/>
  <pageSetup paperSize="9" scale="41" fitToHeight="0" orientation="landscape" r:id="rId1"/>
  <headerFooter>
    <oddFooter>&amp;L&amp;Bfinancas - previsto x realizad&amp;RPágina 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0E35-57EE-4E1D-8264-99D273653017}">
  <sheetPr>
    <tabColor theme="8" tint="0.39997558519241921"/>
  </sheetPr>
  <dimension ref="A1:R165"/>
  <sheetViews>
    <sheetView showGridLines="0" view="pageBreakPreview" zoomScale="55" zoomScaleNormal="55" zoomScaleSheetLayoutView="55" workbookViewId="0">
      <pane xSplit="2" ySplit="3" topLeftCell="C25" activePane="bottomRight" state="frozen"/>
      <selection pane="topRight"/>
      <selection pane="bottomLeft"/>
      <selection pane="bottomRight" activeCell="J47" sqref="C47:J47"/>
    </sheetView>
  </sheetViews>
  <sheetFormatPr defaultColWidth="9.140625" defaultRowHeight="15" customHeight="1" x14ac:dyDescent="0.25"/>
  <cols>
    <col min="1" max="1" width="1.28515625" style="222" customWidth="1"/>
    <col min="2" max="2" width="61.140625" style="222" bestFit="1" customWidth="1"/>
    <col min="3" max="6" width="22.7109375" style="222" bestFit="1" customWidth="1"/>
    <col min="7" max="9" width="23.28515625" style="222" bestFit="1" customWidth="1"/>
    <col min="10" max="10" width="22.7109375" style="222" bestFit="1" customWidth="1"/>
    <col min="11" max="14" width="23.28515625" style="222" bestFit="1" customWidth="1"/>
    <col min="15" max="15" width="24.42578125" style="224" bestFit="1" customWidth="1"/>
    <col min="16" max="16" width="17.140625" style="222" customWidth="1"/>
    <col min="17" max="17" width="33.28515625" style="223" customWidth="1"/>
    <col min="18" max="18" width="16.28515625" style="222" bestFit="1" customWidth="1"/>
    <col min="19" max="16384" width="9.140625" style="222"/>
  </cols>
  <sheetData>
    <row r="1" spans="1:18" ht="68.25" customHeight="1" x14ac:dyDescent="0.25">
      <c r="A1"/>
      <c r="B1"/>
      <c r="C1" s="286" t="s">
        <v>254</v>
      </c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/>
      <c r="Q1"/>
      <c r="R1"/>
    </row>
    <row r="2" spans="1:18" ht="24.95" customHeight="1" x14ac:dyDescent="0.25">
      <c r="A2" s="287" t="s">
        <v>246</v>
      </c>
      <c r="B2" s="287"/>
      <c r="C2" s="184">
        <f>C47/O$47</f>
        <v>0.10792719614921781</v>
      </c>
      <c r="D2" s="184">
        <f>D47/$O$47</f>
        <v>8.0475330926594466E-2</v>
      </c>
      <c r="E2" s="184">
        <f>E47/$O$47</f>
        <v>8.1227436823104696E-2</v>
      </c>
      <c r="F2" s="184">
        <f t="shared" ref="F2:N2" si="0">F47/$O$47</f>
        <v>8.3483754512635386E-2</v>
      </c>
      <c r="G2" s="184">
        <f t="shared" si="0"/>
        <v>8.0926594464500595E-2</v>
      </c>
      <c r="H2" s="184">
        <f t="shared" si="0"/>
        <v>8.0851383874849581E-2</v>
      </c>
      <c r="I2" s="184">
        <f t="shared" si="0"/>
        <v>8.0475330926594466E-2</v>
      </c>
      <c r="J2" s="184">
        <f t="shared" si="0"/>
        <v>8.0475330926594466E-2</v>
      </c>
      <c r="K2" s="184">
        <f t="shared" si="0"/>
        <v>8.0851383874849581E-2</v>
      </c>
      <c r="L2" s="184">
        <f t="shared" si="0"/>
        <v>8.0475330926594466E-2</v>
      </c>
      <c r="M2" s="184">
        <f t="shared" si="0"/>
        <v>8.0851383874849581E-2</v>
      </c>
      <c r="N2" s="184">
        <f t="shared" si="0"/>
        <v>8.1979542719614926E-2</v>
      </c>
      <c r="O2" s="220"/>
      <c r="P2"/>
      <c r="Q2"/>
      <c r="R2"/>
    </row>
    <row r="3" spans="1:18" ht="22.5" x14ac:dyDescent="0.25">
      <c r="A3"/>
      <c r="B3" s="2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210" t="s">
        <v>5</v>
      </c>
      <c r="P3"/>
      <c r="Q3"/>
      <c r="R3"/>
    </row>
    <row r="4" spans="1:18" ht="22.5" x14ac:dyDescent="0.25">
      <c r="A4"/>
      <c r="B4" s="31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211"/>
      <c r="P4"/>
      <c r="Q4"/>
      <c r="R4"/>
    </row>
    <row r="5" spans="1:18" ht="19.5" x14ac:dyDescent="0.25">
      <c r="A5"/>
      <c r="B5" s="33" t="s">
        <v>29</v>
      </c>
      <c r="C5" s="243">
        <f>C6</f>
        <v>2150</v>
      </c>
      <c r="D5" s="243">
        <f t="shared" ref="D5:N5" si="1">C5+D6</f>
        <v>7950</v>
      </c>
      <c r="E5" s="243">
        <f t="shared" si="1"/>
        <v>13650</v>
      </c>
      <c r="F5" s="243">
        <f t="shared" si="1"/>
        <v>19050</v>
      </c>
      <c r="G5" s="243">
        <f t="shared" si="1"/>
        <v>24790</v>
      </c>
      <c r="H5" s="243">
        <f t="shared" si="1"/>
        <v>30540</v>
      </c>
      <c r="I5" s="243">
        <f t="shared" si="1"/>
        <v>36340</v>
      </c>
      <c r="J5" s="243">
        <f t="shared" si="1"/>
        <v>42140</v>
      </c>
      <c r="K5" s="243">
        <f t="shared" si="1"/>
        <v>47890</v>
      </c>
      <c r="L5" s="243">
        <f t="shared" si="1"/>
        <v>53690</v>
      </c>
      <c r="M5" s="243">
        <f t="shared" si="1"/>
        <v>59440</v>
      </c>
      <c r="N5" s="243">
        <f t="shared" si="1"/>
        <v>65040</v>
      </c>
      <c r="O5" s="212"/>
      <c r="P5"/>
      <c r="Q5"/>
      <c r="R5"/>
    </row>
    <row r="6" spans="1:18" ht="19.5" x14ac:dyDescent="0.25">
      <c r="A6"/>
      <c r="B6" s="33" t="s">
        <v>30</v>
      </c>
      <c r="C6" s="243">
        <f t="shared" ref="C6:N6" si="2">SUM(C8-C47)</f>
        <v>2150</v>
      </c>
      <c r="D6" s="243">
        <f t="shared" si="2"/>
        <v>5800</v>
      </c>
      <c r="E6" s="243">
        <f t="shared" si="2"/>
        <v>5700</v>
      </c>
      <c r="F6" s="243">
        <f t="shared" si="2"/>
        <v>5400</v>
      </c>
      <c r="G6" s="243">
        <f t="shared" si="2"/>
        <v>5740</v>
      </c>
      <c r="H6" s="243">
        <f t="shared" si="2"/>
        <v>5750</v>
      </c>
      <c r="I6" s="243">
        <f t="shared" si="2"/>
        <v>5800</v>
      </c>
      <c r="J6" s="243">
        <f t="shared" si="2"/>
        <v>5800</v>
      </c>
      <c r="K6" s="243">
        <f t="shared" si="2"/>
        <v>5750</v>
      </c>
      <c r="L6" s="243">
        <f t="shared" si="2"/>
        <v>5800</v>
      </c>
      <c r="M6" s="243">
        <f t="shared" si="2"/>
        <v>5750</v>
      </c>
      <c r="N6" s="243">
        <f t="shared" si="2"/>
        <v>5600</v>
      </c>
      <c r="O6" s="212">
        <f>SUM(C6:N6)</f>
        <v>65040</v>
      </c>
      <c r="P6"/>
      <c r="Q6"/>
      <c r="R6"/>
    </row>
    <row r="7" spans="1:18" ht="22.5" x14ac:dyDescent="0.25">
      <c r="A7"/>
      <c r="B7" s="31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11"/>
      <c r="P7"/>
      <c r="Q7"/>
      <c r="R7"/>
    </row>
    <row r="8" spans="1:18" s="9" customFormat="1" ht="19.5" x14ac:dyDescent="0.25">
      <c r="B8" s="18" t="s">
        <v>31</v>
      </c>
      <c r="C8" s="49">
        <f>SUM(C9,C16,C22,C28,C33,C37,C40,C43)</f>
        <v>16500</v>
      </c>
      <c r="D8" s="49">
        <f t="shared" ref="D8:N8" si="3">SUM(D9,D16,D22,D28,D33,D37,D40,D43)</f>
        <v>16500</v>
      </c>
      <c r="E8" s="49">
        <f t="shared" si="3"/>
        <v>16500</v>
      </c>
      <c r="F8" s="49">
        <f t="shared" si="3"/>
        <v>16500</v>
      </c>
      <c r="G8" s="49">
        <f t="shared" si="3"/>
        <v>16500</v>
      </c>
      <c r="H8" s="49">
        <f t="shared" si="3"/>
        <v>16500</v>
      </c>
      <c r="I8" s="49">
        <f t="shared" si="3"/>
        <v>16500</v>
      </c>
      <c r="J8" s="49">
        <f t="shared" si="3"/>
        <v>16500</v>
      </c>
      <c r="K8" s="49">
        <f t="shared" si="3"/>
        <v>16500</v>
      </c>
      <c r="L8" s="49">
        <f t="shared" si="3"/>
        <v>16500</v>
      </c>
      <c r="M8" s="49">
        <f t="shared" si="3"/>
        <v>16500</v>
      </c>
      <c r="N8" s="49">
        <f t="shared" si="3"/>
        <v>16500</v>
      </c>
      <c r="O8" s="213">
        <f>SUM(C8:N8)</f>
        <v>198000</v>
      </c>
    </row>
    <row r="9" spans="1:18" s="9" customFormat="1" ht="15.75" hidden="1" customHeight="1" x14ac:dyDescent="0.4">
      <c r="A9" s="42"/>
      <c r="B9" s="10" t="s">
        <v>32</v>
      </c>
      <c r="C9" s="40">
        <f>SUM(C10:C15)</f>
        <v>0</v>
      </c>
      <c r="D9" s="40">
        <f>SUM(D10:D15)</f>
        <v>0</v>
      </c>
      <c r="E9" s="40">
        <f>SUM(E10:E15)</f>
        <v>0</v>
      </c>
      <c r="F9" s="40">
        <f t="shared" ref="F9:N9" si="4">SUM(F10:F15)</f>
        <v>0</v>
      </c>
      <c r="G9" s="40">
        <f>SUM(G10:G15)</f>
        <v>0</v>
      </c>
      <c r="H9" s="40">
        <f t="shared" si="4"/>
        <v>0</v>
      </c>
      <c r="I9" s="40">
        <f t="shared" si="4"/>
        <v>0</v>
      </c>
      <c r="J9" s="40">
        <f t="shared" si="4"/>
        <v>0</v>
      </c>
      <c r="K9" s="40">
        <f t="shared" si="4"/>
        <v>0</v>
      </c>
      <c r="L9" s="40">
        <f t="shared" si="4"/>
        <v>0</v>
      </c>
      <c r="M9" s="40">
        <f t="shared" si="4"/>
        <v>0</v>
      </c>
      <c r="N9" s="40">
        <f t="shared" si="4"/>
        <v>0</v>
      </c>
      <c r="O9" s="214">
        <f>SUM(C9:N9)</f>
        <v>0</v>
      </c>
      <c r="P9" s="42"/>
      <c r="Q9" s="42"/>
      <c r="R9" s="42"/>
    </row>
    <row r="10" spans="1:18" s="9" customFormat="1" ht="15.75" hidden="1" customHeight="1" x14ac:dyDescent="0.25">
      <c r="B10" s="36" t="s">
        <v>33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215">
        <f t="shared" ref="O10:O73" si="5">SUM(C10:N10)</f>
        <v>0</v>
      </c>
    </row>
    <row r="11" spans="1:18" s="9" customFormat="1" ht="15.75" hidden="1" customHeight="1" x14ac:dyDescent="0.25">
      <c r="B11" s="36" t="s">
        <v>34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215">
        <f t="shared" si="5"/>
        <v>0</v>
      </c>
    </row>
    <row r="12" spans="1:18" s="9" customFormat="1" ht="15.75" hidden="1" customHeight="1" x14ac:dyDescent="0.25">
      <c r="B12" s="36" t="s">
        <v>35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215">
        <f t="shared" si="5"/>
        <v>0</v>
      </c>
    </row>
    <row r="13" spans="1:18" s="9" customFormat="1" ht="15.75" hidden="1" customHeight="1" x14ac:dyDescent="0.25">
      <c r="B13" s="36" t="s">
        <v>36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215">
        <f t="shared" si="5"/>
        <v>0</v>
      </c>
    </row>
    <row r="14" spans="1:18" s="9" customFormat="1" ht="15.75" hidden="1" customHeight="1" x14ac:dyDescent="0.25">
      <c r="B14" s="36" t="s">
        <v>37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215">
        <f t="shared" si="5"/>
        <v>0</v>
      </c>
    </row>
    <row r="15" spans="1:18" s="9" customFormat="1" ht="15.75" hidden="1" customHeight="1" x14ac:dyDescent="0.25">
      <c r="B15" s="36" t="s">
        <v>38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215">
        <f t="shared" si="5"/>
        <v>0</v>
      </c>
    </row>
    <row r="16" spans="1:18" s="9" customFormat="1" ht="15.75" hidden="1" customHeight="1" x14ac:dyDescent="0.4">
      <c r="A16" s="42"/>
      <c r="B16" s="10" t="s">
        <v>39</v>
      </c>
      <c r="C16" s="40">
        <f>SUM(C17:C21)</f>
        <v>0</v>
      </c>
      <c r="D16" s="40">
        <f>SUM(D17:D21)</f>
        <v>0</v>
      </c>
      <c r="E16" s="40">
        <f t="shared" ref="E16:L16" si="6">SUM(E17:E21)</f>
        <v>0</v>
      </c>
      <c r="F16" s="40">
        <f t="shared" si="6"/>
        <v>0</v>
      </c>
      <c r="G16" s="40">
        <f>SUM(G17:G21)</f>
        <v>0</v>
      </c>
      <c r="H16" s="40">
        <f t="shared" si="6"/>
        <v>0</v>
      </c>
      <c r="I16" s="40">
        <f t="shared" si="6"/>
        <v>0</v>
      </c>
      <c r="J16" s="40">
        <f t="shared" si="6"/>
        <v>0</v>
      </c>
      <c r="K16" s="40">
        <f t="shared" si="6"/>
        <v>0</v>
      </c>
      <c r="L16" s="40">
        <f t="shared" si="6"/>
        <v>0</v>
      </c>
      <c r="M16" s="40">
        <f>SUM(M17:M21)</f>
        <v>0</v>
      </c>
      <c r="N16" s="40">
        <f>SUM(N17:N21)</f>
        <v>0</v>
      </c>
      <c r="O16" s="214">
        <f>SUM(C16:N16)</f>
        <v>0</v>
      </c>
      <c r="P16" s="42"/>
      <c r="Q16" s="42"/>
      <c r="R16" s="42"/>
    </row>
    <row r="17" spans="1:18" s="9" customFormat="1" ht="15.75" hidden="1" customHeight="1" x14ac:dyDescent="0.25">
      <c r="B17" s="36" t="s">
        <v>40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215">
        <f t="shared" si="5"/>
        <v>0</v>
      </c>
    </row>
    <row r="18" spans="1:18" s="9" customFormat="1" ht="15.75" hidden="1" customHeight="1" x14ac:dyDescent="0.25">
      <c r="B18" s="36" t="s">
        <v>41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215">
        <f t="shared" si="5"/>
        <v>0</v>
      </c>
    </row>
    <row r="19" spans="1:18" s="9" customFormat="1" ht="15.75" hidden="1" customHeight="1" x14ac:dyDescent="0.25">
      <c r="B19" s="36" t="s">
        <v>42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215">
        <f t="shared" si="5"/>
        <v>0</v>
      </c>
    </row>
    <row r="20" spans="1:18" s="9" customFormat="1" ht="15.75" hidden="1" customHeight="1" x14ac:dyDescent="0.25">
      <c r="B20" s="36" t="s">
        <v>43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215">
        <f t="shared" si="5"/>
        <v>0</v>
      </c>
    </row>
    <row r="21" spans="1:18" s="9" customFormat="1" ht="15.75" hidden="1" customHeight="1" x14ac:dyDescent="0.25">
      <c r="B21" s="36" t="s">
        <v>44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215">
        <f t="shared" si="5"/>
        <v>0</v>
      </c>
    </row>
    <row r="22" spans="1:18" s="9" customFormat="1" ht="19.5" x14ac:dyDescent="0.4">
      <c r="A22" s="42"/>
      <c r="B22" s="10" t="s">
        <v>45</v>
      </c>
      <c r="C22" s="40">
        <f>SUM(C23:C27)</f>
        <v>0</v>
      </c>
      <c r="D22" s="40">
        <f t="shared" ref="D22:N22" si="7">SUM(D23:D27)</f>
        <v>0</v>
      </c>
      <c r="E22" s="40">
        <f t="shared" si="7"/>
        <v>0</v>
      </c>
      <c r="F22" s="40">
        <f t="shared" si="7"/>
        <v>0</v>
      </c>
      <c r="G22" s="40">
        <f t="shared" si="7"/>
        <v>0</v>
      </c>
      <c r="H22" s="40">
        <f t="shared" si="7"/>
        <v>0</v>
      </c>
      <c r="I22" s="40">
        <f t="shared" si="7"/>
        <v>0</v>
      </c>
      <c r="J22" s="40">
        <f t="shared" si="7"/>
        <v>0</v>
      </c>
      <c r="K22" s="40">
        <f t="shared" si="7"/>
        <v>0</v>
      </c>
      <c r="L22" s="40">
        <f t="shared" si="7"/>
        <v>0</v>
      </c>
      <c r="M22" s="40">
        <f t="shared" si="7"/>
        <v>0</v>
      </c>
      <c r="N22" s="40">
        <f t="shared" si="7"/>
        <v>0</v>
      </c>
      <c r="O22" s="214">
        <f t="shared" si="5"/>
        <v>0</v>
      </c>
      <c r="P22" s="42"/>
      <c r="Q22" s="42"/>
      <c r="R22" s="42"/>
    </row>
    <row r="23" spans="1:18" s="9" customFormat="1" ht="16.5" x14ac:dyDescent="0.25">
      <c r="B23" s="12" t="s">
        <v>46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215">
        <f t="shared" si="5"/>
        <v>0</v>
      </c>
    </row>
    <row r="24" spans="1:18" s="9" customFormat="1" ht="16.5" x14ac:dyDescent="0.25">
      <c r="B24" s="12" t="s">
        <v>47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215">
        <f t="shared" si="5"/>
        <v>0</v>
      </c>
    </row>
    <row r="25" spans="1:18" s="9" customFormat="1" ht="16.5" x14ac:dyDescent="0.25">
      <c r="B25" s="12" t="s">
        <v>48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215">
        <f t="shared" si="5"/>
        <v>0</v>
      </c>
    </row>
    <row r="26" spans="1:18" s="9" customFormat="1" ht="16.5" x14ac:dyDescent="0.25">
      <c r="B26" s="12" t="s">
        <v>49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215">
        <f t="shared" si="5"/>
        <v>0</v>
      </c>
    </row>
    <row r="27" spans="1:18" s="9" customFormat="1" ht="16.5" x14ac:dyDescent="0.25">
      <c r="B27" s="12" t="s">
        <v>50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215">
        <f t="shared" si="5"/>
        <v>0</v>
      </c>
    </row>
    <row r="28" spans="1:18" s="9" customFormat="1" ht="19.5" x14ac:dyDescent="0.4">
      <c r="A28" s="42"/>
      <c r="B28" s="10" t="s">
        <v>51</v>
      </c>
      <c r="C28" s="40">
        <f>SUM(C29:C32)</f>
        <v>0</v>
      </c>
      <c r="D28" s="40">
        <f t="shared" ref="D28:N28" si="8">SUM(D29:D32)</f>
        <v>0</v>
      </c>
      <c r="E28" s="40">
        <f t="shared" si="8"/>
        <v>0</v>
      </c>
      <c r="F28" s="40">
        <f t="shared" si="8"/>
        <v>0</v>
      </c>
      <c r="G28" s="40">
        <f t="shared" si="8"/>
        <v>0</v>
      </c>
      <c r="H28" s="40">
        <f t="shared" si="8"/>
        <v>0</v>
      </c>
      <c r="I28" s="40">
        <f t="shared" si="8"/>
        <v>0</v>
      </c>
      <c r="J28" s="40">
        <f t="shared" si="8"/>
        <v>0</v>
      </c>
      <c r="K28" s="40">
        <f t="shared" si="8"/>
        <v>0</v>
      </c>
      <c r="L28" s="40">
        <f t="shared" si="8"/>
        <v>0</v>
      </c>
      <c r="M28" s="40">
        <f t="shared" si="8"/>
        <v>0</v>
      </c>
      <c r="N28" s="40">
        <f t="shared" si="8"/>
        <v>0</v>
      </c>
      <c r="O28" s="214">
        <f>SUM(C28:N28)</f>
        <v>0</v>
      </c>
      <c r="P28" s="42"/>
      <c r="Q28" s="42"/>
      <c r="R28" s="42"/>
    </row>
    <row r="29" spans="1:18" s="9" customFormat="1" ht="16.5" x14ac:dyDescent="0.25">
      <c r="B29" s="12" t="s">
        <v>52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215">
        <f>SUM(C29:N29)</f>
        <v>0</v>
      </c>
    </row>
    <row r="30" spans="1:18" s="9" customFormat="1" ht="16.5" x14ac:dyDescent="0.25">
      <c r="B30" s="12" t="s">
        <v>53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215">
        <f t="shared" si="5"/>
        <v>0</v>
      </c>
    </row>
    <row r="31" spans="1:18" s="9" customFormat="1" ht="16.5" x14ac:dyDescent="0.25">
      <c r="B31" s="12" t="s">
        <v>54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215">
        <f t="shared" si="5"/>
        <v>0</v>
      </c>
    </row>
    <row r="32" spans="1:18" s="9" customFormat="1" ht="16.5" x14ac:dyDescent="0.25">
      <c r="B32" s="12" t="s">
        <v>55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215">
        <f t="shared" si="5"/>
        <v>0</v>
      </c>
    </row>
    <row r="33" spans="1:18" s="9" customFormat="1" ht="19.5" x14ac:dyDescent="0.4">
      <c r="A33" s="42"/>
      <c r="B33" s="10" t="s">
        <v>56</v>
      </c>
      <c r="C33" s="40">
        <f>SUM(C34:C36)</f>
        <v>0</v>
      </c>
      <c r="D33" s="40">
        <f>SUM(D34:D36)</f>
        <v>0</v>
      </c>
      <c r="E33" s="40">
        <f>SUM(E34:E36)</f>
        <v>0</v>
      </c>
      <c r="F33" s="40">
        <f t="shared" ref="F33:N33" si="9">SUM(F34:F36)</f>
        <v>0</v>
      </c>
      <c r="G33" s="40">
        <f t="shared" si="9"/>
        <v>0</v>
      </c>
      <c r="H33" s="40">
        <f t="shared" si="9"/>
        <v>0</v>
      </c>
      <c r="I33" s="40">
        <f>SUM(I34:I36)</f>
        <v>0</v>
      </c>
      <c r="J33" s="40">
        <f t="shared" si="9"/>
        <v>0</v>
      </c>
      <c r="K33" s="40">
        <f t="shared" si="9"/>
        <v>0</v>
      </c>
      <c r="L33" s="40">
        <f t="shared" si="9"/>
        <v>0</v>
      </c>
      <c r="M33" s="40">
        <f t="shared" si="9"/>
        <v>0</v>
      </c>
      <c r="N33" s="40">
        <f t="shared" si="9"/>
        <v>0</v>
      </c>
      <c r="O33" s="214">
        <f t="shared" si="5"/>
        <v>0</v>
      </c>
      <c r="P33" s="42"/>
      <c r="Q33" s="42"/>
      <c r="R33" s="42"/>
    </row>
    <row r="34" spans="1:18" s="9" customFormat="1" ht="16.5" x14ac:dyDescent="0.25">
      <c r="B34" s="12" t="s">
        <v>57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215">
        <f t="shared" si="5"/>
        <v>0</v>
      </c>
    </row>
    <row r="35" spans="1:18" s="9" customFormat="1" ht="16.5" x14ac:dyDescent="0.25">
      <c r="B35" s="12" t="s">
        <v>58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215">
        <f t="shared" si="5"/>
        <v>0</v>
      </c>
    </row>
    <row r="36" spans="1:18" s="9" customFormat="1" ht="16.5" x14ac:dyDescent="0.25">
      <c r="B36" s="12" t="s">
        <v>59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215">
        <f t="shared" si="5"/>
        <v>0</v>
      </c>
    </row>
    <row r="37" spans="1:18" s="9" customFormat="1" ht="19.5" x14ac:dyDescent="0.4">
      <c r="A37" s="42"/>
      <c r="B37" s="10" t="s">
        <v>60</v>
      </c>
      <c r="C37" s="40">
        <f>SUM(C38:C39)</f>
        <v>16500</v>
      </c>
      <c r="D37" s="40">
        <f t="shared" ref="D37:N37" si="10">SUM(D38:D39)</f>
        <v>16500</v>
      </c>
      <c r="E37" s="40">
        <f t="shared" si="10"/>
        <v>16500</v>
      </c>
      <c r="F37" s="40">
        <f t="shared" si="10"/>
        <v>16500</v>
      </c>
      <c r="G37" s="40">
        <f t="shared" si="10"/>
        <v>16500</v>
      </c>
      <c r="H37" s="40">
        <f t="shared" si="10"/>
        <v>16500</v>
      </c>
      <c r="I37" s="40">
        <f t="shared" si="10"/>
        <v>16500</v>
      </c>
      <c r="J37" s="40">
        <f t="shared" si="10"/>
        <v>16500</v>
      </c>
      <c r="K37" s="40">
        <f t="shared" si="10"/>
        <v>16500</v>
      </c>
      <c r="L37" s="40">
        <f t="shared" si="10"/>
        <v>16500</v>
      </c>
      <c r="M37" s="40">
        <f t="shared" si="10"/>
        <v>16500</v>
      </c>
      <c r="N37" s="40">
        <f t="shared" si="10"/>
        <v>16500</v>
      </c>
      <c r="O37" s="214">
        <f t="shared" si="5"/>
        <v>198000</v>
      </c>
      <c r="P37" s="42"/>
      <c r="Q37" s="42"/>
      <c r="R37" s="42"/>
    </row>
    <row r="38" spans="1:18" s="9" customFormat="1" ht="16.5" x14ac:dyDescent="0.25">
      <c r="B38" s="12" t="s">
        <v>61</v>
      </c>
      <c r="C38" s="37">
        <v>16500</v>
      </c>
      <c r="D38" s="37">
        <v>16500</v>
      </c>
      <c r="E38" s="37">
        <v>16500</v>
      </c>
      <c r="F38" s="37">
        <v>16500</v>
      </c>
      <c r="G38" s="37">
        <v>16500</v>
      </c>
      <c r="H38" s="37">
        <v>16500</v>
      </c>
      <c r="I38" s="37">
        <v>16500</v>
      </c>
      <c r="J38" s="37">
        <v>16500</v>
      </c>
      <c r="K38" s="37">
        <v>16500</v>
      </c>
      <c r="L38" s="37">
        <v>16500</v>
      </c>
      <c r="M38" s="37">
        <v>16500</v>
      </c>
      <c r="N38" s="37">
        <v>16500</v>
      </c>
      <c r="O38" s="215">
        <f t="shared" si="5"/>
        <v>198000</v>
      </c>
    </row>
    <row r="39" spans="1:18" s="9" customFormat="1" ht="16.5" x14ac:dyDescent="0.25">
      <c r="B39" s="12" t="s">
        <v>62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215">
        <f t="shared" si="5"/>
        <v>0</v>
      </c>
    </row>
    <row r="40" spans="1:18" s="9" customFormat="1" ht="19.5" x14ac:dyDescent="0.4">
      <c r="A40" s="42"/>
      <c r="B40" s="10" t="s">
        <v>63</v>
      </c>
      <c r="C40" s="40">
        <f>SUM(C41:C42)</f>
        <v>0</v>
      </c>
      <c r="D40" s="40">
        <f t="shared" ref="D40:N40" si="11">SUM(D41:D42)</f>
        <v>0</v>
      </c>
      <c r="E40" s="40">
        <f t="shared" si="11"/>
        <v>0</v>
      </c>
      <c r="F40" s="40">
        <f t="shared" si="11"/>
        <v>0</v>
      </c>
      <c r="G40" s="40">
        <f t="shared" si="11"/>
        <v>0</v>
      </c>
      <c r="H40" s="40">
        <f t="shared" si="11"/>
        <v>0</v>
      </c>
      <c r="I40" s="40">
        <f t="shared" si="11"/>
        <v>0</v>
      </c>
      <c r="J40" s="40">
        <f t="shared" si="11"/>
        <v>0</v>
      </c>
      <c r="K40" s="40">
        <f t="shared" si="11"/>
        <v>0</v>
      </c>
      <c r="L40" s="40">
        <f t="shared" si="11"/>
        <v>0</v>
      </c>
      <c r="M40" s="40">
        <f t="shared" si="11"/>
        <v>0</v>
      </c>
      <c r="N40" s="40">
        <f t="shared" si="11"/>
        <v>0</v>
      </c>
      <c r="O40" s="214">
        <f t="shared" si="5"/>
        <v>0</v>
      </c>
      <c r="P40" s="42"/>
      <c r="Q40" s="42"/>
      <c r="R40" s="42"/>
    </row>
    <row r="41" spans="1:18" s="9" customFormat="1" ht="16.5" x14ac:dyDescent="0.25">
      <c r="B41" s="12" t="s">
        <v>64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215">
        <f t="shared" si="5"/>
        <v>0</v>
      </c>
    </row>
    <row r="42" spans="1:18" s="9" customFormat="1" ht="16.5" x14ac:dyDescent="0.25">
      <c r="B42" s="12" t="s">
        <v>65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215">
        <f t="shared" si="5"/>
        <v>0</v>
      </c>
    </row>
    <row r="43" spans="1:18" s="9" customFormat="1" ht="19.5" x14ac:dyDescent="0.4">
      <c r="A43" s="42"/>
      <c r="B43" s="10" t="s">
        <v>66</v>
      </c>
      <c r="C43" s="40">
        <f t="shared" ref="C43:N43" si="12">SUM(C44:C46)</f>
        <v>0</v>
      </c>
      <c r="D43" s="40">
        <f t="shared" si="12"/>
        <v>0</v>
      </c>
      <c r="E43" s="40">
        <f t="shared" si="12"/>
        <v>0</v>
      </c>
      <c r="F43" s="40">
        <f t="shared" si="12"/>
        <v>0</v>
      </c>
      <c r="G43" s="40">
        <f t="shared" si="12"/>
        <v>0</v>
      </c>
      <c r="H43" s="40">
        <f t="shared" si="12"/>
        <v>0</v>
      </c>
      <c r="I43" s="40">
        <f t="shared" si="12"/>
        <v>0</v>
      </c>
      <c r="J43" s="40">
        <f t="shared" si="12"/>
        <v>0</v>
      </c>
      <c r="K43" s="40">
        <f t="shared" si="12"/>
        <v>0</v>
      </c>
      <c r="L43" s="40">
        <f t="shared" si="12"/>
        <v>0</v>
      </c>
      <c r="M43" s="40">
        <f t="shared" si="12"/>
        <v>0</v>
      </c>
      <c r="N43" s="40">
        <f t="shared" si="12"/>
        <v>0</v>
      </c>
      <c r="O43" s="214">
        <f t="shared" si="5"/>
        <v>0</v>
      </c>
      <c r="P43" s="42"/>
      <c r="Q43" s="42"/>
      <c r="R43" s="42"/>
    </row>
    <row r="44" spans="1:18" s="9" customFormat="1" ht="16.5" x14ac:dyDescent="0.25">
      <c r="B44" s="47" t="s">
        <v>247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215">
        <f t="shared" si="5"/>
        <v>0</v>
      </c>
    </row>
    <row r="45" spans="1:18" s="9" customFormat="1" ht="16.5" x14ac:dyDescent="0.25">
      <c r="B45" s="12" t="s">
        <v>68</v>
      </c>
      <c r="C45" s="37">
        <v>0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215">
        <f t="shared" si="5"/>
        <v>0</v>
      </c>
    </row>
    <row r="46" spans="1:18" s="9" customFormat="1" ht="16.5" x14ac:dyDescent="0.25">
      <c r="B46" s="12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215">
        <f t="shared" si="5"/>
        <v>0</v>
      </c>
    </row>
    <row r="47" spans="1:18" s="9" customFormat="1" ht="19.5" x14ac:dyDescent="0.25">
      <c r="B47" s="19" t="s">
        <v>69</v>
      </c>
      <c r="C47" s="48">
        <f t="shared" ref="C47:N47" si="13">SUM(C48,C50,C53,C75,C99,C105,C116,C120,C123,C126,C130,C133)</f>
        <v>14350</v>
      </c>
      <c r="D47" s="48">
        <f t="shared" si="13"/>
        <v>10700</v>
      </c>
      <c r="E47" s="48">
        <f t="shared" si="13"/>
        <v>10800</v>
      </c>
      <c r="F47" s="48">
        <f t="shared" si="13"/>
        <v>11100</v>
      </c>
      <c r="G47" s="48">
        <f t="shared" si="13"/>
        <v>10760</v>
      </c>
      <c r="H47" s="48">
        <f t="shared" si="13"/>
        <v>10750</v>
      </c>
      <c r="I47" s="48">
        <f t="shared" si="13"/>
        <v>10700</v>
      </c>
      <c r="J47" s="48">
        <f t="shared" si="13"/>
        <v>10700</v>
      </c>
      <c r="K47" s="48">
        <f t="shared" si="13"/>
        <v>10750</v>
      </c>
      <c r="L47" s="48">
        <f t="shared" si="13"/>
        <v>10700</v>
      </c>
      <c r="M47" s="48">
        <f t="shared" si="13"/>
        <v>10750</v>
      </c>
      <c r="N47" s="48">
        <f t="shared" si="13"/>
        <v>10900</v>
      </c>
      <c r="O47" s="217">
        <f t="shared" si="5"/>
        <v>132960</v>
      </c>
    </row>
    <row r="48" spans="1:18" s="9" customFormat="1" ht="19.5" x14ac:dyDescent="0.4">
      <c r="A48" s="42"/>
      <c r="B48" s="15" t="s">
        <v>70</v>
      </c>
      <c r="C48" s="43">
        <f>SUM(C49)</f>
        <v>800</v>
      </c>
      <c r="D48" s="43">
        <f t="shared" ref="D48:N48" si="14">SUM(D49)</f>
        <v>800</v>
      </c>
      <c r="E48" s="43">
        <f t="shared" si="14"/>
        <v>800</v>
      </c>
      <c r="F48" s="43">
        <f t="shared" si="14"/>
        <v>800</v>
      </c>
      <c r="G48" s="43">
        <f t="shared" si="14"/>
        <v>800</v>
      </c>
      <c r="H48" s="43">
        <f t="shared" si="14"/>
        <v>800</v>
      </c>
      <c r="I48" s="43">
        <f t="shared" si="14"/>
        <v>800</v>
      </c>
      <c r="J48" s="43">
        <f t="shared" si="14"/>
        <v>800</v>
      </c>
      <c r="K48" s="43">
        <f t="shared" si="14"/>
        <v>800</v>
      </c>
      <c r="L48" s="43">
        <f t="shared" si="14"/>
        <v>800</v>
      </c>
      <c r="M48" s="43">
        <f t="shared" si="14"/>
        <v>800</v>
      </c>
      <c r="N48" s="43">
        <f t="shared" si="14"/>
        <v>800</v>
      </c>
      <c r="O48" s="218">
        <f t="shared" si="5"/>
        <v>9600</v>
      </c>
      <c r="P48" s="42"/>
      <c r="Q48" s="42"/>
      <c r="R48" s="42"/>
    </row>
    <row r="49" spans="1:18" s="9" customFormat="1" ht="16.5" x14ac:dyDescent="0.25">
      <c r="B49" s="12" t="s">
        <v>71</v>
      </c>
      <c r="C49" s="37">
        <v>800</v>
      </c>
      <c r="D49" s="37">
        <v>800</v>
      </c>
      <c r="E49" s="37">
        <v>800</v>
      </c>
      <c r="F49" s="37">
        <v>800</v>
      </c>
      <c r="G49" s="37">
        <v>800</v>
      </c>
      <c r="H49" s="37">
        <v>800</v>
      </c>
      <c r="I49" s="37">
        <v>800</v>
      </c>
      <c r="J49" s="37">
        <v>800</v>
      </c>
      <c r="K49" s="37">
        <v>800</v>
      </c>
      <c r="L49" s="37">
        <v>800</v>
      </c>
      <c r="M49" s="37">
        <v>800</v>
      </c>
      <c r="N49" s="37">
        <v>800</v>
      </c>
      <c r="O49" s="215">
        <f t="shared" si="5"/>
        <v>9600</v>
      </c>
    </row>
    <row r="50" spans="1:18" s="9" customFormat="1" ht="19.5" x14ac:dyDescent="0.4">
      <c r="A50" s="42"/>
      <c r="B50" s="15" t="s">
        <v>72</v>
      </c>
      <c r="C50" s="43">
        <f t="shared" ref="C50:N50" si="15">SUM(C51:C52)</f>
        <v>0</v>
      </c>
      <c r="D50" s="43">
        <f t="shared" si="15"/>
        <v>0</v>
      </c>
      <c r="E50" s="43">
        <f t="shared" si="15"/>
        <v>100</v>
      </c>
      <c r="F50" s="43">
        <f t="shared" si="15"/>
        <v>0</v>
      </c>
      <c r="G50" s="43">
        <f t="shared" si="15"/>
        <v>60</v>
      </c>
      <c r="H50" s="43">
        <f t="shared" si="15"/>
        <v>50</v>
      </c>
      <c r="I50" s="43">
        <f t="shared" si="15"/>
        <v>0</v>
      </c>
      <c r="J50" s="43">
        <f t="shared" si="15"/>
        <v>0</v>
      </c>
      <c r="K50" s="43">
        <f t="shared" si="15"/>
        <v>50</v>
      </c>
      <c r="L50" s="43">
        <f t="shared" si="15"/>
        <v>0</v>
      </c>
      <c r="M50" s="43">
        <f t="shared" si="15"/>
        <v>50</v>
      </c>
      <c r="N50" s="43">
        <f t="shared" si="15"/>
        <v>200</v>
      </c>
      <c r="O50" s="218">
        <f t="shared" si="5"/>
        <v>510</v>
      </c>
      <c r="P50" s="42"/>
      <c r="Q50" s="42"/>
      <c r="R50" s="42"/>
    </row>
    <row r="51" spans="1:18" s="9" customFormat="1" ht="16.5" x14ac:dyDescent="0.25">
      <c r="B51" s="12" t="s">
        <v>73</v>
      </c>
      <c r="C51" s="37">
        <v>0</v>
      </c>
      <c r="D51" s="37">
        <v>0</v>
      </c>
      <c r="E51" s="37">
        <v>100</v>
      </c>
      <c r="F51" s="37">
        <v>0</v>
      </c>
      <c r="G51" s="37">
        <v>60</v>
      </c>
      <c r="H51" s="37">
        <v>50</v>
      </c>
      <c r="I51" s="37">
        <v>0</v>
      </c>
      <c r="J51" s="37">
        <v>0</v>
      </c>
      <c r="K51" s="37">
        <v>50</v>
      </c>
      <c r="L51" s="37">
        <v>0</v>
      </c>
      <c r="M51" s="37">
        <v>50</v>
      </c>
      <c r="N51" s="37">
        <v>200</v>
      </c>
      <c r="O51" s="215">
        <f t="shared" si="5"/>
        <v>510</v>
      </c>
    </row>
    <row r="52" spans="1:18" s="9" customFormat="1" ht="16.5" x14ac:dyDescent="0.25">
      <c r="B52" s="12" t="s">
        <v>74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215">
        <f t="shared" si="5"/>
        <v>0</v>
      </c>
    </row>
    <row r="53" spans="1:18" s="9" customFormat="1" ht="19.5" x14ac:dyDescent="0.4">
      <c r="A53" s="42"/>
      <c r="B53" s="15" t="s">
        <v>75</v>
      </c>
      <c r="C53" s="43">
        <f>SUM(C54:C74)</f>
        <v>6650</v>
      </c>
      <c r="D53" s="43">
        <f t="shared" ref="D53:N53" si="16">SUM(D54:D74)</f>
        <v>6650</v>
      </c>
      <c r="E53" s="43">
        <f t="shared" si="16"/>
        <v>6650</v>
      </c>
      <c r="F53" s="43">
        <f t="shared" si="16"/>
        <v>6650</v>
      </c>
      <c r="G53" s="43">
        <f t="shared" si="16"/>
        <v>6650</v>
      </c>
      <c r="H53" s="43">
        <f t="shared" si="16"/>
        <v>6650</v>
      </c>
      <c r="I53" s="43">
        <f t="shared" si="16"/>
        <v>6650</v>
      </c>
      <c r="J53" s="43">
        <f t="shared" si="16"/>
        <v>6650</v>
      </c>
      <c r="K53" s="43">
        <f t="shared" si="16"/>
        <v>6650</v>
      </c>
      <c r="L53" s="43">
        <f t="shared" si="16"/>
        <v>6650</v>
      </c>
      <c r="M53" s="43">
        <f t="shared" si="16"/>
        <v>6650</v>
      </c>
      <c r="N53" s="43">
        <f t="shared" si="16"/>
        <v>6650</v>
      </c>
      <c r="O53" s="218">
        <f>SUM(C53:N53)</f>
        <v>79800</v>
      </c>
      <c r="P53" s="42"/>
      <c r="Q53" s="42"/>
      <c r="R53" s="42"/>
    </row>
    <row r="54" spans="1:18" s="9" customFormat="1" ht="16.5" x14ac:dyDescent="0.25">
      <c r="B54" s="12" t="s">
        <v>76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215">
        <f t="shared" si="5"/>
        <v>0</v>
      </c>
    </row>
    <row r="55" spans="1:18" s="240" customFormat="1" ht="16.5" x14ac:dyDescent="0.25">
      <c r="A55" s="9"/>
      <c r="B55" s="12" t="s">
        <v>77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215">
        <f t="shared" si="5"/>
        <v>0</v>
      </c>
      <c r="P55" s="9"/>
      <c r="Q55" s="9"/>
      <c r="R55" s="9"/>
    </row>
    <row r="56" spans="1:18" s="9" customFormat="1" ht="16.5" x14ac:dyDescent="0.25">
      <c r="B56" s="12" t="s">
        <v>78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215">
        <f t="shared" si="5"/>
        <v>0</v>
      </c>
    </row>
    <row r="57" spans="1:18" s="9" customFormat="1" ht="16.5" x14ac:dyDescent="0.25">
      <c r="B57" s="12" t="s">
        <v>79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215">
        <f t="shared" si="5"/>
        <v>0</v>
      </c>
    </row>
    <row r="58" spans="1:18" s="9" customFormat="1" ht="16.5" x14ac:dyDescent="0.25">
      <c r="B58" s="12" t="s">
        <v>80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215">
        <f t="shared" si="5"/>
        <v>0</v>
      </c>
    </row>
    <row r="59" spans="1:18" s="9" customFormat="1" ht="16.5" x14ac:dyDescent="0.25">
      <c r="B59" s="12" t="s">
        <v>81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215">
        <f t="shared" si="5"/>
        <v>0</v>
      </c>
    </row>
    <row r="60" spans="1:18" s="9" customFormat="1" ht="16.5" x14ac:dyDescent="0.25">
      <c r="B60" s="12" t="s">
        <v>82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215">
        <f t="shared" si="5"/>
        <v>0</v>
      </c>
    </row>
    <row r="61" spans="1:18" s="9" customFormat="1" ht="16.5" x14ac:dyDescent="0.25">
      <c r="B61" s="12" t="s">
        <v>83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215">
        <f t="shared" si="5"/>
        <v>0</v>
      </c>
    </row>
    <row r="62" spans="1:18" s="9" customFormat="1" ht="16.5" x14ac:dyDescent="0.25">
      <c r="B62" s="12" t="s">
        <v>84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215">
        <f t="shared" si="5"/>
        <v>0</v>
      </c>
    </row>
    <row r="63" spans="1:18" s="9" customFormat="1" ht="16.5" x14ac:dyDescent="0.25">
      <c r="B63" s="12" t="s">
        <v>85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215">
        <f t="shared" si="5"/>
        <v>0</v>
      </c>
    </row>
    <row r="64" spans="1:18" s="240" customFormat="1" ht="16.5" x14ac:dyDescent="0.25">
      <c r="A64" s="9"/>
      <c r="B64" s="12" t="s">
        <v>86</v>
      </c>
      <c r="C64" s="37">
        <v>250</v>
      </c>
      <c r="D64" s="37">
        <v>250</v>
      </c>
      <c r="E64" s="37">
        <v>250</v>
      </c>
      <c r="F64" s="37">
        <v>250</v>
      </c>
      <c r="G64" s="37">
        <v>250</v>
      </c>
      <c r="H64" s="37">
        <v>250</v>
      </c>
      <c r="I64" s="37">
        <v>250</v>
      </c>
      <c r="J64" s="37">
        <v>250</v>
      </c>
      <c r="K64" s="37">
        <v>250</v>
      </c>
      <c r="L64" s="37">
        <v>250</v>
      </c>
      <c r="M64" s="37">
        <v>250</v>
      </c>
      <c r="N64" s="37">
        <v>250</v>
      </c>
      <c r="O64" s="215">
        <f t="shared" si="5"/>
        <v>3000</v>
      </c>
      <c r="P64" s="9"/>
      <c r="Q64" s="9"/>
      <c r="R64" s="9"/>
    </row>
    <row r="65" spans="1:18" s="9" customFormat="1" ht="16.5" x14ac:dyDescent="0.25">
      <c r="B65" s="12" t="s">
        <v>87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215">
        <f t="shared" si="5"/>
        <v>0</v>
      </c>
    </row>
    <row r="66" spans="1:18" s="9" customFormat="1" ht="16.5" x14ac:dyDescent="0.25">
      <c r="B66" s="12" t="s">
        <v>88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215">
        <f t="shared" si="5"/>
        <v>0</v>
      </c>
    </row>
    <row r="67" spans="1:18" s="240" customFormat="1" ht="16.5" x14ac:dyDescent="0.25">
      <c r="A67" s="9"/>
      <c r="B67" s="12" t="s">
        <v>89</v>
      </c>
      <c r="C67" s="37">
        <v>6000</v>
      </c>
      <c r="D67" s="37">
        <v>6000</v>
      </c>
      <c r="E67" s="37">
        <v>6000</v>
      </c>
      <c r="F67" s="37">
        <v>6000</v>
      </c>
      <c r="G67" s="37">
        <v>6000</v>
      </c>
      <c r="H67" s="37">
        <v>6000</v>
      </c>
      <c r="I67" s="37">
        <v>6000</v>
      </c>
      <c r="J67" s="37">
        <v>6000</v>
      </c>
      <c r="K67" s="37">
        <v>6000</v>
      </c>
      <c r="L67" s="37">
        <v>6000</v>
      </c>
      <c r="M67" s="37">
        <v>6000</v>
      </c>
      <c r="N67" s="37">
        <v>6000</v>
      </c>
      <c r="O67" s="215">
        <f t="shared" si="5"/>
        <v>72000</v>
      </c>
      <c r="P67" s="9"/>
      <c r="Q67" s="9"/>
      <c r="R67" s="9"/>
    </row>
    <row r="68" spans="1:18" s="9" customFormat="1" ht="16.5" x14ac:dyDescent="0.25">
      <c r="B68" s="12" t="s">
        <v>90</v>
      </c>
      <c r="C68" s="37">
        <v>0</v>
      </c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215">
        <f>SUM(C68:N68)</f>
        <v>0</v>
      </c>
    </row>
    <row r="69" spans="1:18" s="9" customFormat="1" ht="16.5" x14ac:dyDescent="0.25">
      <c r="B69" s="12" t="s">
        <v>91</v>
      </c>
      <c r="C69" s="37">
        <v>0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215">
        <f t="shared" si="5"/>
        <v>0</v>
      </c>
    </row>
    <row r="70" spans="1:18" s="9" customFormat="1" ht="16.5" x14ac:dyDescent="0.25">
      <c r="B70" s="12" t="s">
        <v>92</v>
      </c>
      <c r="C70" s="37">
        <v>0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215">
        <f t="shared" si="5"/>
        <v>0</v>
      </c>
    </row>
    <row r="71" spans="1:18" s="9" customFormat="1" ht="16.5" x14ac:dyDescent="0.25">
      <c r="B71" s="12" t="s">
        <v>93</v>
      </c>
      <c r="C71" s="37">
        <v>0</v>
      </c>
      <c r="D71" s="37">
        <v>0</v>
      </c>
      <c r="E71" s="37">
        <v>0</v>
      </c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215">
        <f t="shared" si="5"/>
        <v>0</v>
      </c>
    </row>
    <row r="72" spans="1:18" s="9" customFormat="1" ht="16.5" x14ac:dyDescent="0.25">
      <c r="B72" s="12" t="s">
        <v>94</v>
      </c>
      <c r="C72" s="37">
        <v>400</v>
      </c>
      <c r="D72" s="37">
        <v>400</v>
      </c>
      <c r="E72" s="37">
        <v>400</v>
      </c>
      <c r="F72" s="37">
        <v>400</v>
      </c>
      <c r="G72" s="37">
        <v>400</v>
      </c>
      <c r="H72" s="37">
        <v>400</v>
      </c>
      <c r="I72" s="37">
        <v>400</v>
      </c>
      <c r="J72" s="37">
        <v>400</v>
      </c>
      <c r="K72" s="37">
        <v>400</v>
      </c>
      <c r="L72" s="37">
        <v>400</v>
      </c>
      <c r="M72" s="37">
        <v>400</v>
      </c>
      <c r="N72" s="37">
        <v>400</v>
      </c>
      <c r="O72" s="215">
        <f t="shared" si="5"/>
        <v>4800</v>
      </c>
    </row>
    <row r="73" spans="1:18" s="9" customFormat="1" ht="16.5" x14ac:dyDescent="0.25">
      <c r="B73" s="12" t="s">
        <v>95</v>
      </c>
      <c r="C73" s="37">
        <v>0</v>
      </c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215">
        <f t="shared" si="5"/>
        <v>0</v>
      </c>
    </row>
    <row r="74" spans="1:18" s="9" customFormat="1" ht="16.5" x14ac:dyDescent="0.25">
      <c r="B74" s="12" t="s">
        <v>96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215">
        <f>SUM(C74:N74)</f>
        <v>0</v>
      </c>
    </row>
    <row r="75" spans="1:18" s="9" customFormat="1" ht="19.5" x14ac:dyDescent="0.25">
      <c r="B75" s="15" t="s">
        <v>97</v>
      </c>
      <c r="C75" s="38">
        <f t="shared" ref="C75:N75" si="17">SUM(C76:C98)</f>
        <v>6850</v>
      </c>
      <c r="D75" s="38">
        <f t="shared" si="17"/>
        <v>3200</v>
      </c>
      <c r="E75" s="38">
        <f t="shared" si="17"/>
        <v>3200</v>
      </c>
      <c r="F75" s="38">
        <f t="shared" si="17"/>
        <v>3600</v>
      </c>
      <c r="G75" s="38">
        <f t="shared" si="17"/>
        <v>3200</v>
      </c>
      <c r="H75" s="38">
        <f t="shared" si="17"/>
        <v>3200</v>
      </c>
      <c r="I75" s="38">
        <f t="shared" si="17"/>
        <v>3200</v>
      </c>
      <c r="J75" s="38">
        <f t="shared" si="17"/>
        <v>3200</v>
      </c>
      <c r="K75" s="38">
        <f t="shared" si="17"/>
        <v>3200</v>
      </c>
      <c r="L75" s="38">
        <f t="shared" si="17"/>
        <v>3200</v>
      </c>
      <c r="M75" s="38">
        <f t="shared" si="17"/>
        <v>3200</v>
      </c>
      <c r="N75" s="38">
        <f t="shared" si="17"/>
        <v>3200</v>
      </c>
      <c r="O75" s="218">
        <f>SUM(C75:N75)</f>
        <v>42450</v>
      </c>
    </row>
    <row r="76" spans="1:18" s="9" customFormat="1" ht="16.5" x14ac:dyDescent="0.25">
      <c r="B76" s="12" t="s">
        <v>98</v>
      </c>
      <c r="C76" s="37">
        <v>700</v>
      </c>
      <c r="D76" s="37">
        <v>700</v>
      </c>
      <c r="E76" s="37">
        <v>700</v>
      </c>
      <c r="F76" s="37">
        <v>700</v>
      </c>
      <c r="G76" s="37">
        <v>700</v>
      </c>
      <c r="H76" s="37">
        <v>700</v>
      </c>
      <c r="I76" s="37">
        <v>700</v>
      </c>
      <c r="J76" s="37">
        <v>700</v>
      </c>
      <c r="K76" s="37">
        <v>700</v>
      </c>
      <c r="L76" s="37">
        <v>700</v>
      </c>
      <c r="M76" s="37">
        <v>700</v>
      </c>
      <c r="N76" s="37">
        <v>700</v>
      </c>
      <c r="O76" s="215">
        <f t="shared" ref="O76:O138" si="18">SUM(C76:N76)</f>
        <v>8400</v>
      </c>
    </row>
    <row r="77" spans="1:18" s="9" customFormat="1" ht="16.5" x14ac:dyDescent="0.25">
      <c r="B77" s="12" t="s">
        <v>99</v>
      </c>
      <c r="C77" s="37">
        <v>0</v>
      </c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215">
        <f t="shared" si="18"/>
        <v>0</v>
      </c>
    </row>
    <row r="78" spans="1:18" s="9" customFormat="1" ht="16.5" x14ac:dyDescent="0.25">
      <c r="B78" s="12" t="s">
        <v>100</v>
      </c>
      <c r="C78" s="37">
        <v>150</v>
      </c>
      <c r="D78" s="37">
        <v>150</v>
      </c>
      <c r="E78" s="37">
        <v>150</v>
      </c>
      <c r="F78" s="37">
        <v>150</v>
      </c>
      <c r="G78" s="37">
        <v>150</v>
      </c>
      <c r="H78" s="37">
        <v>150</v>
      </c>
      <c r="I78" s="37">
        <v>150</v>
      </c>
      <c r="J78" s="37">
        <v>150</v>
      </c>
      <c r="K78" s="37">
        <v>150</v>
      </c>
      <c r="L78" s="37">
        <v>150</v>
      </c>
      <c r="M78" s="37">
        <v>150</v>
      </c>
      <c r="N78" s="37">
        <v>150</v>
      </c>
      <c r="O78" s="215">
        <f t="shared" si="18"/>
        <v>1800</v>
      </c>
    </row>
    <row r="79" spans="1:18" s="9" customFormat="1" ht="16.5" x14ac:dyDescent="0.25">
      <c r="B79" s="12" t="s">
        <v>101</v>
      </c>
      <c r="C79" s="37">
        <v>350</v>
      </c>
      <c r="D79" s="37">
        <v>550</v>
      </c>
      <c r="E79" s="37">
        <v>550</v>
      </c>
      <c r="F79" s="37">
        <v>550</v>
      </c>
      <c r="G79" s="37">
        <v>550</v>
      </c>
      <c r="H79" s="37">
        <v>550</v>
      </c>
      <c r="I79" s="37">
        <v>550</v>
      </c>
      <c r="J79" s="37">
        <v>550</v>
      </c>
      <c r="K79" s="37">
        <v>550</v>
      </c>
      <c r="L79" s="37">
        <v>550</v>
      </c>
      <c r="M79" s="37">
        <v>550</v>
      </c>
      <c r="N79" s="37">
        <v>550</v>
      </c>
      <c r="O79" s="215">
        <f t="shared" si="18"/>
        <v>6400</v>
      </c>
    </row>
    <row r="80" spans="1:18" s="9" customFormat="1" ht="16.5" x14ac:dyDescent="0.25">
      <c r="B80" s="12" t="s">
        <v>102</v>
      </c>
      <c r="C80" s="37">
        <v>200</v>
      </c>
      <c r="D80" s="37">
        <v>200</v>
      </c>
      <c r="E80" s="37">
        <v>200</v>
      </c>
      <c r="F80" s="37">
        <v>200</v>
      </c>
      <c r="G80" s="37">
        <v>200</v>
      </c>
      <c r="H80" s="37">
        <v>200</v>
      </c>
      <c r="I80" s="37">
        <v>200</v>
      </c>
      <c r="J80" s="37">
        <v>200</v>
      </c>
      <c r="K80" s="37">
        <v>200</v>
      </c>
      <c r="L80" s="37">
        <v>200</v>
      </c>
      <c r="M80" s="37">
        <v>200</v>
      </c>
      <c r="N80" s="37">
        <v>200</v>
      </c>
      <c r="O80" s="215">
        <f t="shared" si="18"/>
        <v>2400</v>
      </c>
    </row>
    <row r="81" spans="1:18" s="9" customFormat="1" ht="16.5" x14ac:dyDescent="0.25">
      <c r="B81" s="12" t="s">
        <v>103</v>
      </c>
      <c r="C81" s="37">
        <v>100</v>
      </c>
      <c r="D81" s="37">
        <v>100</v>
      </c>
      <c r="E81" s="37">
        <v>100</v>
      </c>
      <c r="F81" s="37">
        <v>100</v>
      </c>
      <c r="G81" s="37">
        <v>100</v>
      </c>
      <c r="H81" s="37">
        <v>100</v>
      </c>
      <c r="I81" s="37">
        <v>100</v>
      </c>
      <c r="J81" s="37">
        <v>100</v>
      </c>
      <c r="K81" s="37">
        <v>100</v>
      </c>
      <c r="L81" s="37">
        <v>100</v>
      </c>
      <c r="M81" s="37">
        <v>100</v>
      </c>
      <c r="N81" s="37">
        <v>100</v>
      </c>
      <c r="O81" s="215">
        <f t="shared" si="18"/>
        <v>1200</v>
      </c>
    </row>
    <row r="82" spans="1:18" s="9" customFormat="1" ht="16.5" x14ac:dyDescent="0.25">
      <c r="B82" s="12" t="s">
        <v>104</v>
      </c>
      <c r="C82" s="37">
        <v>0</v>
      </c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0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215">
        <f t="shared" si="18"/>
        <v>0</v>
      </c>
    </row>
    <row r="83" spans="1:18" s="9" customFormat="1" ht="16.5" x14ac:dyDescent="0.25">
      <c r="B83" s="12" t="s">
        <v>105</v>
      </c>
      <c r="C83" s="37">
        <v>0</v>
      </c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0</v>
      </c>
      <c r="J83" s="37">
        <v>0</v>
      </c>
      <c r="K83" s="37">
        <v>0</v>
      </c>
      <c r="L83" s="37">
        <v>0</v>
      </c>
      <c r="M83" s="37">
        <v>0</v>
      </c>
      <c r="N83" s="37">
        <v>0</v>
      </c>
      <c r="O83" s="215">
        <f t="shared" si="18"/>
        <v>0</v>
      </c>
    </row>
    <row r="84" spans="1:18" s="9" customFormat="1" ht="16.5" x14ac:dyDescent="0.25">
      <c r="B84" s="12" t="s">
        <v>106</v>
      </c>
      <c r="C84" s="37">
        <v>0</v>
      </c>
      <c r="D84" s="37">
        <v>0</v>
      </c>
      <c r="E84" s="37">
        <v>0</v>
      </c>
      <c r="F84" s="37">
        <v>400</v>
      </c>
      <c r="G84" s="37">
        <v>0</v>
      </c>
      <c r="H84" s="37">
        <v>0</v>
      </c>
      <c r="I84" s="37">
        <v>0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215">
        <f t="shared" si="18"/>
        <v>400</v>
      </c>
    </row>
    <row r="85" spans="1:18" s="9" customFormat="1" ht="16.5" x14ac:dyDescent="0.25">
      <c r="B85" s="12" t="s">
        <v>107</v>
      </c>
      <c r="C85" s="37">
        <v>450</v>
      </c>
      <c r="D85" s="37">
        <v>450</v>
      </c>
      <c r="E85" s="37">
        <v>450</v>
      </c>
      <c r="F85" s="37">
        <v>450</v>
      </c>
      <c r="G85" s="37">
        <v>450</v>
      </c>
      <c r="H85" s="37">
        <v>450</v>
      </c>
      <c r="I85" s="37">
        <v>450</v>
      </c>
      <c r="J85" s="37">
        <v>450</v>
      </c>
      <c r="K85" s="37">
        <v>450</v>
      </c>
      <c r="L85" s="37">
        <v>450</v>
      </c>
      <c r="M85" s="37">
        <v>450</v>
      </c>
      <c r="N85" s="37">
        <v>450</v>
      </c>
      <c r="O85" s="215">
        <f t="shared" si="18"/>
        <v>5400</v>
      </c>
    </row>
    <row r="86" spans="1:18" s="9" customFormat="1" ht="16.5" x14ac:dyDescent="0.25">
      <c r="B86" s="12" t="s">
        <v>108</v>
      </c>
      <c r="C86" s="37">
        <v>0</v>
      </c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215">
        <f t="shared" si="18"/>
        <v>0</v>
      </c>
    </row>
    <row r="87" spans="1:18" s="9" customFormat="1" ht="16.5" x14ac:dyDescent="0.25">
      <c r="B87" s="12" t="s">
        <v>109</v>
      </c>
      <c r="C87" s="37">
        <v>0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215">
        <f t="shared" si="18"/>
        <v>0</v>
      </c>
    </row>
    <row r="88" spans="1:18" s="9" customFormat="1" ht="16.5" x14ac:dyDescent="0.25">
      <c r="B88" s="12" t="s">
        <v>110</v>
      </c>
      <c r="C88" s="37">
        <v>100</v>
      </c>
      <c r="D88" s="37">
        <v>100</v>
      </c>
      <c r="E88" s="37">
        <v>100</v>
      </c>
      <c r="F88" s="37">
        <v>100</v>
      </c>
      <c r="G88" s="37">
        <v>100</v>
      </c>
      <c r="H88" s="37">
        <v>100</v>
      </c>
      <c r="I88" s="37">
        <v>100</v>
      </c>
      <c r="J88" s="37">
        <v>100</v>
      </c>
      <c r="K88" s="37">
        <v>100</v>
      </c>
      <c r="L88" s="37">
        <v>100</v>
      </c>
      <c r="M88" s="37">
        <v>100</v>
      </c>
      <c r="N88" s="37">
        <v>100</v>
      </c>
      <c r="O88" s="215">
        <f t="shared" si="18"/>
        <v>1200</v>
      </c>
    </row>
    <row r="89" spans="1:18" s="9" customFormat="1" ht="16.5" x14ac:dyDescent="0.25">
      <c r="B89" s="12" t="s">
        <v>111</v>
      </c>
      <c r="C89" s="37">
        <v>4000</v>
      </c>
      <c r="D89" s="37">
        <v>150</v>
      </c>
      <c r="E89" s="37">
        <v>150</v>
      </c>
      <c r="F89" s="37">
        <v>150</v>
      </c>
      <c r="G89" s="37">
        <v>150</v>
      </c>
      <c r="H89" s="37">
        <v>150</v>
      </c>
      <c r="I89" s="37">
        <v>150</v>
      </c>
      <c r="J89" s="37">
        <v>150</v>
      </c>
      <c r="K89" s="37">
        <v>150</v>
      </c>
      <c r="L89" s="37">
        <v>150</v>
      </c>
      <c r="M89" s="37">
        <v>150</v>
      </c>
      <c r="N89" s="37">
        <v>150</v>
      </c>
      <c r="O89" s="215">
        <f t="shared" si="18"/>
        <v>5650</v>
      </c>
    </row>
    <row r="90" spans="1:18" s="9" customFormat="1" ht="16.5" x14ac:dyDescent="0.25">
      <c r="B90" s="12" t="s">
        <v>112</v>
      </c>
      <c r="C90" s="37">
        <v>0</v>
      </c>
      <c r="D90" s="37">
        <v>0</v>
      </c>
      <c r="E90" s="37">
        <v>0</v>
      </c>
      <c r="F90" s="37">
        <v>0</v>
      </c>
      <c r="G90" s="37">
        <v>0</v>
      </c>
      <c r="H90" s="37">
        <v>0</v>
      </c>
      <c r="I90" s="37">
        <v>0</v>
      </c>
      <c r="J90" s="37">
        <v>0</v>
      </c>
      <c r="K90" s="37">
        <v>0</v>
      </c>
      <c r="L90" s="37">
        <v>0</v>
      </c>
      <c r="M90" s="37">
        <v>0</v>
      </c>
      <c r="N90" s="37">
        <v>0</v>
      </c>
      <c r="O90" s="215">
        <f t="shared" si="18"/>
        <v>0</v>
      </c>
    </row>
    <row r="91" spans="1:18" s="9" customFormat="1" ht="16.5" x14ac:dyDescent="0.25">
      <c r="B91" s="12" t="s">
        <v>113</v>
      </c>
      <c r="C91" s="37">
        <v>0</v>
      </c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215">
        <f t="shared" si="18"/>
        <v>0</v>
      </c>
    </row>
    <row r="92" spans="1:18" s="9" customFormat="1" ht="16.5" x14ac:dyDescent="0.25">
      <c r="B92" s="12" t="s">
        <v>114</v>
      </c>
      <c r="C92" s="37">
        <v>0</v>
      </c>
      <c r="D92" s="37">
        <v>0</v>
      </c>
      <c r="E92" s="37">
        <v>0</v>
      </c>
      <c r="F92" s="37">
        <v>0</v>
      </c>
      <c r="G92" s="37">
        <v>0</v>
      </c>
      <c r="H92" s="37">
        <v>0</v>
      </c>
      <c r="I92" s="37">
        <v>0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215">
        <f t="shared" si="18"/>
        <v>0</v>
      </c>
    </row>
    <row r="93" spans="1:18" s="9" customFormat="1" ht="16.5" x14ac:dyDescent="0.25">
      <c r="B93" s="12" t="s">
        <v>115</v>
      </c>
      <c r="C93" s="37">
        <v>500</v>
      </c>
      <c r="D93" s="37">
        <v>500</v>
      </c>
      <c r="E93" s="37">
        <v>500</v>
      </c>
      <c r="F93" s="37">
        <v>500</v>
      </c>
      <c r="G93" s="37">
        <v>500</v>
      </c>
      <c r="H93" s="37">
        <v>500</v>
      </c>
      <c r="I93" s="37">
        <v>500</v>
      </c>
      <c r="J93" s="37">
        <v>500</v>
      </c>
      <c r="K93" s="37">
        <v>500</v>
      </c>
      <c r="L93" s="37">
        <v>500</v>
      </c>
      <c r="M93" s="37">
        <v>500</v>
      </c>
      <c r="N93" s="37">
        <v>500</v>
      </c>
      <c r="O93" s="215">
        <f t="shared" si="18"/>
        <v>6000</v>
      </c>
    </row>
    <row r="94" spans="1:18" s="240" customFormat="1" ht="16.5" x14ac:dyDescent="0.25">
      <c r="A94" s="9"/>
      <c r="B94" s="12" t="s">
        <v>116</v>
      </c>
      <c r="C94" s="37">
        <v>300</v>
      </c>
      <c r="D94" s="37">
        <v>300</v>
      </c>
      <c r="E94" s="37">
        <v>300</v>
      </c>
      <c r="F94" s="37">
        <v>300</v>
      </c>
      <c r="G94" s="37">
        <v>300</v>
      </c>
      <c r="H94" s="37">
        <v>300</v>
      </c>
      <c r="I94" s="37">
        <v>300</v>
      </c>
      <c r="J94" s="37">
        <v>300</v>
      </c>
      <c r="K94" s="37">
        <v>300</v>
      </c>
      <c r="L94" s="37">
        <v>300</v>
      </c>
      <c r="M94" s="37">
        <v>300</v>
      </c>
      <c r="N94" s="37">
        <v>300</v>
      </c>
      <c r="O94" s="215">
        <f t="shared" si="18"/>
        <v>3600</v>
      </c>
      <c r="P94" s="9"/>
      <c r="Q94" s="9"/>
      <c r="R94" s="9"/>
    </row>
    <row r="95" spans="1:18" s="9" customFormat="1" ht="16.5" x14ac:dyDescent="0.25">
      <c r="B95" s="12" t="s">
        <v>117</v>
      </c>
      <c r="C95" s="37">
        <v>0</v>
      </c>
      <c r="D95" s="37">
        <v>0</v>
      </c>
      <c r="E95" s="37">
        <v>0</v>
      </c>
      <c r="F95" s="37">
        <v>0</v>
      </c>
      <c r="G95" s="37">
        <v>0</v>
      </c>
      <c r="H95" s="37">
        <v>0</v>
      </c>
      <c r="I95" s="37">
        <v>0</v>
      </c>
      <c r="J95" s="37">
        <v>0</v>
      </c>
      <c r="K95" s="37">
        <v>0</v>
      </c>
      <c r="L95" s="37">
        <v>0</v>
      </c>
      <c r="M95" s="37">
        <v>0</v>
      </c>
      <c r="N95" s="37">
        <v>0</v>
      </c>
      <c r="O95" s="215">
        <f t="shared" si="18"/>
        <v>0</v>
      </c>
    </row>
    <row r="96" spans="1:18" s="9" customFormat="1" ht="16.5" x14ac:dyDescent="0.25">
      <c r="B96" s="12" t="s">
        <v>118</v>
      </c>
      <c r="C96" s="37">
        <v>0</v>
      </c>
      <c r="D96" s="37">
        <v>0</v>
      </c>
      <c r="E96" s="37">
        <v>0</v>
      </c>
      <c r="F96" s="37">
        <v>0</v>
      </c>
      <c r="G96" s="37">
        <v>0</v>
      </c>
      <c r="H96" s="37">
        <v>0</v>
      </c>
      <c r="I96" s="37">
        <v>0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215">
        <f t="shared" si="18"/>
        <v>0</v>
      </c>
    </row>
    <row r="97" spans="2:15" s="9" customFormat="1" ht="16.5" x14ac:dyDescent="0.25">
      <c r="B97" s="12" t="s">
        <v>119</v>
      </c>
      <c r="C97" s="37">
        <v>0</v>
      </c>
      <c r="D97" s="37">
        <v>0</v>
      </c>
      <c r="E97" s="37">
        <v>0</v>
      </c>
      <c r="F97" s="37">
        <v>0</v>
      </c>
      <c r="G97" s="37">
        <v>0</v>
      </c>
      <c r="H97" s="37">
        <v>0</v>
      </c>
      <c r="I97" s="37">
        <v>0</v>
      </c>
      <c r="J97" s="37">
        <v>0</v>
      </c>
      <c r="K97" s="37">
        <v>0</v>
      </c>
      <c r="L97" s="37">
        <v>0</v>
      </c>
      <c r="M97" s="37">
        <v>0</v>
      </c>
      <c r="N97" s="37">
        <v>0</v>
      </c>
      <c r="O97" s="215">
        <f t="shared" si="18"/>
        <v>0</v>
      </c>
    </row>
    <row r="98" spans="2:15" s="9" customFormat="1" ht="16.5" x14ac:dyDescent="0.25">
      <c r="B98" s="12" t="s">
        <v>120</v>
      </c>
      <c r="C98" s="37">
        <v>0</v>
      </c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0</v>
      </c>
      <c r="J98" s="37">
        <v>0</v>
      </c>
      <c r="K98" s="37">
        <v>0</v>
      </c>
      <c r="L98" s="37">
        <v>0</v>
      </c>
      <c r="M98" s="37">
        <v>0</v>
      </c>
      <c r="N98" s="37">
        <v>0</v>
      </c>
      <c r="O98" s="215">
        <f t="shared" si="18"/>
        <v>0</v>
      </c>
    </row>
    <row r="99" spans="2:15" s="9" customFormat="1" ht="19.5" x14ac:dyDescent="0.25">
      <c r="B99" s="15" t="s">
        <v>121</v>
      </c>
      <c r="C99" s="38">
        <f>SUM(C100:C104)</f>
        <v>50</v>
      </c>
      <c r="D99" s="38">
        <f t="shared" ref="D99:N99" si="19">SUM(D100:D104)</f>
        <v>50</v>
      </c>
      <c r="E99" s="38">
        <f t="shared" si="19"/>
        <v>50</v>
      </c>
      <c r="F99" s="38">
        <f t="shared" si="19"/>
        <v>50</v>
      </c>
      <c r="G99" s="38">
        <f t="shared" si="19"/>
        <v>50</v>
      </c>
      <c r="H99" s="38">
        <f t="shared" si="19"/>
        <v>50</v>
      </c>
      <c r="I99" s="38">
        <f t="shared" si="19"/>
        <v>50</v>
      </c>
      <c r="J99" s="38">
        <f t="shared" si="19"/>
        <v>50</v>
      </c>
      <c r="K99" s="38">
        <f t="shared" si="19"/>
        <v>50</v>
      </c>
      <c r="L99" s="38">
        <f t="shared" si="19"/>
        <v>50</v>
      </c>
      <c r="M99" s="38">
        <f t="shared" si="19"/>
        <v>50</v>
      </c>
      <c r="N99" s="38">
        <f t="shared" si="19"/>
        <v>50</v>
      </c>
      <c r="O99" s="218">
        <f>SUM(C99:N99)</f>
        <v>600</v>
      </c>
    </row>
    <row r="100" spans="2:15" s="9" customFormat="1" ht="16.5" x14ac:dyDescent="0.25">
      <c r="B100" s="36" t="s">
        <v>122</v>
      </c>
      <c r="C100" s="37">
        <v>0</v>
      </c>
      <c r="D100" s="37">
        <v>0</v>
      </c>
      <c r="E100" s="37">
        <v>0</v>
      </c>
      <c r="F100" s="37">
        <v>0</v>
      </c>
      <c r="G100" s="37">
        <v>0</v>
      </c>
      <c r="H100" s="37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215">
        <f t="shared" si="18"/>
        <v>0</v>
      </c>
    </row>
    <row r="101" spans="2:15" s="9" customFormat="1" ht="16.5" x14ac:dyDescent="0.25">
      <c r="B101" s="36" t="s">
        <v>123</v>
      </c>
      <c r="C101" s="37">
        <v>0</v>
      </c>
      <c r="D101" s="37">
        <v>0</v>
      </c>
      <c r="E101" s="37">
        <v>0</v>
      </c>
      <c r="F101" s="37">
        <v>0</v>
      </c>
      <c r="G101" s="37">
        <v>0</v>
      </c>
      <c r="H101" s="37">
        <v>0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215">
        <f t="shared" si="18"/>
        <v>0</v>
      </c>
    </row>
    <row r="102" spans="2:15" s="9" customFormat="1" ht="16.5" x14ac:dyDescent="0.25">
      <c r="B102" s="36" t="s">
        <v>124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>
        <v>0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215">
        <f t="shared" si="18"/>
        <v>0</v>
      </c>
    </row>
    <row r="103" spans="2:15" s="9" customFormat="1" ht="16.5" x14ac:dyDescent="0.25">
      <c r="B103" s="12" t="s">
        <v>125</v>
      </c>
      <c r="C103" s="37">
        <v>50</v>
      </c>
      <c r="D103" s="37">
        <v>50</v>
      </c>
      <c r="E103" s="37">
        <v>50</v>
      </c>
      <c r="F103" s="37">
        <v>50</v>
      </c>
      <c r="G103" s="37">
        <v>50</v>
      </c>
      <c r="H103" s="37">
        <v>50</v>
      </c>
      <c r="I103" s="37">
        <v>50</v>
      </c>
      <c r="J103" s="37">
        <v>50</v>
      </c>
      <c r="K103" s="37">
        <v>50</v>
      </c>
      <c r="L103" s="37">
        <v>50</v>
      </c>
      <c r="M103" s="37">
        <v>50</v>
      </c>
      <c r="N103" s="37">
        <v>50</v>
      </c>
      <c r="O103" s="215">
        <f t="shared" si="18"/>
        <v>600</v>
      </c>
    </row>
    <row r="104" spans="2:15" s="9" customFormat="1" ht="16.5" x14ac:dyDescent="0.25">
      <c r="B104" s="12" t="s">
        <v>126</v>
      </c>
      <c r="C104" s="37">
        <v>0</v>
      </c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215">
        <f t="shared" si="18"/>
        <v>0</v>
      </c>
    </row>
    <row r="105" spans="2:15" s="9" customFormat="1" ht="19.5" x14ac:dyDescent="0.25">
      <c r="B105" s="15" t="s">
        <v>127</v>
      </c>
      <c r="C105" s="38">
        <f>SUM(C106:C115)</f>
        <v>0</v>
      </c>
      <c r="D105" s="38">
        <f t="shared" ref="D105:N105" si="20">SUM(D106:D115)</f>
        <v>0</v>
      </c>
      <c r="E105" s="38">
        <f t="shared" si="20"/>
        <v>0</v>
      </c>
      <c r="F105" s="38">
        <f t="shared" si="20"/>
        <v>0</v>
      </c>
      <c r="G105" s="38">
        <f t="shared" si="20"/>
        <v>0</v>
      </c>
      <c r="H105" s="38">
        <f t="shared" si="20"/>
        <v>0</v>
      </c>
      <c r="I105" s="38">
        <f t="shared" si="20"/>
        <v>0</v>
      </c>
      <c r="J105" s="38">
        <f t="shared" si="20"/>
        <v>0</v>
      </c>
      <c r="K105" s="38">
        <f t="shared" si="20"/>
        <v>0</v>
      </c>
      <c r="L105" s="38">
        <f t="shared" si="20"/>
        <v>0</v>
      </c>
      <c r="M105" s="38">
        <f t="shared" si="20"/>
        <v>0</v>
      </c>
      <c r="N105" s="38">
        <f t="shared" si="20"/>
        <v>0</v>
      </c>
      <c r="O105" s="218">
        <f t="shared" si="18"/>
        <v>0</v>
      </c>
    </row>
    <row r="106" spans="2:15" s="9" customFormat="1" ht="16.5" x14ac:dyDescent="0.25">
      <c r="B106" s="12" t="s">
        <v>128</v>
      </c>
      <c r="C106" s="37">
        <v>0</v>
      </c>
      <c r="D106" s="37">
        <v>0</v>
      </c>
      <c r="E106" s="37">
        <v>0</v>
      </c>
      <c r="F106" s="37">
        <v>0</v>
      </c>
      <c r="G106" s="37">
        <v>0</v>
      </c>
      <c r="H106" s="37">
        <v>0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215">
        <f t="shared" si="18"/>
        <v>0</v>
      </c>
    </row>
    <row r="107" spans="2:15" s="9" customFormat="1" ht="16.5" x14ac:dyDescent="0.25">
      <c r="B107" s="12" t="s">
        <v>129</v>
      </c>
      <c r="C107" s="37">
        <v>0</v>
      </c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0</v>
      </c>
      <c r="J107" s="37">
        <v>0</v>
      </c>
      <c r="K107" s="37">
        <v>0</v>
      </c>
      <c r="L107" s="37">
        <v>0</v>
      </c>
      <c r="M107" s="37">
        <v>0</v>
      </c>
      <c r="N107" s="37">
        <v>0</v>
      </c>
      <c r="O107" s="215">
        <f t="shared" si="18"/>
        <v>0</v>
      </c>
    </row>
    <row r="108" spans="2:15" s="9" customFormat="1" ht="16.5" x14ac:dyDescent="0.25">
      <c r="B108" s="12" t="s">
        <v>130</v>
      </c>
      <c r="C108" s="37">
        <v>0</v>
      </c>
      <c r="D108" s="37">
        <v>0</v>
      </c>
      <c r="E108" s="37">
        <v>0</v>
      </c>
      <c r="F108" s="37">
        <v>0</v>
      </c>
      <c r="G108" s="37">
        <v>0</v>
      </c>
      <c r="H108" s="37">
        <v>0</v>
      </c>
      <c r="I108" s="37">
        <v>0</v>
      </c>
      <c r="J108" s="37">
        <v>0</v>
      </c>
      <c r="K108" s="37">
        <v>0</v>
      </c>
      <c r="L108" s="37">
        <v>0</v>
      </c>
      <c r="M108" s="37">
        <v>0</v>
      </c>
      <c r="N108" s="37">
        <v>0</v>
      </c>
      <c r="O108" s="215">
        <f t="shared" si="18"/>
        <v>0</v>
      </c>
    </row>
    <row r="109" spans="2:15" s="9" customFormat="1" ht="16.5" x14ac:dyDescent="0.25">
      <c r="B109" s="12" t="s">
        <v>131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215">
        <f t="shared" si="18"/>
        <v>0</v>
      </c>
    </row>
    <row r="110" spans="2:15" s="9" customFormat="1" ht="16.5" x14ac:dyDescent="0.25">
      <c r="B110" s="12" t="s">
        <v>132</v>
      </c>
      <c r="C110" s="37">
        <v>0</v>
      </c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0</v>
      </c>
      <c r="J110" s="37">
        <v>0</v>
      </c>
      <c r="K110" s="37">
        <v>0</v>
      </c>
      <c r="L110" s="37">
        <v>0</v>
      </c>
      <c r="M110" s="37">
        <v>0</v>
      </c>
      <c r="N110" s="37">
        <v>0</v>
      </c>
      <c r="O110" s="215">
        <f t="shared" si="18"/>
        <v>0</v>
      </c>
    </row>
    <row r="111" spans="2:15" s="9" customFormat="1" ht="16.5" x14ac:dyDescent="0.25">
      <c r="B111" s="12" t="s">
        <v>133</v>
      </c>
      <c r="C111" s="37">
        <v>0</v>
      </c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0</v>
      </c>
      <c r="J111" s="37">
        <v>0</v>
      </c>
      <c r="K111" s="37">
        <v>0</v>
      </c>
      <c r="L111" s="37">
        <v>0</v>
      </c>
      <c r="M111" s="37">
        <v>0</v>
      </c>
      <c r="N111" s="37">
        <v>0</v>
      </c>
      <c r="O111" s="215">
        <f t="shared" si="18"/>
        <v>0</v>
      </c>
    </row>
    <row r="112" spans="2:15" s="9" customFormat="1" ht="16.5" x14ac:dyDescent="0.25">
      <c r="B112" s="12" t="s">
        <v>134</v>
      </c>
      <c r="C112" s="37">
        <v>0</v>
      </c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215">
        <f t="shared" si="18"/>
        <v>0</v>
      </c>
    </row>
    <row r="113" spans="1:18" s="240" customFormat="1" ht="16.5" x14ac:dyDescent="0.25">
      <c r="A113" s="9"/>
      <c r="B113" s="12" t="s">
        <v>135</v>
      </c>
      <c r="C113" s="37">
        <v>0</v>
      </c>
      <c r="D113" s="37">
        <v>0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215">
        <f t="shared" si="18"/>
        <v>0</v>
      </c>
      <c r="P113" s="9"/>
      <c r="Q113" s="9"/>
      <c r="R113" s="9"/>
    </row>
    <row r="114" spans="1:18" s="9" customFormat="1" ht="16.5" x14ac:dyDescent="0.25">
      <c r="B114" s="12" t="s">
        <v>136</v>
      </c>
      <c r="C114" s="37">
        <v>0</v>
      </c>
      <c r="D114" s="37">
        <v>0</v>
      </c>
      <c r="E114" s="37">
        <v>0</v>
      </c>
      <c r="F114" s="37">
        <v>0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215">
        <f t="shared" si="18"/>
        <v>0</v>
      </c>
    </row>
    <row r="115" spans="1:18" s="9" customFormat="1" ht="16.5" x14ac:dyDescent="0.25">
      <c r="B115" s="12" t="s">
        <v>137</v>
      </c>
      <c r="C115" s="37">
        <v>0</v>
      </c>
      <c r="D115" s="37">
        <v>0</v>
      </c>
      <c r="E115" s="37">
        <v>0</v>
      </c>
      <c r="F115" s="37">
        <v>0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215">
        <f t="shared" si="18"/>
        <v>0</v>
      </c>
    </row>
    <row r="116" spans="1:18" s="9" customFormat="1" ht="19.5" x14ac:dyDescent="0.4">
      <c r="A116" s="42"/>
      <c r="B116" s="15" t="s">
        <v>138</v>
      </c>
      <c r="C116" s="45">
        <f>SUM(C117:C119)</f>
        <v>0</v>
      </c>
      <c r="D116" s="45">
        <f t="shared" ref="D116:N116" si="21">SUM(D117:D119)</f>
        <v>0</v>
      </c>
      <c r="E116" s="45">
        <f t="shared" si="21"/>
        <v>0</v>
      </c>
      <c r="F116" s="45">
        <f t="shared" si="21"/>
        <v>0</v>
      </c>
      <c r="G116" s="45">
        <f t="shared" si="21"/>
        <v>0</v>
      </c>
      <c r="H116" s="45">
        <f t="shared" si="21"/>
        <v>0</v>
      </c>
      <c r="I116" s="45">
        <f t="shared" si="21"/>
        <v>0</v>
      </c>
      <c r="J116" s="45">
        <f t="shared" si="21"/>
        <v>0</v>
      </c>
      <c r="K116" s="45">
        <f t="shared" si="21"/>
        <v>0</v>
      </c>
      <c r="L116" s="45">
        <f t="shared" si="21"/>
        <v>0</v>
      </c>
      <c r="M116" s="45">
        <f t="shared" si="21"/>
        <v>0</v>
      </c>
      <c r="N116" s="45">
        <f t="shared" si="21"/>
        <v>0</v>
      </c>
      <c r="O116" s="218">
        <f t="shared" si="18"/>
        <v>0</v>
      </c>
      <c r="P116" s="42"/>
      <c r="Q116" s="42"/>
      <c r="R116" s="42"/>
    </row>
    <row r="117" spans="1:18" s="9" customFormat="1" ht="16.5" x14ac:dyDescent="0.25">
      <c r="B117" s="12" t="s">
        <v>139</v>
      </c>
      <c r="C117" s="37">
        <v>0</v>
      </c>
      <c r="D117" s="37">
        <v>0</v>
      </c>
      <c r="E117" s="37">
        <v>0</v>
      </c>
      <c r="F117" s="37">
        <v>0</v>
      </c>
      <c r="G117" s="37">
        <v>0</v>
      </c>
      <c r="H117" s="37">
        <v>0</v>
      </c>
      <c r="I117" s="37">
        <v>0</v>
      </c>
      <c r="J117" s="37">
        <v>0</v>
      </c>
      <c r="K117" s="37">
        <v>0</v>
      </c>
      <c r="L117" s="37">
        <v>0</v>
      </c>
      <c r="M117" s="37">
        <v>0</v>
      </c>
      <c r="N117" s="37">
        <v>0</v>
      </c>
      <c r="O117" s="215">
        <f t="shared" si="18"/>
        <v>0</v>
      </c>
    </row>
    <row r="118" spans="1:18" s="9" customFormat="1" ht="16.5" x14ac:dyDescent="0.25">
      <c r="B118" s="12" t="s">
        <v>140</v>
      </c>
      <c r="C118" s="37">
        <v>0</v>
      </c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215">
        <f t="shared" si="18"/>
        <v>0</v>
      </c>
    </row>
    <row r="119" spans="1:18" s="9" customFormat="1" ht="16.5" x14ac:dyDescent="0.25">
      <c r="B119" s="12" t="s">
        <v>141</v>
      </c>
      <c r="C119" s="37">
        <v>0</v>
      </c>
      <c r="D119" s="37">
        <v>0</v>
      </c>
      <c r="E119" s="37">
        <v>0</v>
      </c>
      <c r="F119" s="37">
        <v>0</v>
      </c>
      <c r="G119" s="37">
        <v>0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215">
        <f t="shared" si="18"/>
        <v>0</v>
      </c>
    </row>
    <row r="120" spans="1:18" s="9" customFormat="1" ht="19.5" x14ac:dyDescent="0.4">
      <c r="A120" s="42"/>
      <c r="B120" s="15" t="s">
        <v>142</v>
      </c>
      <c r="C120" s="45">
        <f>SUM(C121:C122)</f>
        <v>0</v>
      </c>
      <c r="D120" s="45">
        <f t="shared" ref="D120:N120" si="22">SUM(D121:D122)</f>
        <v>0</v>
      </c>
      <c r="E120" s="45">
        <f t="shared" si="22"/>
        <v>0</v>
      </c>
      <c r="F120" s="45">
        <f t="shared" si="22"/>
        <v>0</v>
      </c>
      <c r="G120" s="45">
        <f t="shared" si="22"/>
        <v>0</v>
      </c>
      <c r="H120" s="45">
        <f t="shared" si="22"/>
        <v>0</v>
      </c>
      <c r="I120" s="45">
        <f t="shared" si="22"/>
        <v>0</v>
      </c>
      <c r="J120" s="45">
        <f t="shared" si="22"/>
        <v>0</v>
      </c>
      <c r="K120" s="45">
        <f t="shared" si="22"/>
        <v>0</v>
      </c>
      <c r="L120" s="45">
        <f t="shared" si="22"/>
        <v>0</v>
      </c>
      <c r="M120" s="45">
        <f t="shared" si="22"/>
        <v>0</v>
      </c>
      <c r="N120" s="45">
        <f t="shared" si="22"/>
        <v>0</v>
      </c>
      <c r="O120" s="218">
        <f t="shared" si="18"/>
        <v>0</v>
      </c>
      <c r="P120" s="42"/>
      <c r="Q120" s="42"/>
      <c r="R120" s="42"/>
    </row>
    <row r="121" spans="1:18" s="9" customFormat="1" ht="16.5" x14ac:dyDescent="0.25">
      <c r="B121" s="12" t="s">
        <v>143</v>
      </c>
      <c r="C121" s="37">
        <v>0</v>
      </c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0</v>
      </c>
      <c r="J121" s="37">
        <v>0</v>
      </c>
      <c r="K121" s="37">
        <v>0</v>
      </c>
      <c r="L121" s="37">
        <v>0</v>
      </c>
      <c r="M121" s="37">
        <v>0</v>
      </c>
      <c r="N121" s="37">
        <v>0</v>
      </c>
      <c r="O121" s="215">
        <f t="shared" si="18"/>
        <v>0</v>
      </c>
    </row>
    <row r="122" spans="1:18" s="9" customFormat="1" ht="16.5" x14ac:dyDescent="0.25">
      <c r="B122" s="36" t="s">
        <v>43</v>
      </c>
      <c r="C122" s="37">
        <v>0</v>
      </c>
      <c r="D122" s="37">
        <v>0</v>
      </c>
      <c r="E122" s="37">
        <v>0</v>
      </c>
      <c r="F122" s="37">
        <v>0</v>
      </c>
      <c r="G122" s="37">
        <v>0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  <c r="M122" s="37">
        <v>0</v>
      </c>
      <c r="N122" s="37">
        <v>0</v>
      </c>
      <c r="O122" s="215">
        <f t="shared" si="18"/>
        <v>0</v>
      </c>
    </row>
    <row r="123" spans="1:18" s="9" customFormat="1" ht="19.5" x14ac:dyDescent="0.4">
      <c r="A123" s="42"/>
      <c r="B123" s="15" t="s">
        <v>32</v>
      </c>
      <c r="C123" s="45">
        <f t="shared" ref="C123:N123" si="23">SUM(C124:C125)</f>
        <v>0</v>
      </c>
      <c r="D123" s="45">
        <f t="shared" si="23"/>
        <v>0</v>
      </c>
      <c r="E123" s="45">
        <f t="shared" si="23"/>
        <v>0</v>
      </c>
      <c r="F123" s="45">
        <f t="shared" si="23"/>
        <v>0</v>
      </c>
      <c r="G123" s="45">
        <f t="shared" si="23"/>
        <v>0</v>
      </c>
      <c r="H123" s="45">
        <f t="shared" si="23"/>
        <v>0</v>
      </c>
      <c r="I123" s="45">
        <f t="shared" si="23"/>
        <v>0</v>
      </c>
      <c r="J123" s="45">
        <f t="shared" si="23"/>
        <v>0</v>
      </c>
      <c r="K123" s="45">
        <f t="shared" si="23"/>
        <v>0</v>
      </c>
      <c r="L123" s="45">
        <f t="shared" si="23"/>
        <v>0</v>
      </c>
      <c r="M123" s="45">
        <f t="shared" si="23"/>
        <v>0</v>
      </c>
      <c r="N123" s="45">
        <f t="shared" si="23"/>
        <v>0</v>
      </c>
      <c r="O123" s="218">
        <f t="shared" si="18"/>
        <v>0</v>
      </c>
      <c r="P123" s="42"/>
      <c r="Q123" s="42"/>
      <c r="R123" s="42"/>
    </row>
    <row r="124" spans="1:18" s="9" customFormat="1" ht="16.5" x14ac:dyDescent="0.25">
      <c r="B124" s="12" t="s">
        <v>144</v>
      </c>
      <c r="C124" s="37">
        <v>0</v>
      </c>
      <c r="D124" s="37">
        <v>0</v>
      </c>
      <c r="E124" s="37">
        <v>0</v>
      </c>
      <c r="F124" s="37">
        <v>0</v>
      </c>
      <c r="G124" s="37">
        <v>0</v>
      </c>
      <c r="H124" s="37">
        <v>0</v>
      </c>
      <c r="I124" s="37">
        <v>0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215">
        <f t="shared" si="18"/>
        <v>0</v>
      </c>
    </row>
    <row r="125" spans="1:18" s="9" customFormat="1" ht="16.5" x14ac:dyDescent="0.25">
      <c r="B125" s="12" t="s">
        <v>145</v>
      </c>
      <c r="C125" s="37">
        <v>0</v>
      </c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215">
        <f t="shared" si="18"/>
        <v>0</v>
      </c>
    </row>
    <row r="126" spans="1:18" s="9" customFormat="1" ht="19.5" x14ac:dyDescent="0.4">
      <c r="A126" s="42"/>
      <c r="B126" s="15" t="s">
        <v>146</v>
      </c>
      <c r="C126" s="45">
        <f>SUM(C127:C129)</f>
        <v>0</v>
      </c>
      <c r="D126" s="45">
        <f t="shared" ref="D126:N126" si="24">SUM(D127:D129)</f>
        <v>0</v>
      </c>
      <c r="E126" s="45">
        <f t="shared" si="24"/>
        <v>0</v>
      </c>
      <c r="F126" s="45">
        <f t="shared" si="24"/>
        <v>0</v>
      </c>
      <c r="G126" s="45">
        <f t="shared" si="24"/>
        <v>0</v>
      </c>
      <c r="H126" s="45">
        <f t="shared" si="24"/>
        <v>0</v>
      </c>
      <c r="I126" s="45">
        <f t="shared" si="24"/>
        <v>0</v>
      </c>
      <c r="J126" s="45">
        <f t="shared" si="24"/>
        <v>0</v>
      </c>
      <c r="K126" s="45">
        <f t="shared" si="24"/>
        <v>0</v>
      </c>
      <c r="L126" s="45">
        <f t="shared" si="24"/>
        <v>0</v>
      </c>
      <c r="M126" s="45">
        <f t="shared" si="24"/>
        <v>0</v>
      </c>
      <c r="N126" s="45">
        <f t="shared" si="24"/>
        <v>0</v>
      </c>
      <c r="O126" s="218">
        <f t="shared" si="18"/>
        <v>0</v>
      </c>
      <c r="P126" s="42"/>
      <c r="Q126" s="42"/>
      <c r="R126" s="42"/>
    </row>
    <row r="127" spans="1:18" s="9" customFormat="1" ht="16.5" x14ac:dyDescent="0.25">
      <c r="B127" s="12" t="s">
        <v>147</v>
      </c>
      <c r="C127" s="37">
        <v>0</v>
      </c>
      <c r="D127" s="37">
        <v>0</v>
      </c>
      <c r="E127" s="37">
        <v>0</v>
      </c>
      <c r="F127" s="37">
        <v>0</v>
      </c>
      <c r="G127" s="37">
        <v>0</v>
      </c>
      <c r="H127" s="37">
        <v>0</v>
      </c>
      <c r="I127" s="37">
        <v>0</v>
      </c>
      <c r="J127" s="37">
        <v>0</v>
      </c>
      <c r="K127" s="37">
        <v>0</v>
      </c>
      <c r="L127" s="37">
        <v>0</v>
      </c>
      <c r="M127" s="37">
        <v>0</v>
      </c>
      <c r="N127" s="37">
        <v>0</v>
      </c>
      <c r="O127" s="215">
        <f t="shared" si="18"/>
        <v>0</v>
      </c>
    </row>
    <row r="128" spans="1:18" s="9" customFormat="1" ht="16.5" x14ac:dyDescent="0.25">
      <c r="B128" s="12" t="s">
        <v>148</v>
      </c>
      <c r="C128" s="37">
        <v>0</v>
      </c>
      <c r="D128" s="37">
        <v>0</v>
      </c>
      <c r="E128" s="37">
        <v>0</v>
      </c>
      <c r="F128" s="37">
        <v>0</v>
      </c>
      <c r="G128" s="37">
        <v>0</v>
      </c>
      <c r="H128" s="37">
        <v>0</v>
      </c>
      <c r="I128" s="37">
        <v>0</v>
      </c>
      <c r="J128" s="37">
        <v>0</v>
      </c>
      <c r="K128" s="37">
        <v>0</v>
      </c>
      <c r="L128" s="37">
        <v>0</v>
      </c>
      <c r="M128" s="37">
        <v>0</v>
      </c>
      <c r="N128" s="37">
        <v>0</v>
      </c>
      <c r="O128" s="215">
        <f t="shared" si="18"/>
        <v>0</v>
      </c>
    </row>
    <row r="129" spans="1:18" s="9" customFormat="1" ht="16.5" x14ac:dyDescent="0.25">
      <c r="B129" s="12" t="s">
        <v>149</v>
      </c>
      <c r="C129" s="37">
        <v>0</v>
      </c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0</v>
      </c>
      <c r="J129" s="37">
        <v>0</v>
      </c>
      <c r="K129" s="37">
        <v>0</v>
      </c>
      <c r="L129" s="37">
        <v>0</v>
      </c>
      <c r="M129" s="37">
        <v>0</v>
      </c>
      <c r="N129" s="37">
        <v>0</v>
      </c>
      <c r="O129" s="215">
        <f t="shared" si="18"/>
        <v>0</v>
      </c>
    </row>
    <row r="130" spans="1:18" s="9" customFormat="1" ht="19.5" x14ac:dyDescent="0.4">
      <c r="A130" s="42"/>
      <c r="B130" s="15" t="s">
        <v>150</v>
      </c>
      <c r="C130" s="45">
        <f>SUM(C131:C132)</f>
        <v>0</v>
      </c>
      <c r="D130" s="45">
        <f t="shared" ref="D130:N130" si="25">SUM(D131:D132)</f>
        <v>0</v>
      </c>
      <c r="E130" s="45">
        <f t="shared" si="25"/>
        <v>0</v>
      </c>
      <c r="F130" s="45">
        <f t="shared" si="25"/>
        <v>0</v>
      </c>
      <c r="G130" s="45">
        <f t="shared" si="25"/>
        <v>0</v>
      </c>
      <c r="H130" s="45">
        <f t="shared" si="25"/>
        <v>0</v>
      </c>
      <c r="I130" s="45">
        <f t="shared" si="25"/>
        <v>0</v>
      </c>
      <c r="J130" s="45">
        <f t="shared" si="25"/>
        <v>0</v>
      </c>
      <c r="K130" s="45">
        <f t="shared" si="25"/>
        <v>0</v>
      </c>
      <c r="L130" s="45">
        <f t="shared" si="25"/>
        <v>0</v>
      </c>
      <c r="M130" s="45">
        <f t="shared" si="25"/>
        <v>0</v>
      </c>
      <c r="N130" s="45">
        <f t="shared" si="25"/>
        <v>0</v>
      </c>
      <c r="O130" s="218">
        <f t="shared" si="18"/>
        <v>0</v>
      </c>
      <c r="P130" s="42"/>
      <c r="Q130" s="42"/>
      <c r="R130" s="42"/>
    </row>
    <row r="131" spans="1:18" s="9" customFormat="1" ht="16.5" x14ac:dyDescent="0.25">
      <c r="B131" s="12" t="s">
        <v>64</v>
      </c>
      <c r="C131" s="37">
        <v>0</v>
      </c>
      <c r="D131" s="37">
        <v>0</v>
      </c>
      <c r="E131" s="37">
        <v>0</v>
      </c>
      <c r="F131" s="37">
        <v>0</v>
      </c>
      <c r="G131" s="37">
        <v>0</v>
      </c>
      <c r="H131" s="37">
        <v>0</v>
      </c>
      <c r="I131" s="37">
        <v>0</v>
      </c>
      <c r="J131" s="37">
        <v>0</v>
      </c>
      <c r="K131" s="37">
        <v>0</v>
      </c>
      <c r="L131" s="37">
        <v>0</v>
      </c>
      <c r="M131" s="37">
        <v>0</v>
      </c>
      <c r="N131" s="37">
        <v>0</v>
      </c>
      <c r="O131" s="215">
        <f t="shared" si="18"/>
        <v>0</v>
      </c>
    </row>
    <row r="132" spans="1:18" s="9" customFormat="1" ht="16.5" x14ac:dyDescent="0.25">
      <c r="B132" s="12" t="s">
        <v>151</v>
      </c>
      <c r="C132" s="37">
        <v>0</v>
      </c>
      <c r="D132" s="37">
        <v>0</v>
      </c>
      <c r="E132" s="37">
        <v>0</v>
      </c>
      <c r="F132" s="37">
        <v>0</v>
      </c>
      <c r="G132" s="37">
        <v>0</v>
      </c>
      <c r="H132" s="37">
        <v>0</v>
      </c>
      <c r="I132" s="37">
        <v>0</v>
      </c>
      <c r="J132" s="37">
        <v>0</v>
      </c>
      <c r="K132" s="37">
        <v>0</v>
      </c>
      <c r="L132" s="37">
        <v>0</v>
      </c>
      <c r="M132" s="37">
        <v>0</v>
      </c>
      <c r="N132" s="37">
        <v>0</v>
      </c>
      <c r="O132" s="215">
        <f t="shared" si="18"/>
        <v>0</v>
      </c>
    </row>
    <row r="133" spans="1:18" s="9" customFormat="1" ht="19.5" x14ac:dyDescent="0.4">
      <c r="A133" s="42"/>
      <c r="B133" s="15" t="s">
        <v>152</v>
      </c>
      <c r="C133" s="45">
        <f>SUM(C134:C138)</f>
        <v>0</v>
      </c>
      <c r="D133" s="45">
        <f t="shared" ref="D133:N133" si="26">SUM(D134:D138)</f>
        <v>0</v>
      </c>
      <c r="E133" s="45">
        <f t="shared" si="26"/>
        <v>0</v>
      </c>
      <c r="F133" s="45">
        <f t="shared" si="26"/>
        <v>0</v>
      </c>
      <c r="G133" s="45">
        <f t="shared" si="26"/>
        <v>0</v>
      </c>
      <c r="H133" s="45">
        <f t="shared" si="26"/>
        <v>0</v>
      </c>
      <c r="I133" s="45">
        <f t="shared" si="26"/>
        <v>0</v>
      </c>
      <c r="J133" s="45">
        <f t="shared" si="26"/>
        <v>0</v>
      </c>
      <c r="K133" s="45">
        <f t="shared" si="26"/>
        <v>0</v>
      </c>
      <c r="L133" s="45">
        <f>SUM(L134:L138)</f>
        <v>0</v>
      </c>
      <c r="M133" s="45">
        <f t="shared" si="26"/>
        <v>0</v>
      </c>
      <c r="N133" s="45">
        <f t="shared" si="26"/>
        <v>0</v>
      </c>
      <c r="O133" s="218">
        <f t="shared" si="18"/>
        <v>0</v>
      </c>
      <c r="P133" s="42"/>
      <c r="Q133" s="42"/>
      <c r="R133" s="42"/>
    </row>
    <row r="134" spans="1:18" s="9" customFormat="1" ht="16.5" x14ac:dyDescent="0.25">
      <c r="B134" s="12" t="s">
        <v>153</v>
      </c>
      <c r="C134" s="37">
        <v>0</v>
      </c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0</v>
      </c>
      <c r="J134" s="37">
        <v>0</v>
      </c>
      <c r="K134" s="37">
        <v>0</v>
      </c>
      <c r="L134" s="37">
        <v>0</v>
      </c>
      <c r="M134" s="37">
        <v>0</v>
      </c>
      <c r="N134" s="37">
        <v>0</v>
      </c>
      <c r="O134" s="215">
        <f t="shared" si="18"/>
        <v>0</v>
      </c>
    </row>
    <row r="135" spans="1:18" s="9" customFormat="1" ht="16.5" x14ac:dyDescent="0.25">
      <c r="B135" s="12" t="s">
        <v>154</v>
      </c>
      <c r="C135" s="37">
        <v>0</v>
      </c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v>0</v>
      </c>
      <c r="N135" s="37">
        <v>0</v>
      </c>
      <c r="O135" s="215">
        <f t="shared" si="18"/>
        <v>0</v>
      </c>
    </row>
    <row r="136" spans="1:18" s="9" customFormat="1" ht="16.5" x14ac:dyDescent="0.25">
      <c r="B136" s="12" t="s">
        <v>155</v>
      </c>
      <c r="C136" s="37">
        <v>0</v>
      </c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0</v>
      </c>
      <c r="J136" s="37">
        <v>0</v>
      </c>
      <c r="K136" s="37">
        <v>0</v>
      </c>
      <c r="L136" s="37">
        <v>0</v>
      </c>
      <c r="M136" s="37">
        <v>0</v>
      </c>
      <c r="N136" s="37">
        <v>0</v>
      </c>
      <c r="O136" s="215">
        <f t="shared" si="18"/>
        <v>0</v>
      </c>
    </row>
    <row r="137" spans="1:18" s="9" customFormat="1" ht="16.5" x14ac:dyDescent="0.25">
      <c r="B137" s="12" t="s">
        <v>156</v>
      </c>
      <c r="C137" s="37">
        <v>0</v>
      </c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0</v>
      </c>
      <c r="J137" s="37">
        <v>0</v>
      </c>
      <c r="K137" s="37">
        <v>0</v>
      </c>
      <c r="L137" s="37">
        <v>0</v>
      </c>
      <c r="M137" s="37">
        <v>0</v>
      </c>
      <c r="N137" s="37">
        <v>0</v>
      </c>
      <c r="O137" s="215">
        <f t="shared" si="18"/>
        <v>0</v>
      </c>
    </row>
    <row r="138" spans="1:18" ht="16.5" x14ac:dyDescent="0.25">
      <c r="A138" s="9"/>
      <c r="B138" s="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215">
        <f t="shared" si="18"/>
        <v>0</v>
      </c>
      <c r="P138" s="9"/>
      <c r="Q138" s="9"/>
      <c r="R138" s="9"/>
    </row>
    <row r="139" spans="1:18" ht="15.75" x14ac:dyDescent="0.25">
      <c r="A139" s="9"/>
      <c r="B139" s="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221"/>
      <c r="P139" s="9"/>
      <c r="Q139" s="9"/>
      <c r="R139" s="9"/>
    </row>
    <row r="140" spans="1:18" ht="15.75" x14ac:dyDescent="0.25">
      <c r="A140" s="9"/>
      <c r="B140" s="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221"/>
      <c r="P140" s="9"/>
      <c r="Q140" s="9"/>
      <c r="R140" s="9"/>
    </row>
    <row r="141" spans="1:18" ht="15.75" x14ac:dyDescent="0.25">
      <c r="A141" s="9"/>
      <c r="B141" s="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221"/>
      <c r="P141" s="9"/>
      <c r="Q141" s="9"/>
      <c r="R141" s="9"/>
    </row>
    <row r="142" spans="1:18" ht="15.75" x14ac:dyDescent="0.25">
      <c r="A142" s="9"/>
      <c r="B142" s="9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221"/>
      <c r="P142" s="9"/>
      <c r="Q142" s="9"/>
      <c r="R142" s="9"/>
    </row>
    <row r="143" spans="1:18" ht="15.75" x14ac:dyDescent="0.25">
      <c r="A143" s="9"/>
      <c r="B143" s="9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221"/>
      <c r="P143" s="9"/>
      <c r="Q143" s="9"/>
      <c r="R143" s="9"/>
    </row>
    <row r="144" spans="1:18" ht="15.7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221"/>
      <c r="P144" s="9"/>
      <c r="Q144" s="9"/>
      <c r="R144" s="9"/>
    </row>
    <row r="145" spans="1:18" ht="15.7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221"/>
      <c r="P145" s="9"/>
      <c r="Q145" s="9"/>
      <c r="R145" s="9"/>
    </row>
    <row r="146" spans="1:18" ht="15.7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221"/>
      <c r="P146" s="9"/>
      <c r="Q146" s="9"/>
      <c r="R146" s="9"/>
    </row>
    <row r="147" spans="1:18" ht="15.7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221"/>
      <c r="P147" s="9"/>
      <c r="Q147" s="9"/>
      <c r="R147" s="9"/>
    </row>
    <row r="148" spans="1:18" ht="15.7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221"/>
      <c r="P148" s="9"/>
      <c r="Q148" s="9"/>
      <c r="R148" s="9"/>
    </row>
    <row r="149" spans="1:18" ht="15.7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221"/>
      <c r="P149" s="9"/>
      <c r="Q149" s="9"/>
      <c r="R149" s="9"/>
    </row>
    <row r="150" spans="1:18" ht="15.7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221"/>
      <c r="P150" s="9"/>
      <c r="Q150" s="9"/>
      <c r="R150" s="9"/>
    </row>
    <row r="151" spans="1:18" ht="15.7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221"/>
      <c r="P151" s="9"/>
      <c r="Q151" s="9"/>
      <c r="R151" s="9"/>
    </row>
    <row r="152" spans="1:18" ht="15.7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221"/>
      <c r="P152" s="9"/>
      <c r="Q152" s="9"/>
      <c r="R152" s="9"/>
    </row>
    <row r="153" spans="1:18" ht="15.7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221"/>
      <c r="P153" s="9"/>
      <c r="Q153" s="9"/>
      <c r="R153" s="9"/>
    </row>
    <row r="154" spans="1:18" ht="15.7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221"/>
      <c r="P154" s="9"/>
      <c r="Q154" s="9"/>
      <c r="R154" s="9"/>
    </row>
    <row r="155" spans="1:18" ht="15.7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221"/>
      <c r="P155" s="9"/>
      <c r="Q155" s="9"/>
      <c r="R155" s="9"/>
    </row>
    <row r="156" spans="1:18" ht="15.7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221"/>
      <c r="P156" s="9"/>
      <c r="Q156" s="9"/>
      <c r="R156" s="9"/>
    </row>
    <row r="157" spans="1:18" ht="15.7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221"/>
      <c r="P157" s="9"/>
      <c r="Q157" s="9"/>
      <c r="R157" s="9"/>
    </row>
    <row r="158" spans="1:18" ht="15.7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221"/>
      <c r="P158" s="9"/>
      <c r="Q158" s="9"/>
      <c r="R158" s="9"/>
    </row>
    <row r="159" spans="1:18" ht="15.7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221"/>
      <c r="P159" s="9"/>
      <c r="Q159" s="9"/>
      <c r="R159" s="9"/>
    </row>
    <row r="160" spans="1:18" ht="15.7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221"/>
      <c r="P160" s="9"/>
      <c r="Q160" s="9"/>
      <c r="R160" s="9"/>
    </row>
    <row r="161" spans="1:18" ht="15.7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221"/>
      <c r="P161" s="9"/>
      <c r="Q161" s="9"/>
      <c r="R161" s="9"/>
    </row>
    <row r="162" spans="1:18" ht="15.7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221"/>
      <c r="P162" s="9"/>
      <c r="Q162" s="9"/>
      <c r="R162" s="9"/>
    </row>
    <row r="163" spans="1:18" ht="15.7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221"/>
      <c r="P163" s="9"/>
      <c r="Q163" s="9"/>
      <c r="R163" s="9"/>
    </row>
    <row r="164" spans="1:18" ht="15.7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221"/>
      <c r="P164" s="9"/>
      <c r="Q164" s="9"/>
      <c r="R164" s="9"/>
    </row>
    <row r="165" spans="1:18" ht="15.7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221"/>
      <c r="P165" s="9"/>
      <c r="Q165" s="9"/>
      <c r="R165" s="9"/>
    </row>
  </sheetData>
  <sheetProtection formatCells="0" formatColumns="0" formatRows="0" insertColumns="0" insertRows="0" insertHyperlinks="0" deleteColumns="0" deleteRows="0" sort="0" autoFilter="0" pivotTables="0"/>
  <mergeCells count="2">
    <mergeCell ref="C1:O1"/>
    <mergeCell ref="A2:B2"/>
  </mergeCells>
  <pageMargins left="0" right="0" top="0.19685039370078741" bottom="0.19685039370078741" header="0.31496062992125984" footer="0.31496062992125984"/>
  <pageSetup paperSize="9" scale="35" fitToHeight="0" orientation="landscape" r:id="rId1"/>
  <headerFooter>
    <oddFooter>&amp;L&amp;Bfinancas - previsto x realizad&amp;RPágina &amp;P de &amp;N</oddFooter>
  </headerFooter>
  <rowBreaks count="1" manualBreakCount="1">
    <brk id="98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2283-485A-4CF6-A8B0-62BF6A70D774}">
  <sheetPr>
    <tabColor theme="9" tint="0.39997558519241921"/>
    <pageSetUpPr fitToPage="1"/>
  </sheetPr>
  <dimension ref="A1:R165"/>
  <sheetViews>
    <sheetView showGridLines="0" zoomScale="60" zoomScaleNormal="60" workbookViewId="0">
      <pane xSplit="2" ySplit="3" topLeftCell="C55" activePane="bottomRight" state="frozen"/>
      <selection pane="topRight"/>
      <selection pane="bottomLeft"/>
      <selection pane="bottomRight" activeCell="C2" sqref="C2"/>
    </sheetView>
  </sheetViews>
  <sheetFormatPr defaultRowHeight="15" customHeight="1" x14ac:dyDescent="0.25"/>
  <cols>
    <col min="1" max="1" width="6.42578125" customWidth="1"/>
    <col min="2" max="2" width="40.85546875" bestFit="1" customWidth="1"/>
    <col min="3" max="3" width="24.85546875" customWidth="1"/>
    <col min="4" max="4" width="25.28515625" customWidth="1"/>
    <col min="5" max="6" width="24.42578125" bestFit="1" customWidth="1"/>
    <col min="7" max="8" width="23.28515625" bestFit="1" customWidth="1"/>
    <col min="9" max="11" width="22.7109375" bestFit="1" customWidth="1"/>
    <col min="12" max="12" width="22.28515625" bestFit="1" customWidth="1"/>
    <col min="13" max="13" width="22.7109375" bestFit="1" customWidth="1"/>
    <col min="14" max="14" width="23.28515625" bestFit="1" customWidth="1"/>
    <col min="15" max="15" width="23.28515625" style="1" bestFit="1" customWidth="1"/>
  </cols>
  <sheetData>
    <row r="1" spans="1:15" ht="68.25" customHeight="1" x14ac:dyDescent="0.25">
      <c r="C1" s="286" t="s">
        <v>255</v>
      </c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5" ht="24.95" customHeight="1" x14ac:dyDescent="0.25">
      <c r="A2" s="287" t="s">
        <v>246</v>
      </c>
      <c r="B2" s="287"/>
      <c r="C2" s="184" t="e">
        <f>C47/O$47</f>
        <v>#DIV/0!</v>
      </c>
      <c r="D2" s="184" t="e">
        <f>D47/$O$47</f>
        <v>#DIV/0!</v>
      </c>
      <c r="E2" s="184" t="e">
        <f>E47/$O$47</f>
        <v>#DIV/0!</v>
      </c>
      <c r="F2" s="184" t="e">
        <f t="shared" ref="F2:N2" si="0">F47/$O$47</f>
        <v>#DIV/0!</v>
      </c>
      <c r="G2" s="184" t="e">
        <f t="shared" si="0"/>
        <v>#DIV/0!</v>
      </c>
      <c r="H2" s="184" t="e">
        <f t="shared" si="0"/>
        <v>#DIV/0!</v>
      </c>
      <c r="I2" s="184" t="e">
        <f t="shared" si="0"/>
        <v>#DIV/0!</v>
      </c>
      <c r="J2" s="184" t="e">
        <f t="shared" si="0"/>
        <v>#DIV/0!</v>
      </c>
      <c r="K2" s="184" t="e">
        <f t="shared" si="0"/>
        <v>#DIV/0!</v>
      </c>
      <c r="L2" s="184" t="e">
        <f t="shared" si="0"/>
        <v>#DIV/0!</v>
      </c>
      <c r="M2" s="184" t="e">
        <f t="shared" si="0"/>
        <v>#DIV/0!</v>
      </c>
      <c r="N2" s="184" t="e">
        <f t="shared" si="0"/>
        <v>#DIV/0!</v>
      </c>
    </row>
    <row r="3" spans="1:15" ht="22.5" x14ac:dyDescent="0.25">
      <c r="B3" s="2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4" t="s">
        <v>5</v>
      </c>
    </row>
    <row r="4" spans="1:15" ht="22.5" x14ac:dyDescent="0.25">
      <c r="B4" s="31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2"/>
    </row>
    <row r="5" spans="1:15" ht="19.5" x14ac:dyDescent="0.25">
      <c r="B5" s="33" t="s">
        <v>29</v>
      </c>
      <c r="C5" s="243">
        <f>C6</f>
        <v>174000</v>
      </c>
      <c r="D5" s="243">
        <f t="shared" ref="D5:N5" si="1">C5+D6</f>
        <v>264000</v>
      </c>
      <c r="E5" s="243">
        <f t="shared" si="1"/>
        <v>264000</v>
      </c>
      <c r="F5" s="243">
        <f t="shared" si="1"/>
        <v>264000</v>
      </c>
      <c r="G5" s="243">
        <f t="shared" si="1"/>
        <v>264000</v>
      </c>
      <c r="H5" s="243">
        <f t="shared" si="1"/>
        <v>413000</v>
      </c>
      <c r="I5" s="243">
        <f t="shared" si="1"/>
        <v>413000</v>
      </c>
      <c r="J5" s="243">
        <f t="shared" si="1"/>
        <v>413000</v>
      </c>
      <c r="K5" s="243">
        <f t="shared" si="1"/>
        <v>413000</v>
      </c>
      <c r="L5" s="243">
        <f t="shared" si="1"/>
        <v>413000</v>
      </c>
      <c r="M5" s="243">
        <f t="shared" si="1"/>
        <v>413000</v>
      </c>
      <c r="N5" s="243">
        <f t="shared" si="1"/>
        <v>413000</v>
      </c>
      <c r="O5" s="245"/>
    </row>
    <row r="6" spans="1:15" ht="19.5" x14ac:dyDescent="0.25">
      <c r="B6" s="33" t="s">
        <v>30</v>
      </c>
      <c r="C6" s="243">
        <f t="shared" ref="C6:N6" si="2">SUM(C8-C47)</f>
        <v>174000</v>
      </c>
      <c r="D6" s="243">
        <f t="shared" si="2"/>
        <v>90000</v>
      </c>
      <c r="E6" s="243">
        <f t="shared" si="2"/>
        <v>0</v>
      </c>
      <c r="F6" s="243">
        <f t="shared" si="2"/>
        <v>0</v>
      </c>
      <c r="G6" s="243">
        <f t="shared" si="2"/>
        <v>0</v>
      </c>
      <c r="H6" s="243">
        <f t="shared" si="2"/>
        <v>149000</v>
      </c>
      <c r="I6" s="243">
        <f t="shared" si="2"/>
        <v>0</v>
      </c>
      <c r="J6" s="243">
        <f t="shared" si="2"/>
        <v>0</v>
      </c>
      <c r="K6" s="243">
        <f t="shared" si="2"/>
        <v>0</v>
      </c>
      <c r="L6" s="243">
        <f t="shared" si="2"/>
        <v>0</v>
      </c>
      <c r="M6" s="243">
        <f t="shared" si="2"/>
        <v>0</v>
      </c>
      <c r="N6" s="243">
        <f t="shared" si="2"/>
        <v>0</v>
      </c>
      <c r="O6" s="245">
        <f>SUM(C6:N6)</f>
        <v>413000</v>
      </c>
    </row>
    <row r="7" spans="1:15" ht="22.5" x14ac:dyDescent="0.25">
      <c r="B7" s="31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46"/>
    </row>
    <row r="8" spans="1:15" s="9" customFormat="1" ht="19.5" x14ac:dyDescent="0.25">
      <c r="B8" s="18" t="s">
        <v>31</v>
      </c>
      <c r="C8" s="49">
        <f>SUM(C9,C16,C22,C28,C33,C37,C40,C43)</f>
        <v>174000</v>
      </c>
      <c r="D8" s="49">
        <f t="shared" ref="D8:N8" si="3">SUM(D9,D16,D22,D28,D33,D37,D40,D43)</f>
        <v>90000</v>
      </c>
      <c r="E8" s="49">
        <f t="shared" si="3"/>
        <v>0</v>
      </c>
      <c r="F8" s="49">
        <f t="shared" si="3"/>
        <v>0</v>
      </c>
      <c r="G8" s="49">
        <f t="shared" si="3"/>
        <v>0</v>
      </c>
      <c r="H8" s="49">
        <f t="shared" si="3"/>
        <v>149000</v>
      </c>
      <c r="I8" s="49">
        <f t="shared" si="3"/>
        <v>0</v>
      </c>
      <c r="J8" s="49">
        <f t="shared" si="3"/>
        <v>0</v>
      </c>
      <c r="K8" s="49">
        <f t="shared" si="3"/>
        <v>0</v>
      </c>
      <c r="L8" s="49">
        <f t="shared" si="3"/>
        <v>0</v>
      </c>
      <c r="M8" s="49">
        <f t="shared" si="3"/>
        <v>0</v>
      </c>
      <c r="N8" s="49">
        <f t="shared" si="3"/>
        <v>0</v>
      </c>
      <c r="O8" s="50">
        <f>SUM(C8:N8)</f>
        <v>413000</v>
      </c>
    </row>
    <row r="9" spans="1:15" s="42" customFormat="1" ht="19.5" hidden="1" x14ac:dyDescent="0.4">
      <c r="B9" s="10" t="s">
        <v>32</v>
      </c>
      <c r="C9" s="40">
        <f>SUM(C10:C15)</f>
        <v>0</v>
      </c>
      <c r="D9" s="40">
        <f>SUM(D10:D15)</f>
        <v>0</v>
      </c>
      <c r="E9" s="40">
        <f>SUM(E10:E15)</f>
        <v>0</v>
      </c>
      <c r="F9" s="40">
        <f t="shared" ref="F9:N9" si="4">SUM(F10:F15)</f>
        <v>0</v>
      </c>
      <c r="G9" s="40">
        <f>SUM(G10:G15)</f>
        <v>0</v>
      </c>
      <c r="H9" s="40">
        <f t="shared" si="4"/>
        <v>0</v>
      </c>
      <c r="I9" s="40">
        <f t="shared" si="4"/>
        <v>0</v>
      </c>
      <c r="J9" s="40">
        <f t="shared" si="4"/>
        <v>0</v>
      </c>
      <c r="K9" s="40">
        <f t="shared" si="4"/>
        <v>0</v>
      </c>
      <c r="L9" s="40">
        <f t="shared" si="4"/>
        <v>0</v>
      </c>
      <c r="M9" s="40">
        <f t="shared" si="4"/>
        <v>0</v>
      </c>
      <c r="N9" s="40">
        <f t="shared" si="4"/>
        <v>0</v>
      </c>
      <c r="O9" s="41">
        <f>SUM(C9:N9)</f>
        <v>0</v>
      </c>
    </row>
    <row r="10" spans="1:15" s="9" customFormat="1" ht="15.75" hidden="1" x14ac:dyDescent="0.25">
      <c r="B10" s="36" t="s">
        <v>33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5">
        <f t="shared" ref="O10:O73" si="5">SUM(C10:N10)</f>
        <v>0</v>
      </c>
    </row>
    <row r="11" spans="1:15" s="9" customFormat="1" ht="15.75" hidden="1" x14ac:dyDescent="0.25">
      <c r="B11" s="36" t="s">
        <v>34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5">
        <f t="shared" si="5"/>
        <v>0</v>
      </c>
    </row>
    <row r="12" spans="1:15" s="9" customFormat="1" ht="15.75" hidden="1" x14ac:dyDescent="0.25">
      <c r="B12" s="36" t="s">
        <v>35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5">
        <f t="shared" si="5"/>
        <v>0</v>
      </c>
    </row>
    <row r="13" spans="1:15" s="9" customFormat="1" ht="15.75" hidden="1" x14ac:dyDescent="0.25">
      <c r="B13" s="36" t="s">
        <v>36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5">
        <f t="shared" si="5"/>
        <v>0</v>
      </c>
    </row>
    <row r="14" spans="1:15" s="9" customFormat="1" ht="15.75" hidden="1" x14ac:dyDescent="0.25">
      <c r="B14" s="36" t="s">
        <v>37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5">
        <f t="shared" si="5"/>
        <v>0</v>
      </c>
    </row>
    <row r="15" spans="1:15" s="9" customFormat="1" ht="15.75" hidden="1" x14ac:dyDescent="0.25">
      <c r="B15" s="36" t="s">
        <v>38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5">
        <f t="shared" si="5"/>
        <v>0</v>
      </c>
    </row>
    <row r="16" spans="1:15" s="42" customFormat="1" ht="19.5" hidden="1" x14ac:dyDescent="0.4">
      <c r="B16" s="10" t="s">
        <v>39</v>
      </c>
      <c r="C16" s="40">
        <f>SUM(C17:C21)</f>
        <v>0</v>
      </c>
      <c r="D16" s="40">
        <f>SUM(D17:D21)</f>
        <v>0</v>
      </c>
      <c r="E16" s="40">
        <f t="shared" ref="E16:L16" si="6">SUM(E17:E21)</f>
        <v>0</v>
      </c>
      <c r="F16" s="40">
        <f t="shared" si="6"/>
        <v>0</v>
      </c>
      <c r="G16" s="40">
        <f>SUM(G17:G21)</f>
        <v>0</v>
      </c>
      <c r="H16" s="40">
        <f t="shared" si="6"/>
        <v>0</v>
      </c>
      <c r="I16" s="40">
        <f t="shared" si="6"/>
        <v>0</v>
      </c>
      <c r="J16" s="40">
        <f t="shared" si="6"/>
        <v>0</v>
      </c>
      <c r="K16" s="40">
        <f t="shared" si="6"/>
        <v>0</v>
      </c>
      <c r="L16" s="40">
        <f t="shared" si="6"/>
        <v>0</v>
      </c>
      <c r="M16" s="40">
        <f>SUM(M17:M21)</f>
        <v>0</v>
      </c>
      <c r="N16" s="40">
        <f>SUM(N17:N21)</f>
        <v>0</v>
      </c>
      <c r="O16" s="41">
        <f>SUM(C16:N16)</f>
        <v>0</v>
      </c>
    </row>
    <row r="17" spans="2:15" s="9" customFormat="1" ht="15.75" hidden="1" x14ac:dyDescent="0.25">
      <c r="B17" s="36" t="s">
        <v>40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5">
        <f t="shared" si="5"/>
        <v>0</v>
      </c>
    </row>
    <row r="18" spans="2:15" s="9" customFormat="1" ht="15.75" hidden="1" x14ac:dyDescent="0.25">
      <c r="B18" s="36" t="s">
        <v>41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5">
        <f t="shared" si="5"/>
        <v>0</v>
      </c>
    </row>
    <row r="19" spans="2:15" s="9" customFormat="1" ht="15.75" hidden="1" x14ac:dyDescent="0.25">
      <c r="B19" s="36" t="s">
        <v>42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5">
        <f t="shared" si="5"/>
        <v>0</v>
      </c>
    </row>
    <row r="20" spans="2:15" s="9" customFormat="1" ht="15.75" hidden="1" x14ac:dyDescent="0.25">
      <c r="B20" s="36" t="s">
        <v>43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5">
        <f t="shared" si="5"/>
        <v>0</v>
      </c>
    </row>
    <row r="21" spans="2:15" s="9" customFormat="1" ht="15.75" hidden="1" x14ac:dyDescent="0.25">
      <c r="B21" s="36" t="s">
        <v>44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5">
        <f t="shared" si="5"/>
        <v>0</v>
      </c>
    </row>
    <row r="22" spans="2:15" s="42" customFormat="1" ht="19.5" x14ac:dyDescent="0.4">
      <c r="B22" s="10" t="s">
        <v>45</v>
      </c>
      <c r="C22" s="40">
        <f>SUM(C23:C27)</f>
        <v>0</v>
      </c>
      <c r="D22" s="40">
        <f t="shared" ref="D22:N22" si="7">SUM(D23:D27)</f>
        <v>0</v>
      </c>
      <c r="E22" s="40">
        <f t="shared" si="7"/>
        <v>0</v>
      </c>
      <c r="F22" s="40">
        <f t="shared" si="7"/>
        <v>0</v>
      </c>
      <c r="G22" s="40">
        <f t="shared" si="7"/>
        <v>0</v>
      </c>
      <c r="H22" s="40">
        <f t="shared" si="7"/>
        <v>0</v>
      </c>
      <c r="I22" s="40">
        <f t="shared" si="7"/>
        <v>0</v>
      </c>
      <c r="J22" s="40">
        <f t="shared" si="7"/>
        <v>0</v>
      </c>
      <c r="K22" s="40">
        <f t="shared" si="7"/>
        <v>0</v>
      </c>
      <c r="L22" s="40">
        <f t="shared" si="7"/>
        <v>0</v>
      </c>
      <c r="M22" s="40">
        <f t="shared" si="7"/>
        <v>0</v>
      </c>
      <c r="N22" s="40">
        <f t="shared" si="7"/>
        <v>0</v>
      </c>
      <c r="O22" s="41">
        <f t="shared" si="5"/>
        <v>0</v>
      </c>
    </row>
    <row r="23" spans="2:15" s="9" customFormat="1" ht="15.75" x14ac:dyDescent="0.25">
      <c r="B23" s="12" t="s">
        <v>46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5">
        <f t="shared" si="5"/>
        <v>0</v>
      </c>
    </row>
    <row r="24" spans="2:15" s="9" customFormat="1" ht="15.75" x14ac:dyDescent="0.25">
      <c r="B24" s="12" t="s">
        <v>47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5">
        <f t="shared" si="5"/>
        <v>0</v>
      </c>
    </row>
    <row r="25" spans="2:15" s="9" customFormat="1" ht="15.75" x14ac:dyDescent="0.25">
      <c r="B25" s="12" t="s">
        <v>48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5">
        <f t="shared" si="5"/>
        <v>0</v>
      </c>
    </row>
    <row r="26" spans="2:15" s="9" customFormat="1" ht="15.75" x14ac:dyDescent="0.25">
      <c r="B26" s="12" t="s">
        <v>49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5">
        <f t="shared" si="5"/>
        <v>0</v>
      </c>
    </row>
    <row r="27" spans="2:15" s="9" customFormat="1" ht="15.75" x14ac:dyDescent="0.25">
      <c r="B27" s="12" t="s">
        <v>50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5">
        <f t="shared" si="5"/>
        <v>0</v>
      </c>
    </row>
    <row r="28" spans="2:15" s="42" customFormat="1" ht="19.5" x14ac:dyDescent="0.4">
      <c r="B28" s="10" t="s">
        <v>51</v>
      </c>
      <c r="C28" s="40">
        <f>SUM(C29:C32)</f>
        <v>0</v>
      </c>
      <c r="D28" s="40">
        <f t="shared" ref="D28:N28" si="8">SUM(D29:D32)</f>
        <v>0</v>
      </c>
      <c r="E28" s="40">
        <f t="shared" si="8"/>
        <v>0</v>
      </c>
      <c r="F28" s="40">
        <f t="shared" si="8"/>
        <v>0</v>
      </c>
      <c r="G28" s="40">
        <f t="shared" si="8"/>
        <v>0</v>
      </c>
      <c r="H28" s="40">
        <f t="shared" si="8"/>
        <v>0</v>
      </c>
      <c r="I28" s="40">
        <f t="shared" si="8"/>
        <v>0</v>
      </c>
      <c r="J28" s="40">
        <f t="shared" si="8"/>
        <v>0</v>
      </c>
      <c r="K28" s="40">
        <f t="shared" si="8"/>
        <v>0</v>
      </c>
      <c r="L28" s="40">
        <f t="shared" si="8"/>
        <v>0</v>
      </c>
      <c r="M28" s="40">
        <f t="shared" si="8"/>
        <v>0</v>
      </c>
      <c r="N28" s="40">
        <f t="shared" si="8"/>
        <v>0</v>
      </c>
      <c r="O28" s="41">
        <f>SUM(C28:N28)</f>
        <v>0</v>
      </c>
    </row>
    <row r="29" spans="2:15" s="9" customFormat="1" ht="15.75" x14ac:dyDescent="0.25">
      <c r="B29" s="12" t="s">
        <v>52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5">
        <f>SUM(C29:N29)</f>
        <v>0</v>
      </c>
    </row>
    <row r="30" spans="2:15" s="9" customFormat="1" ht="15.75" x14ac:dyDescent="0.25">
      <c r="B30" s="12" t="s">
        <v>53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5">
        <f t="shared" si="5"/>
        <v>0</v>
      </c>
    </row>
    <row r="31" spans="2:15" s="9" customFormat="1" ht="15.75" x14ac:dyDescent="0.25">
      <c r="B31" s="12" t="s">
        <v>54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5">
        <f t="shared" si="5"/>
        <v>0</v>
      </c>
    </row>
    <row r="32" spans="2:15" s="9" customFormat="1" ht="15.75" x14ac:dyDescent="0.25">
      <c r="B32" s="12" t="s">
        <v>55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5">
        <f t="shared" si="5"/>
        <v>0</v>
      </c>
    </row>
    <row r="33" spans="2:15" s="42" customFormat="1" ht="19.5" x14ac:dyDescent="0.4">
      <c r="B33" s="10" t="s">
        <v>56</v>
      </c>
      <c r="C33" s="40">
        <f>SUM(C34:C36)</f>
        <v>174000</v>
      </c>
      <c r="D33" s="40">
        <f>SUM(D34:D36)</f>
        <v>90000</v>
      </c>
      <c r="E33" s="40">
        <f>SUM(E34:E36)</f>
        <v>0</v>
      </c>
      <c r="F33" s="40">
        <f t="shared" ref="F33:N33" si="9">SUM(F34:F36)</f>
        <v>0</v>
      </c>
      <c r="G33" s="40">
        <f t="shared" si="9"/>
        <v>0</v>
      </c>
      <c r="H33" s="40">
        <f t="shared" si="9"/>
        <v>149000</v>
      </c>
      <c r="I33" s="40">
        <f>SUM(I34:I36)</f>
        <v>0</v>
      </c>
      <c r="J33" s="40">
        <f t="shared" si="9"/>
        <v>0</v>
      </c>
      <c r="K33" s="40">
        <f t="shared" si="9"/>
        <v>0</v>
      </c>
      <c r="L33" s="40">
        <f t="shared" si="9"/>
        <v>0</v>
      </c>
      <c r="M33" s="40">
        <f t="shared" si="9"/>
        <v>0</v>
      </c>
      <c r="N33" s="40">
        <f t="shared" si="9"/>
        <v>0</v>
      </c>
      <c r="O33" s="41">
        <f t="shared" si="5"/>
        <v>413000</v>
      </c>
    </row>
    <row r="34" spans="2:15" s="9" customFormat="1" ht="15.75" x14ac:dyDescent="0.25">
      <c r="B34" s="12" t="s">
        <v>57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5">
        <f t="shared" si="5"/>
        <v>0</v>
      </c>
    </row>
    <row r="35" spans="2:15" s="9" customFormat="1" ht="15.75" x14ac:dyDescent="0.25">
      <c r="B35" s="12" t="s">
        <v>58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5">
        <f t="shared" si="5"/>
        <v>0</v>
      </c>
    </row>
    <row r="36" spans="2:15" s="9" customFormat="1" ht="15.75" x14ac:dyDescent="0.25">
      <c r="B36" s="12" t="s">
        <v>59</v>
      </c>
      <c r="C36" s="37">
        <v>174000</v>
      </c>
      <c r="D36" s="37">
        <v>90000</v>
      </c>
      <c r="E36" s="37">
        <v>0</v>
      </c>
      <c r="F36" s="37">
        <v>0</v>
      </c>
      <c r="G36" s="37">
        <v>0</v>
      </c>
      <c r="H36" s="37">
        <v>149000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5">
        <f t="shared" si="5"/>
        <v>413000</v>
      </c>
    </row>
    <row r="37" spans="2:15" s="42" customFormat="1" ht="19.5" x14ac:dyDescent="0.4">
      <c r="B37" s="10" t="s">
        <v>60</v>
      </c>
      <c r="C37" s="40">
        <f>SUM(C38:C39)</f>
        <v>0</v>
      </c>
      <c r="D37" s="40">
        <f t="shared" ref="D37:N37" si="10">SUM(D38:D39)</f>
        <v>0</v>
      </c>
      <c r="E37" s="40">
        <f t="shared" si="10"/>
        <v>0</v>
      </c>
      <c r="F37" s="40">
        <f t="shared" si="10"/>
        <v>0</v>
      </c>
      <c r="G37" s="40">
        <f t="shared" si="10"/>
        <v>0</v>
      </c>
      <c r="H37" s="40">
        <f t="shared" si="10"/>
        <v>0</v>
      </c>
      <c r="I37" s="40">
        <f t="shared" si="10"/>
        <v>0</v>
      </c>
      <c r="J37" s="40">
        <f t="shared" si="10"/>
        <v>0</v>
      </c>
      <c r="K37" s="40">
        <f t="shared" si="10"/>
        <v>0</v>
      </c>
      <c r="L37" s="40">
        <f t="shared" si="10"/>
        <v>0</v>
      </c>
      <c r="M37" s="40">
        <f t="shared" si="10"/>
        <v>0</v>
      </c>
      <c r="N37" s="40">
        <f t="shared" si="10"/>
        <v>0</v>
      </c>
      <c r="O37" s="41">
        <f t="shared" si="5"/>
        <v>0</v>
      </c>
    </row>
    <row r="38" spans="2:15" s="9" customFormat="1" ht="15.75" x14ac:dyDescent="0.25">
      <c r="B38" s="12" t="s">
        <v>61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5">
        <f t="shared" si="5"/>
        <v>0</v>
      </c>
    </row>
    <row r="39" spans="2:15" s="9" customFormat="1" ht="15.75" x14ac:dyDescent="0.25">
      <c r="B39" s="12" t="s">
        <v>62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5">
        <f t="shared" si="5"/>
        <v>0</v>
      </c>
    </row>
    <row r="40" spans="2:15" s="42" customFormat="1" ht="19.5" x14ac:dyDescent="0.4">
      <c r="B40" s="10" t="s">
        <v>63</v>
      </c>
      <c r="C40" s="40">
        <f>SUM(C41:C42)</f>
        <v>0</v>
      </c>
      <c r="D40" s="40">
        <f t="shared" ref="D40:N40" si="11">SUM(D41:D42)</f>
        <v>0</v>
      </c>
      <c r="E40" s="40">
        <f t="shared" si="11"/>
        <v>0</v>
      </c>
      <c r="F40" s="40">
        <f t="shared" si="11"/>
        <v>0</v>
      </c>
      <c r="G40" s="40">
        <f t="shared" si="11"/>
        <v>0</v>
      </c>
      <c r="H40" s="40">
        <f t="shared" si="11"/>
        <v>0</v>
      </c>
      <c r="I40" s="40">
        <f t="shared" si="11"/>
        <v>0</v>
      </c>
      <c r="J40" s="40">
        <f t="shared" si="11"/>
        <v>0</v>
      </c>
      <c r="K40" s="40">
        <f t="shared" si="11"/>
        <v>0</v>
      </c>
      <c r="L40" s="40">
        <f t="shared" si="11"/>
        <v>0</v>
      </c>
      <c r="M40" s="40">
        <f t="shared" si="11"/>
        <v>0</v>
      </c>
      <c r="N40" s="40">
        <f t="shared" si="11"/>
        <v>0</v>
      </c>
      <c r="O40" s="41">
        <f t="shared" si="5"/>
        <v>0</v>
      </c>
    </row>
    <row r="41" spans="2:15" s="9" customFormat="1" ht="15.75" x14ac:dyDescent="0.25">
      <c r="B41" s="12" t="s">
        <v>64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5">
        <f t="shared" si="5"/>
        <v>0</v>
      </c>
    </row>
    <row r="42" spans="2:15" s="9" customFormat="1" ht="15.75" x14ac:dyDescent="0.25">
      <c r="B42" s="12" t="s">
        <v>65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5">
        <f t="shared" si="5"/>
        <v>0</v>
      </c>
    </row>
    <row r="43" spans="2:15" s="42" customFormat="1" ht="19.5" x14ac:dyDescent="0.4">
      <c r="B43" s="10" t="s">
        <v>66</v>
      </c>
      <c r="C43" s="40">
        <f t="shared" ref="C43:N43" si="12">SUM(C44:C46)</f>
        <v>0</v>
      </c>
      <c r="D43" s="40">
        <f t="shared" si="12"/>
        <v>0</v>
      </c>
      <c r="E43" s="40">
        <f t="shared" si="12"/>
        <v>0</v>
      </c>
      <c r="F43" s="40">
        <f t="shared" si="12"/>
        <v>0</v>
      </c>
      <c r="G43" s="40">
        <f t="shared" si="12"/>
        <v>0</v>
      </c>
      <c r="H43" s="40">
        <f t="shared" si="12"/>
        <v>0</v>
      </c>
      <c r="I43" s="40">
        <f t="shared" si="12"/>
        <v>0</v>
      </c>
      <c r="J43" s="40">
        <f t="shared" si="12"/>
        <v>0</v>
      </c>
      <c r="K43" s="40">
        <f t="shared" si="12"/>
        <v>0</v>
      </c>
      <c r="L43" s="40">
        <f t="shared" si="12"/>
        <v>0</v>
      </c>
      <c r="M43" s="40">
        <f t="shared" si="12"/>
        <v>0</v>
      </c>
      <c r="N43" s="40">
        <f t="shared" si="12"/>
        <v>0</v>
      </c>
      <c r="O43" s="41">
        <f t="shared" si="5"/>
        <v>0</v>
      </c>
    </row>
    <row r="44" spans="2:15" s="9" customFormat="1" ht="15.75" x14ac:dyDescent="0.25">
      <c r="B44" s="47" t="s">
        <v>247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46">
        <f t="shared" si="5"/>
        <v>0</v>
      </c>
    </row>
    <row r="45" spans="2:15" s="9" customFormat="1" ht="15.75" x14ac:dyDescent="0.25">
      <c r="B45" s="12" t="s">
        <v>68</v>
      </c>
      <c r="C45" s="37">
        <v>0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5">
        <f t="shared" si="5"/>
        <v>0</v>
      </c>
    </row>
    <row r="46" spans="2:15" s="9" customFormat="1" ht="15.75" x14ac:dyDescent="0.25">
      <c r="B46" s="12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5">
        <f t="shared" si="5"/>
        <v>0</v>
      </c>
    </row>
    <row r="47" spans="2:15" s="9" customFormat="1" ht="19.5" x14ac:dyDescent="0.25">
      <c r="B47" s="19" t="s">
        <v>69</v>
      </c>
      <c r="C47" s="48">
        <f t="shared" ref="C47:N47" si="13">SUM(C48,C50,C53,C75,C99,C105,C116,C120,C123,C126,C130,C133)</f>
        <v>0</v>
      </c>
      <c r="D47" s="48">
        <f t="shared" si="13"/>
        <v>0</v>
      </c>
      <c r="E47" s="48">
        <f t="shared" si="13"/>
        <v>0</v>
      </c>
      <c r="F47" s="48">
        <f t="shared" si="13"/>
        <v>0</v>
      </c>
      <c r="G47" s="48">
        <f t="shared" si="13"/>
        <v>0</v>
      </c>
      <c r="H47" s="48">
        <f t="shared" si="13"/>
        <v>0</v>
      </c>
      <c r="I47" s="48">
        <f t="shared" si="13"/>
        <v>0</v>
      </c>
      <c r="J47" s="48">
        <f t="shared" si="13"/>
        <v>0</v>
      </c>
      <c r="K47" s="48">
        <f t="shared" si="13"/>
        <v>0</v>
      </c>
      <c r="L47" s="48">
        <f t="shared" si="13"/>
        <v>0</v>
      </c>
      <c r="M47" s="48">
        <f t="shared" si="13"/>
        <v>0</v>
      </c>
      <c r="N47" s="48">
        <f t="shared" si="13"/>
        <v>0</v>
      </c>
      <c r="O47" s="6">
        <f t="shared" si="5"/>
        <v>0</v>
      </c>
    </row>
    <row r="48" spans="2:15" s="42" customFormat="1" ht="19.5" x14ac:dyDescent="0.4">
      <c r="B48" s="15" t="s">
        <v>70</v>
      </c>
      <c r="C48" s="43">
        <f>SUM(C49)</f>
        <v>0</v>
      </c>
      <c r="D48" s="43">
        <f t="shared" ref="D48:N48" si="14">SUM(D49)</f>
        <v>0</v>
      </c>
      <c r="E48" s="43">
        <f t="shared" si="14"/>
        <v>0</v>
      </c>
      <c r="F48" s="43">
        <f t="shared" si="14"/>
        <v>0</v>
      </c>
      <c r="G48" s="43">
        <f t="shared" si="14"/>
        <v>0</v>
      </c>
      <c r="H48" s="43">
        <f t="shared" si="14"/>
        <v>0</v>
      </c>
      <c r="I48" s="43">
        <f t="shared" si="14"/>
        <v>0</v>
      </c>
      <c r="J48" s="43">
        <f t="shared" si="14"/>
        <v>0</v>
      </c>
      <c r="K48" s="43">
        <f t="shared" si="14"/>
        <v>0</v>
      </c>
      <c r="L48" s="43">
        <f t="shared" si="14"/>
        <v>0</v>
      </c>
      <c r="M48" s="43">
        <f t="shared" si="14"/>
        <v>0</v>
      </c>
      <c r="N48" s="43">
        <f t="shared" si="14"/>
        <v>0</v>
      </c>
      <c r="O48" s="44">
        <f t="shared" si="5"/>
        <v>0</v>
      </c>
    </row>
    <row r="49" spans="2:15" s="9" customFormat="1" ht="15.75" x14ac:dyDescent="0.25">
      <c r="B49" s="12" t="s">
        <v>71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5">
        <f t="shared" si="5"/>
        <v>0</v>
      </c>
    </row>
    <row r="50" spans="2:15" s="42" customFormat="1" ht="19.5" x14ac:dyDescent="0.4">
      <c r="B50" s="15" t="s">
        <v>72</v>
      </c>
      <c r="C50" s="43">
        <f t="shared" ref="C50:N50" si="15">SUM(C51:C52)</f>
        <v>0</v>
      </c>
      <c r="D50" s="43">
        <f t="shared" si="15"/>
        <v>0</v>
      </c>
      <c r="E50" s="43">
        <f t="shared" si="15"/>
        <v>0</v>
      </c>
      <c r="F50" s="43">
        <f t="shared" si="15"/>
        <v>0</v>
      </c>
      <c r="G50" s="43">
        <f t="shared" si="15"/>
        <v>0</v>
      </c>
      <c r="H50" s="43">
        <f t="shared" si="15"/>
        <v>0</v>
      </c>
      <c r="I50" s="43">
        <f t="shared" si="15"/>
        <v>0</v>
      </c>
      <c r="J50" s="43">
        <f t="shared" si="15"/>
        <v>0</v>
      </c>
      <c r="K50" s="43">
        <f t="shared" si="15"/>
        <v>0</v>
      </c>
      <c r="L50" s="43">
        <f t="shared" si="15"/>
        <v>0</v>
      </c>
      <c r="M50" s="43">
        <f t="shared" si="15"/>
        <v>0</v>
      </c>
      <c r="N50" s="43">
        <f t="shared" si="15"/>
        <v>0</v>
      </c>
      <c r="O50" s="44">
        <f t="shared" si="5"/>
        <v>0</v>
      </c>
    </row>
    <row r="51" spans="2:15" s="9" customFormat="1" ht="15.75" x14ac:dyDescent="0.25">
      <c r="B51" s="12" t="s">
        <v>73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5">
        <f t="shared" si="5"/>
        <v>0</v>
      </c>
    </row>
    <row r="52" spans="2:15" s="9" customFormat="1" ht="15.75" x14ac:dyDescent="0.25">
      <c r="B52" s="12" t="s">
        <v>74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5">
        <f t="shared" si="5"/>
        <v>0</v>
      </c>
    </row>
    <row r="53" spans="2:15" s="42" customFormat="1" ht="19.5" x14ac:dyDescent="0.4">
      <c r="B53" s="15" t="s">
        <v>75</v>
      </c>
      <c r="C53" s="43">
        <f>SUM(C54:C74)</f>
        <v>0</v>
      </c>
      <c r="D53" s="43">
        <f>SUM(D54:D74)</f>
        <v>0</v>
      </c>
      <c r="E53" s="43">
        <f t="shared" ref="E53:N53" si="16">SUM(E54:E74)</f>
        <v>0</v>
      </c>
      <c r="F53" s="43">
        <f t="shared" si="16"/>
        <v>0</v>
      </c>
      <c r="G53" s="43">
        <f t="shared" si="16"/>
        <v>0</v>
      </c>
      <c r="H53" s="43">
        <f t="shared" si="16"/>
        <v>0</v>
      </c>
      <c r="I53" s="43">
        <f t="shared" si="16"/>
        <v>0</v>
      </c>
      <c r="J53" s="43">
        <f t="shared" si="16"/>
        <v>0</v>
      </c>
      <c r="K53" s="43">
        <f t="shared" si="16"/>
        <v>0</v>
      </c>
      <c r="L53" s="43">
        <f t="shared" si="16"/>
        <v>0</v>
      </c>
      <c r="M53" s="43">
        <f t="shared" si="16"/>
        <v>0</v>
      </c>
      <c r="N53" s="43">
        <f t="shared" si="16"/>
        <v>0</v>
      </c>
      <c r="O53" s="44">
        <f>SUM(C53:N53)</f>
        <v>0</v>
      </c>
    </row>
    <row r="54" spans="2:15" s="9" customFormat="1" ht="15.75" x14ac:dyDescent="0.25">
      <c r="B54" s="12" t="s">
        <v>76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5">
        <f t="shared" si="5"/>
        <v>0</v>
      </c>
    </row>
    <row r="55" spans="2:15" s="9" customFormat="1" ht="15.75" x14ac:dyDescent="0.25">
      <c r="B55" s="12" t="s">
        <v>77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5">
        <f t="shared" si="5"/>
        <v>0</v>
      </c>
    </row>
    <row r="56" spans="2:15" s="9" customFormat="1" ht="15.75" x14ac:dyDescent="0.25">
      <c r="B56" s="12" t="s">
        <v>78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5">
        <f t="shared" si="5"/>
        <v>0</v>
      </c>
    </row>
    <row r="57" spans="2:15" s="9" customFormat="1" ht="15.75" x14ac:dyDescent="0.25">
      <c r="B57" s="12" t="s">
        <v>79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5">
        <f t="shared" si="5"/>
        <v>0</v>
      </c>
    </row>
    <row r="58" spans="2:15" s="9" customFormat="1" ht="15.75" x14ac:dyDescent="0.25">
      <c r="B58" s="12" t="s">
        <v>80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5">
        <f t="shared" si="5"/>
        <v>0</v>
      </c>
    </row>
    <row r="59" spans="2:15" s="9" customFormat="1" ht="15.75" x14ac:dyDescent="0.25">
      <c r="B59" s="12" t="s">
        <v>81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5">
        <f t="shared" si="5"/>
        <v>0</v>
      </c>
    </row>
    <row r="60" spans="2:15" s="9" customFormat="1" ht="15.75" x14ac:dyDescent="0.25">
      <c r="B60" s="12" t="s">
        <v>82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5">
        <f t="shared" si="5"/>
        <v>0</v>
      </c>
    </row>
    <row r="61" spans="2:15" s="9" customFormat="1" ht="15.75" x14ac:dyDescent="0.25">
      <c r="B61" s="12" t="s">
        <v>83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5">
        <f t="shared" si="5"/>
        <v>0</v>
      </c>
    </row>
    <row r="62" spans="2:15" s="9" customFormat="1" ht="15.75" x14ac:dyDescent="0.25">
      <c r="B62" s="12" t="s">
        <v>84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5">
        <f t="shared" si="5"/>
        <v>0</v>
      </c>
    </row>
    <row r="63" spans="2:15" s="9" customFormat="1" ht="15.75" x14ac:dyDescent="0.25">
      <c r="B63" s="12" t="s">
        <v>85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5">
        <f t="shared" si="5"/>
        <v>0</v>
      </c>
    </row>
    <row r="64" spans="2:15" s="9" customFormat="1" ht="15.75" x14ac:dyDescent="0.25">
      <c r="B64" s="12" t="s">
        <v>86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  <c r="K64" s="37">
        <v>0</v>
      </c>
      <c r="L64" s="37">
        <v>0</v>
      </c>
      <c r="M64" s="37">
        <v>0</v>
      </c>
      <c r="N64" s="37">
        <v>0</v>
      </c>
      <c r="O64" s="5">
        <f t="shared" si="5"/>
        <v>0</v>
      </c>
    </row>
    <row r="65" spans="2:18" s="9" customFormat="1" ht="15.75" x14ac:dyDescent="0.25">
      <c r="B65" s="12" t="s">
        <v>87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5">
        <f t="shared" si="5"/>
        <v>0</v>
      </c>
    </row>
    <row r="66" spans="2:18" s="9" customFormat="1" ht="15.75" x14ac:dyDescent="0.25">
      <c r="B66" s="12" t="s">
        <v>88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5">
        <f t="shared" si="5"/>
        <v>0</v>
      </c>
      <c r="R66" s="9">
        <v>12000</v>
      </c>
    </row>
    <row r="67" spans="2:18" s="9" customFormat="1" ht="15.75" x14ac:dyDescent="0.25">
      <c r="B67" s="12" t="s">
        <v>89</v>
      </c>
      <c r="C67" s="37">
        <v>0</v>
      </c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0</v>
      </c>
      <c r="J67" s="37">
        <v>0</v>
      </c>
      <c r="K67" s="37">
        <v>0</v>
      </c>
      <c r="L67" s="37">
        <v>0</v>
      </c>
      <c r="M67" s="37">
        <v>0</v>
      </c>
      <c r="N67" s="37">
        <v>0</v>
      </c>
      <c r="O67" s="5">
        <f t="shared" si="5"/>
        <v>0</v>
      </c>
      <c r="R67" s="9">
        <v>11</v>
      </c>
    </row>
    <row r="68" spans="2:18" s="9" customFormat="1" ht="15.75" x14ac:dyDescent="0.25">
      <c r="B68" s="12" t="s">
        <v>90</v>
      </c>
      <c r="C68" s="37">
        <v>0</v>
      </c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5">
        <f>SUM(C68:N68)</f>
        <v>0</v>
      </c>
      <c r="R68" s="9">
        <f>SUM(R66/R67)</f>
        <v>1090.909090909091</v>
      </c>
    </row>
    <row r="69" spans="2:18" s="9" customFormat="1" ht="15.75" x14ac:dyDescent="0.25">
      <c r="B69" s="12" t="s">
        <v>91</v>
      </c>
      <c r="C69" s="37">
        <v>0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5">
        <f t="shared" si="5"/>
        <v>0</v>
      </c>
    </row>
    <row r="70" spans="2:18" s="9" customFormat="1" ht="15.75" x14ac:dyDescent="0.25">
      <c r="B70" s="12" t="s">
        <v>92</v>
      </c>
      <c r="C70" s="37">
        <v>0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5">
        <f t="shared" si="5"/>
        <v>0</v>
      </c>
    </row>
    <row r="71" spans="2:18" s="9" customFormat="1" ht="15.75" x14ac:dyDescent="0.25">
      <c r="B71" s="12" t="s">
        <v>93</v>
      </c>
      <c r="C71" s="37">
        <v>0</v>
      </c>
      <c r="D71" s="37">
        <v>0</v>
      </c>
      <c r="E71" s="37">
        <v>0</v>
      </c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5">
        <f t="shared" si="5"/>
        <v>0</v>
      </c>
    </row>
    <row r="72" spans="2:18" s="9" customFormat="1" ht="15.75" x14ac:dyDescent="0.25">
      <c r="B72" s="12" t="s">
        <v>94</v>
      </c>
      <c r="C72" s="37">
        <v>0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5">
        <f t="shared" si="5"/>
        <v>0</v>
      </c>
    </row>
    <row r="73" spans="2:18" s="9" customFormat="1" ht="15.75" x14ac:dyDescent="0.25">
      <c r="B73" s="12" t="s">
        <v>95</v>
      </c>
      <c r="C73" s="37">
        <v>0</v>
      </c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5">
        <f t="shared" si="5"/>
        <v>0</v>
      </c>
    </row>
    <row r="74" spans="2:18" s="9" customFormat="1" ht="15.75" x14ac:dyDescent="0.25">
      <c r="B74" s="12" t="s">
        <v>96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5">
        <f>SUM(C74:N74)</f>
        <v>0</v>
      </c>
    </row>
    <row r="75" spans="2:18" s="9" customFormat="1" ht="19.5" x14ac:dyDescent="0.25">
      <c r="B75" s="15" t="s">
        <v>97</v>
      </c>
      <c r="C75" s="38">
        <f t="shared" ref="C75:N75" si="17">SUM(C76:C98)</f>
        <v>0</v>
      </c>
      <c r="D75" s="38">
        <f t="shared" si="17"/>
        <v>0</v>
      </c>
      <c r="E75" s="38">
        <f t="shared" si="17"/>
        <v>0</v>
      </c>
      <c r="F75" s="38">
        <f t="shared" si="17"/>
        <v>0</v>
      </c>
      <c r="G75" s="38">
        <f t="shared" si="17"/>
        <v>0</v>
      </c>
      <c r="H75" s="38">
        <f t="shared" si="17"/>
        <v>0</v>
      </c>
      <c r="I75" s="38">
        <f t="shared" si="17"/>
        <v>0</v>
      </c>
      <c r="J75" s="38">
        <f t="shared" si="17"/>
        <v>0</v>
      </c>
      <c r="K75" s="38">
        <f t="shared" si="17"/>
        <v>0</v>
      </c>
      <c r="L75" s="38">
        <f t="shared" si="17"/>
        <v>0</v>
      </c>
      <c r="M75" s="38">
        <f t="shared" si="17"/>
        <v>0</v>
      </c>
      <c r="N75" s="38">
        <f t="shared" si="17"/>
        <v>0</v>
      </c>
      <c r="O75" s="7">
        <f>SUM(C75:N75)</f>
        <v>0</v>
      </c>
    </row>
    <row r="76" spans="2:18" s="9" customFormat="1" ht="15.75" x14ac:dyDescent="0.25">
      <c r="B76" s="12" t="s">
        <v>98</v>
      </c>
      <c r="C76" s="37">
        <v>0</v>
      </c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0</v>
      </c>
      <c r="J76" s="37">
        <v>0</v>
      </c>
      <c r="K76" s="37">
        <v>0</v>
      </c>
      <c r="L76" s="37">
        <v>0</v>
      </c>
      <c r="M76" s="37">
        <v>0</v>
      </c>
      <c r="N76" s="37">
        <v>0</v>
      </c>
      <c r="O76" s="5">
        <f t="shared" ref="O76:O138" si="18">SUM(C76:N76)</f>
        <v>0</v>
      </c>
    </row>
    <row r="77" spans="2:18" s="9" customFormat="1" ht="15.75" x14ac:dyDescent="0.25">
      <c r="B77" s="12" t="s">
        <v>99</v>
      </c>
      <c r="C77" s="37">
        <v>0</v>
      </c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5">
        <f t="shared" si="18"/>
        <v>0</v>
      </c>
    </row>
    <row r="78" spans="2:18" s="9" customFormat="1" ht="15.75" x14ac:dyDescent="0.25">
      <c r="B78" s="12" t="s">
        <v>100</v>
      </c>
      <c r="C78" s="37">
        <v>0</v>
      </c>
      <c r="D78" s="37">
        <v>0</v>
      </c>
      <c r="E78" s="37">
        <v>0</v>
      </c>
      <c r="F78" s="37">
        <v>0</v>
      </c>
      <c r="G78" s="37">
        <v>0</v>
      </c>
      <c r="H78" s="37">
        <v>0</v>
      </c>
      <c r="I78" s="37">
        <v>0</v>
      </c>
      <c r="J78" s="37">
        <v>0</v>
      </c>
      <c r="K78" s="37">
        <v>0</v>
      </c>
      <c r="L78" s="37">
        <v>0</v>
      </c>
      <c r="M78" s="37">
        <v>0</v>
      </c>
      <c r="N78" s="37">
        <v>0</v>
      </c>
      <c r="O78" s="5">
        <f t="shared" si="18"/>
        <v>0</v>
      </c>
    </row>
    <row r="79" spans="2:18" s="9" customFormat="1" ht="15.75" x14ac:dyDescent="0.25">
      <c r="B79" s="12" t="s">
        <v>101</v>
      </c>
      <c r="C79" s="37">
        <v>0</v>
      </c>
      <c r="D79" s="37">
        <v>0</v>
      </c>
      <c r="E79" s="37">
        <v>0</v>
      </c>
      <c r="F79" s="37">
        <v>0</v>
      </c>
      <c r="G79" s="37">
        <v>0</v>
      </c>
      <c r="H79" s="37">
        <v>0</v>
      </c>
      <c r="I79" s="37">
        <v>0</v>
      </c>
      <c r="J79" s="37">
        <v>0</v>
      </c>
      <c r="K79" s="37">
        <v>0</v>
      </c>
      <c r="L79" s="37">
        <v>0</v>
      </c>
      <c r="M79" s="37">
        <v>0</v>
      </c>
      <c r="N79" s="37">
        <v>0</v>
      </c>
      <c r="O79" s="5">
        <f t="shared" si="18"/>
        <v>0</v>
      </c>
    </row>
    <row r="80" spans="2:18" s="9" customFormat="1" ht="15.75" x14ac:dyDescent="0.25">
      <c r="B80" s="12" t="s">
        <v>102</v>
      </c>
      <c r="C80" s="37">
        <v>0</v>
      </c>
      <c r="D80" s="37">
        <v>0</v>
      </c>
      <c r="E80" s="37">
        <v>0</v>
      </c>
      <c r="F80" s="37">
        <v>0</v>
      </c>
      <c r="G80" s="37">
        <v>0</v>
      </c>
      <c r="H80" s="37">
        <v>0</v>
      </c>
      <c r="I80" s="37">
        <v>0</v>
      </c>
      <c r="J80" s="37">
        <v>0</v>
      </c>
      <c r="K80" s="37">
        <v>0</v>
      </c>
      <c r="L80" s="37">
        <v>0</v>
      </c>
      <c r="M80" s="37">
        <v>0</v>
      </c>
      <c r="N80" s="37">
        <v>0</v>
      </c>
      <c r="O80" s="5">
        <f t="shared" si="18"/>
        <v>0</v>
      </c>
    </row>
    <row r="81" spans="2:15" s="9" customFormat="1" ht="15.75" x14ac:dyDescent="0.25">
      <c r="B81" s="12" t="s">
        <v>103</v>
      </c>
      <c r="C81" s="37">
        <v>0</v>
      </c>
      <c r="D81" s="37">
        <v>0</v>
      </c>
      <c r="E81" s="37">
        <v>0</v>
      </c>
      <c r="F81" s="37">
        <v>0</v>
      </c>
      <c r="G81" s="37">
        <v>0</v>
      </c>
      <c r="H81" s="37">
        <v>0</v>
      </c>
      <c r="I81" s="37">
        <v>0</v>
      </c>
      <c r="J81" s="37">
        <v>0</v>
      </c>
      <c r="K81" s="37">
        <v>0</v>
      </c>
      <c r="L81" s="37">
        <v>0</v>
      </c>
      <c r="M81" s="37">
        <v>0</v>
      </c>
      <c r="N81" s="37">
        <v>0</v>
      </c>
      <c r="O81" s="5">
        <f t="shared" si="18"/>
        <v>0</v>
      </c>
    </row>
    <row r="82" spans="2:15" s="9" customFormat="1" ht="15.75" x14ac:dyDescent="0.25">
      <c r="B82" s="12" t="s">
        <v>104</v>
      </c>
      <c r="C82" s="37">
        <v>0</v>
      </c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0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5">
        <f t="shared" si="18"/>
        <v>0</v>
      </c>
    </row>
    <row r="83" spans="2:15" s="9" customFormat="1" ht="15.75" x14ac:dyDescent="0.25">
      <c r="B83" s="12" t="s">
        <v>105</v>
      </c>
      <c r="C83" s="37">
        <v>0</v>
      </c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0</v>
      </c>
      <c r="J83" s="37">
        <v>0</v>
      </c>
      <c r="K83" s="37">
        <v>0</v>
      </c>
      <c r="L83" s="37">
        <v>0</v>
      </c>
      <c r="M83" s="37">
        <v>0</v>
      </c>
      <c r="N83" s="37">
        <v>0</v>
      </c>
      <c r="O83" s="5">
        <f t="shared" si="18"/>
        <v>0</v>
      </c>
    </row>
    <row r="84" spans="2:15" s="9" customFormat="1" ht="15.75" x14ac:dyDescent="0.25">
      <c r="B84" s="12" t="s">
        <v>106</v>
      </c>
      <c r="C84" s="37">
        <v>0</v>
      </c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0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5">
        <f t="shared" si="18"/>
        <v>0</v>
      </c>
    </row>
    <row r="85" spans="2:15" s="9" customFormat="1" ht="15.75" x14ac:dyDescent="0.25">
      <c r="B85" s="12" t="s">
        <v>107</v>
      </c>
      <c r="C85" s="37">
        <v>0</v>
      </c>
      <c r="D85" s="37">
        <v>0</v>
      </c>
      <c r="E85" s="37">
        <v>0</v>
      </c>
      <c r="F85" s="37">
        <v>0</v>
      </c>
      <c r="G85" s="37">
        <v>0</v>
      </c>
      <c r="H85" s="37">
        <v>0</v>
      </c>
      <c r="I85" s="37">
        <v>0</v>
      </c>
      <c r="J85" s="37">
        <v>0</v>
      </c>
      <c r="K85" s="37">
        <v>0</v>
      </c>
      <c r="L85" s="37">
        <v>0</v>
      </c>
      <c r="M85" s="37">
        <v>0</v>
      </c>
      <c r="N85" s="37">
        <v>0</v>
      </c>
      <c r="O85" s="5">
        <f t="shared" si="18"/>
        <v>0</v>
      </c>
    </row>
    <row r="86" spans="2:15" s="9" customFormat="1" ht="15.75" x14ac:dyDescent="0.25">
      <c r="B86" s="12" t="s">
        <v>108</v>
      </c>
      <c r="C86" s="37">
        <v>0</v>
      </c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5">
        <f t="shared" si="18"/>
        <v>0</v>
      </c>
    </row>
    <row r="87" spans="2:15" s="9" customFormat="1" ht="15.75" x14ac:dyDescent="0.25">
      <c r="B87" s="12" t="s">
        <v>109</v>
      </c>
      <c r="C87" s="37">
        <v>0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5">
        <f t="shared" si="18"/>
        <v>0</v>
      </c>
    </row>
    <row r="88" spans="2:15" s="9" customFormat="1" ht="15.75" x14ac:dyDescent="0.25">
      <c r="B88" s="12" t="s">
        <v>110</v>
      </c>
      <c r="C88" s="37">
        <v>0</v>
      </c>
      <c r="D88" s="37">
        <v>0</v>
      </c>
      <c r="E88" s="37">
        <v>0</v>
      </c>
      <c r="F88" s="37">
        <v>0</v>
      </c>
      <c r="G88" s="37">
        <v>0</v>
      </c>
      <c r="H88" s="37">
        <v>0</v>
      </c>
      <c r="I88" s="37">
        <v>0</v>
      </c>
      <c r="J88" s="37">
        <v>0</v>
      </c>
      <c r="K88" s="37">
        <v>0</v>
      </c>
      <c r="L88" s="37">
        <v>0</v>
      </c>
      <c r="M88" s="37">
        <v>0</v>
      </c>
      <c r="N88" s="37">
        <v>0</v>
      </c>
      <c r="O88" s="5">
        <f t="shared" si="18"/>
        <v>0</v>
      </c>
    </row>
    <row r="89" spans="2:15" s="9" customFormat="1" ht="15.75" x14ac:dyDescent="0.25">
      <c r="B89" s="12" t="s">
        <v>111</v>
      </c>
      <c r="C89" s="37">
        <v>0</v>
      </c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0</v>
      </c>
      <c r="J89" s="37">
        <v>0</v>
      </c>
      <c r="K89" s="37">
        <v>0</v>
      </c>
      <c r="L89" s="37">
        <v>0</v>
      </c>
      <c r="M89" s="37">
        <v>0</v>
      </c>
      <c r="N89" s="37">
        <v>0</v>
      </c>
      <c r="O89" s="5">
        <f t="shared" si="18"/>
        <v>0</v>
      </c>
    </row>
    <row r="90" spans="2:15" s="9" customFormat="1" ht="15.75" x14ac:dyDescent="0.25">
      <c r="B90" s="12" t="s">
        <v>112</v>
      </c>
      <c r="C90" s="37">
        <v>0</v>
      </c>
      <c r="D90" s="37">
        <v>0</v>
      </c>
      <c r="E90" s="37">
        <v>0</v>
      </c>
      <c r="F90" s="37">
        <v>0</v>
      </c>
      <c r="G90" s="37">
        <v>0</v>
      </c>
      <c r="H90" s="37">
        <v>0</v>
      </c>
      <c r="I90" s="37">
        <v>0</v>
      </c>
      <c r="J90" s="37">
        <v>0</v>
      </c>
      <c r="K90" s="37">
        <v>0</v>
      </c>
      <c r="L90" s="37">
        <v>0</v>
      </c>
      <c r="M90" s="37">
        <v>0</v>
      </c>
      <c r="N90" s="37">
        <v>0</v>
      </c>
      <c r="O90" s="5">
        <f t="shared" si="18"/>
        <v>0</v>
      </c>
    </row>
    <row r="91" spans="2:15" s="9" customFormat="1" ht="15.75" x14ac:dyDescent="0.25">
      <c r="B91" s="12" t="s">
        <v>113</v>
      </c>
      <c r="C91" s="37">
        <v>0</v>
      </c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5">
        <f t="shared" si="18"/>
        <v>0</v>
      </c>
    </row>
    <row r="92" spans="2:15" s="9" customFormat="1" ht="15.75" x14ac:dyDescent="0.25">
      <c r="B92" s="12" t="s">
        <v>114</v>
      </c>
      <c r="C92" s="37">
        <v>0</v>
      </c>
      <c r="D92" s="37">
        <v>0</v>
      </c>
      <c r="E92" s="37">
        <v>0</v>
      </c>
      <c r="F92" s="37">
        <v>0</v>
      </c>
      <c r="G92" s="37">
        <v>0</v>
      </c>
      <c r="H92" s="37">
        <v>0</v>
      </c>
      <c r="I92" s="37">
        <v>0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5">
        <f t="shared" si="18"/>
        <v>0</v>
      </c>
    </row>
    <row r="93" spans="2:15" s="9" customFormat="1" ht="15.75" x14ac:dyDescent="0.25">
      <c r="B93" s="12" t="s">
        <v>115</v>
      </c>
      <c r="C93" s="37">
        <v>0</v>
      </c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0</v>
      </c>
      <c r="J93" s="37">
        <v>0</v>
      </c>
      <c r="K93" s="37">
        <v>0</v>
      </c>
      <c r="L93" s="37">
        <v>0</v>
      </c>
      <c r="M93" s="37">
        <v>0</v>
      </c>
      <c r="N93" s="37">
        <v>0</v>
      </c>
      <c r="O93" s="5">
        <f t="shared" si="18"/>
        <v>0</v>
      </c>
    </row>
    <row r="94" spans="2:15" s="9" customFormat="1" ht="15.75" x14ac:dyDescent="0.25">
      <c r="B94" s="12" t="s">
        <v>116</v>
      </c>
      <c r="C94" s="37">
        <v>0</v>
      </c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0</v>
      </c>
      <c r="J94" s="37">
        <v>0</v>
      </c>
      <c r="K94" s="37">
        <v>0</v>
      </c>
      <c r="L94" s="37">
        <v>0</v>
      </c>
      <c r="M94" s="37">
        <v>0</v>
      </c>
      <c r="N94" s="37">
        <v>0</v>
      </c>
      <c r="O94" s="5">
        <f t="shared" si="18"/>
        <v>0</v>
      </c>
    </row>
    <row r="95" spans="2:15" s="9" customFormat="1" ht="15.75" x14ac:dyDescent="0.25">
      <c r="B95" s="12" t="s">
        <v>117</v>
      </c>
      <c r="C95" s="37">
        <v>0</v>
      </c>
      <c r="D95" s="37">
        <v>0</v>
      </c>
      <c r="E95" s="37">
        <v>0</v>
      </c>
      <c r="F95" s="37">
        <v>0</v>
      </c>
      <c r="G95" s="37">
        <v>0</v>
      </c>
      <c r="H95" s="37">
        <v>0</v>
      </c>
      <c r="I95" s="37">
        <v>0</v>
      </c>
      <c r="J95" s="37">
        <v>0</v>
      </c>
      <c r="K95" s="37">
        <v>0</v>
      </c>
      <c r="L95" s="37">
        <v>0</v>
      </c>
      <c r="M95" s="37">
        <v>0</v>
      </c>
      <c r="N95" s="37">
        <v>0</v>
      </c>
      <c r="O95" s="5">
        <f t="shared" si="18"/>
        <v>0</v>
      </c>
    </row>
    <row r="96" spans="2:15" s="9" customFormat="1" ht="15.75" x14ac:dyDescent="0.25">
      <c r="B96" s="12" t="s">
        <v>118</v>
      </c>
      <c r="C96" s="37">
        <v>0</v>
      </c>
      <c r="D96" s="37">
        <v>0</v>
      </c>
      <c r="E96" s="37">
        <v>0</v>
      </c>
      <c r="F96" s="37">
        <v>0</v>
      </c>
      <c r="G96" s="37">
        <v>0</v>
      </c>
      <c r="H96" s="37">
        <v>0</v>
      </c>
      <c r="I96" s="37">
        <v>0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5">
        <f t="shared" si="18"/>
        <v>0</v>
      </c>
    </row>
    <row r="97" spans="2:15" s="9" customFormat="1" ht="15.75" x14ac:dyDescent="0.25">
      <c r="B97" s="12" t="s">
        <v>119</v>
      </c>
      <c r="C97" s="37">
        <v>0</v>
      </c>
      <c r="D97" s="37">
        <v>0</v>
      </c>
      <c r="E97" s="37">
        <v>0</v>
      </c>
      <c r="F97" s="37">
        <v>0</v>
      </c>
      <c r="G97" s="37">
        <v>0</v>
      </c>
      <c r="H97" s="37">
        <v>0</v>
      </c>
      <c r="I97" s="37">
        <v>0</v>
      </c>
      <c r="J97" s="37">
        <v>0</v>
      </c>
      <c r="K97" s="37">
        <v>0</v>
      </c>
      <c r="L97" s="37">
        <v>0</v>
      </c>
      <c r="M97" s="37">
        <v>0</v>
      </c>
      <c r="N97" s="37">
        <v>0</v>
      </c>
      <c r="O97" s="5">
        <f t="shared" si="18"/>
        <v>0</v>
      </c>
    </row>
    <row r="98" spans="2:15" s="9" customFormat="1" ht="15.75" x14ac:dyDescent="0.25">
      <c r="B98" s="12" t="s">
        <v>120</v>
      </c>
      <c r="C98" s="37">
        <v>0</v>
      </c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0</v>
      </c>
      <c r="J98" s="37">
        <v>0</v>
      </c>
      <c r="K98" s="37">
        <v>0</v>
      </c>
      <c r="L98" s="37">
        <v>0</v>
      </c>
      <c r="M98" s="37">
        <v>0</v>
      </c>
      <c r="N98" s="37">
        <v>0</v>
      </c>
      <c r="O98" s="5">
        <f t="shared" si="18"/>
        <v>0</v>
      </c>
    </row>
    <row r="99" spans="2:15" s="9" customFormat="1" ht="19.5" x14ac:dyDescent="0.25">
      <c r="B99" s="15" t="s">
        <v>121</v>
      </c>
      <c r="C99" s="38">
        <f>SUM(C100:C104)</f>
        <v>0</v>
      </c>
      <c r="D99" s="38">
        <f t="shared" ref="D99:N99" si="19">SUM(D100:D104)</f>
        <v>0</v>
      </c>
      <c r="E99" s="38">
        <f t="shared" si="19"/>
        <v>0</v>
      </c>
      <c r="F99" s="38">
        <f t="shared" si="19"/>
        <v>0</v>
      </c>
      <c r="G99" s="38">
        <f t="shared" si="19"/>
        <v>0</v>
      </c>
      <c r="H99" s="38">
        <f t="shared" si="19"/>
        <v>0</v>
      </c>
      <c r="I99" s="38">
        <f t="shared" si="19"/>
        <v>0</v>
      </c>
      <c r="J99" s="38">
        <f t="shared" si="19"/>
        <v>0</v>
      </c>
      <c r="K99" s="38">
        <f t="shared" si="19"/>
        <v>0</v>
      </c>
      <c r="L99" s="38">
        <f t="shared" si="19"/>
        <v>0</v>
      </c>
      <c r="M99" s="38">
        <f t="shared" si="19"/>
        <v>0</v>
      </c>
      <c r="N99" s="38">
        <f t="shared" si="19"/>
        <v>0</v>
      </c>
      <c r="O99" s="7">
        <f>SUM(C99:N99)</f>
        <v>0</v>
      </c>
    </row>
    <row r="100" spans="2:15" s="9" customFormat="1" ht="15.75" x14ac:dyDescent="0.25">
      <c r="B100" s="36" t="s">
        <v>122</v>
      </c>
      <c r="C100" s="37">
        <v>0</v>
      </c>
      <c r="D100" s="37">
        <v>0</v>
      </c>
      <c r="E100" s="37">
        <v>0</v>
      </c>
      <c r="F100" s="37">
        <v>0</v>
      </c>
      <c r="G100" s="37">
        <v>0</v>
      </c>
      <c r="H100" s="37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5">
        <f t="shared" si="18"/>
        <v>0</v>
      </c>
    </row>
    <row r="101" spans="2:15" s="9" customFormat="1" ht="15.75" x14ac:dyDescent="0.25">
      <c r="B101" s="36" t="s">
        <v>123</v>
      </c>
      <c r="C101" s="37">
        <v>0</v>
      </c>
      <c r="D101" s="37">
        <v>0</v>
      </c>
      <c r="E101" s="37">
        <v>0</v>
      </c>
      <c r="F101" s="37">
        <v>0</v>
      </c>
      <c r="G101" s="37">
        <v>0</v>
      </c>
      <c r="H101" s="37">
        <v>0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5">
        <f t="shared" si="18"/>
        <v>0</v>
      </c>
    </row>
    <row r="102" spans="2:15" s="9" customFormat="1" ht="15.75" x14ac:dyDescent="0.25">
      <c r="B102" s="36" t="s">
        <v>124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>
        <v>0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5">
        <f t="shared" si="18"/>
        <v>0</v>
      </c>
    </row>
    <row r="103" spans="2:15" s="9" customFormat="1" ht="15.75" x14ac:dyDescent="0.25">
      <c r="B103" s="12" t="s">
        <v>125</v>
      </c>
      <c r="C103" s="37">
        <v>0</v>
      </c>
      <c r="D103" s="37">
        <v>0</v>
      </c>
      <c r="E103" s="37">
        <v>0</v>
      </c>
      <c r="F103" s="37">
        <v>0</v>
      </c>
      <c r="G103" s="37">
        <v>0</v>
      </c>
      <c r="H103" s="37">
        <v>0</v>
      </c>
      <c r="I103" s="37">
        <v>0</v>
      </c>
      <c r="J103" s="37">
        <v>0</v>
      </c>
      <c r="K103" s="37">
        <v>0</v>
      </c>
      <c r="L103" s="37">
        <v>0</v>
      </c>
      <c r="M103" s="37">
        <v>0</v>
      </c>
      <c r="N103" s="37">
        <v>0</v>
      </c>
      <c r="O103" s="5">
        <f t="shared" si="18"/>
        <v>0</v>
      </c>
    </row>
    <row r="104" spans="2:15" s="9" customFormat="1" ht="15.75" x14ac:dyDescent="0.25">
      <c r="B104" s="12" t="s">
        <v>126</v>
      </c>
      <c r="C104" s="37">
        <v>0</v>
      </c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5">
        <f t="shared" si="18"/>
        <v>0</v>
      </c>
    </row>
    <row r="105" spans="2:15" s="9" customFormat="1" ht="19.5" x14ac:dyDescent="0.25">
      <c r="B105" s="15" t="s">
        <v>127</v>
      </c>
      <c r="C105" s="38">
        <f>SUM(C106:C115)</f>
        <v>0</v>
      </c>
      <c r="D105" s="38">
        <f t="shared" ref="D105:N105" si="20">SUM(D106:D115)</f>
        <v>0</v>
      </c>
      <c r="E105" s="38">
        <f t="shared" si="20"/>
        <v>0</v>
      </c>
      <c r="F105" s="38">
        <f t="shared" si="20"/>
        <v>0</v>
      </c>
      <c r="G105" s="38">
        <f t="shared" si="20"/>
        <v>0</v>
      </c>
      <c r="H105" s="38">
        <f t="shared" si="20"/>
        <v>0</v>
      </c>
      <c r="I105" s="38">
        <f t="shared" si="20"/>
        <v>0</v>
      </c>
      <c r="J105" s="38">
        <f t="shared" si="20"/>
        <v>0</v>
      </c>
      <c r="K105" s="38">
        <f t="shared" si="20"/>
        <v>0</v>
      </c>
      <c r="L105" s="38">
        <f t="shared" si="20"/>
        <v>0</v>
      </c>
      <c r="M105" s="38">
        <f t="shared" si="20"/>
        <v>0</v>
      </c>
      <c r="N105" s="38">
        <f t="shared" si="20"/>
        <v>0</v>
      </c>
      <c r="O105" s="7">
        <f t="shared" si="18"/>
        <v>0</v>
      </c>
    </row>
    <row r="106" spans="2:15" s="9" customFormat="1" ht="15.75" x14ac:dyDescent="0.25">
      <c r="B106" s="12" t="s">
        <v>128</v>
      </c>
      <c r="C106" s="37">
        <v>0</v>
      </c>
      <c r="D106" s="37">
        <v>0</v>
      </c>
      <c r="E106" s="37">
        <v>0</v>
      </c>
      <c r="F106" s="37">
        <v>0</v>
      </c>
      <c r="G106" s="37">
        <v>0</v>
      </c>
      <c r="H106" s="37">
        <v>0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5">
        <f t="shared" si="18"/>
        <v>0</v>
      </c>
    </row>
    <row r="107" spans="2:15" s="9" customFormat="1" ht="15.75" x14ac:dyDescent="0.25">
      <c r="B107" s="12" t="s">
        <v>129</v>
      </c>
      <c r="C107" s="37">
        <v>0</v>
      </c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0</v>
      </c>
      <c r="J107" s="37">
        <v>0</v>
      </c>
      <c r="K107" s="37">
        <v>0</v>
      </c>
      <c r="L107" s="37">
        <v>0</v>
      </c>
      <c r="M107" s="37">
        <v>0</v>
      </c>
      <c r="N107" s="37">
        <v>0</v>
      </c>
      <c r="O107" s="5">
        <f t="shared" si="18"/>
        <v>0</v>
      </c>
    </row>
    <row r="108" spans="2:15" s="9" customFormat="1" ht="15.75" x14ac:dyDescent="0.25">
      <c r="B108" s="12" t="s">
        <v>130</v>
      </c>
      <c r="C108" s="37">
        <v>0</v>
      </c>
      <c r="D108" s="37">
        <v>0</v>
      </c>
      <c r="E108" s="37">
        <v>0</v>
      </c>
      <c r="F108" s="37">
        <v>0</v>
      </c>
      <c r="G108" s="37">
        <v>0</v>
      </c>
      <c r="H108" s="37">
        <v>0</v>
      </c>
      <c r="I108" s="37">
        <v>0</v>
      </c>
      <c r="J108" s="37">
        <v>0</v>
      </c>
      <c r="K108" s="37">
        <v>0</v>
      </c>
      <c r="L108" s="37">
        <v>0</v>
      </c>
      <c r="M108" s="37">
        <v>0</v>
      </c>
      <c r="N108" s="37">
        <v>0</v>
      </c>
      <c r="O108" s="5">
        <f t="shared" si="18"/>
        <v>0</v>
      </c>
    </row>
    <row r="109" spans="2:15" s="9" customFormat="1" ht="15.75" x14ac:dyDescent="0.25">
      <c r="B109" s="12" t="s">
        <v>131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5">
        <f t="shared" si="18"/>
        <v>0</v>
      </c>
    </row>
    <row r="110" spans="2:15" s="9" customFormat="1" ht="15.75" x14ac:dyDescent="0.25">
      <c r="B110" s="12" t="s">
        <v>132</v>
      </c>
      <c r="C110" s="37">
        <v>0</v>
      </c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0</v>
      </c>
      <c r="J110" s="37">
        <v>0</v>
      </c>
      <c r="K110" s="37">
        <v>0</v>
      </c>
      <c r="L110" s="37">
        <v>0</v>
      </c>
      <c r="M110" s="37">
        <v>0</v>
      </c>
      <c r="N110" s="37">
        <v>0</v>
      </c>
      <c r="O110" s="5">
        <f t="shared" si="18"/>
        <v>0</v>
      </c>
    </row>
    <row r="111" spans="2:15" s="9" customFormat="1" ht="15.75" x14ac:dyDescent="0.25">
      <c r="B111" s="12" t="s">
        <v>133</v>
      </c>
      <c r="C111" s="37">
        <v>0</v>
      </c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0</v>
      </c>
      <c r="J111" s="37">
        <v>0</v>
      </c>
      <c r="K111" s="37">
        <v>0</v>
      </c>
      <c r="L111" s="37">
        <v>0</v>
      </c>
      <c r="M111" s="37">
        <v>0</v>
      </c>
      <c r="N111" s="37">
        <v>0</v>
      </c>
      <c r="O111" s="5">
        <f t="shared" si="18"/>
        <v>0</v>
      </c>
    </row>
    <row r="112" spans="2:15" s="9" customFormat="1" ht="15.75" x14ac:dyDescent="0.25">
      <c r="B112" s="12" t="s">
        <v>134</v>
      </c>
      <c r="C112" s="37">
        <v>0</v>
      </c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5">
        <f t="shared" si="18"/>
        <v>0</v>
      </c>
    </row>
    <row r="113" spans="2:15" s="9" customFormat="1" ht="15.75" x14ac:dyDescent="0.25">
      <c r="B113" s="12" t="s">
        <v>135</v>
      </c>
      <c r="C113" s="37">
        <v>0</v>
      </c>
      <c r="D113" s="37">
        <v>0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5">
        <f t="shared" si="18"/>
        <v>0</v>
      </c>
    </row>
    <row r="114" spans="2:15" s="9" customFormat="1" ht="15.75" x14ac:dyDescent="0.25">
      <c r="B114" s="12" t="s">
        <v>136</v>
      </c>
      <c r="C114" s="37">
        <v>0</v>
      </c>
      <c r="D114" s="37">
        <v>0</v>
      </c>
      <c r="E114" s="37">
        <v>0</v>
      </c>
      <c r="F114" s="37">
        <v>0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5">
        <f t="shared" si="18"/>
        <v>0</v>
      </c>
    </row>
    <row r="115" spans="2:15" s="9" customFormat="1" ht="15.75" x14ac:dyDescent="0.25">
      <c r="B115" s="12" t="s">
        <v>137</v>
      </c>
      <c r="C115" s="37">
        <v>0</v>
      </c>
      <c r="D115" s="37">
        <v>0</v>
      </c>
      <c r="E115" s="37">
        <v>0</v>
      </c>
      <c r="F115" s="37">
        <v>0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5">
        <f t="shared" si="18"/>
        <v>0</v>
      </c>
    </row>
    <row r="116" spans="2:15" s="42" customFormat="1" ht="19.5" x14ac:dyDescent="0.4">
      <c r="B116" s="15" t="s">
        <v>138</v>
      </c>
      <c r="C116" s="45">
        <f>SUM(C117:C119)</f>
        <v>0</v>
      </c>
      <c r="D116" s="45">
        <f t="shared" ref="D116:N116" si="21">SUM(D117:D119)</f>
        <v>0</v>
      </c>
      <c r="E116" s="45">
        <f t="shared" si="21"/>
        <v>0</v>
      </c>
      <c r="F116" s="45">
        <f t="shared" si="21"/>
        <v>0</v>
      </c>
      <c r="G116" s="45">
        <f t="shared" si="21"/>
        <v>0</v>
      </c>
      <c r="H116" s="45">
        <f t="shared" si="21"/>
        <v>0</v>
      </c>
      <c r="I116" s="45">
        <f t="shared" si="21"/>
        <v>0</v>
      </c>
      <c r="J116" s="45">
        <f t="shared" si="21"/>
        <v>0</v>
      </c>
      <c r="K116" s="45">
        <f t="shared" si="21"/>
        <v>0</v>
      </c>
      <c r="L116" s="45">
        <f t="shared" si="21"/>
        <v>0</v>
      </c>
      <c r="M116" s="45">
        <f t="shared" si="21"/>
        <v>0</v>
      </c>
      <c r="N116" s="45">
        <f t="shared" si="21"/>
        <v>0</v>
      </c>
      <c r="O116" s="44">
        <f t="shared" si="18"/>
        <v>0</v>
      </c>
    </row>
    <row r="117" spans="2:15" s="9" customFormat="1" ht="15.75" x14ac:dyDescent="0.25">
      <c r="B117" s="12" t="s">
        <v>139</v>
      </c>
      <c r="C117" s="37">
        <v>0</v>
      </c>
      <c r="D117" s="37">
        <v>0</v>
      </c>
      <c r="E117" s="37">
        <v>0</v>
      </c>
      <c r="F117" s="37">
        <v>0</v>
      </c>
      <c r="G117" s="37">
        <v>0</v>
      </c>
      <c r="H117" s="37">
        <v>0</v>
      </c>
      <c r="I117" s="37">
        <v>0</v>
      </c>
      <c r="J117" s="37">
        <v>0</v>
      </c>
      <c r="K117" s="37">
        <v>0</v>
      </c>
      <c r="L117" s="37">
        <v>0</v>
      </c>
      <c r="M117" s="37">
        <v>0</v>
      </c>
      <c r="N117" s="37">
        <v>0</v>
      </c>
      <c r="O117" s="5">
        <f t="shared" si="18"/>
        <v>0</v>
      </c>
    </row>
    <row r="118" spans="2:15" s="9" customFormat="1" ht="15.75" x14ac:dyDescent="0.25">
      <c r="B118" s="12" t="s">
        <v>140</v>
      </c>
      <c r="C118" s="37">
        <v>0</v>
      </c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5">
        <f t="shared" si="18"/>
        <v>0</v>
      </c>
    </row>
    <row r="119" spans="2:15" s="9" customFormat="1" ht="15.75" x14ac:dyDescent="0.25">
      <c r="B119" s="12" t="s">
        <v>141</v>
      </c>
      <c r="C119" s="37">
        <v>0</v>
      </c>
      <c r="D119" s="37">
        <v>0</v>
      </c>
      <c r="E119" s="37">
        <v>0</v>
      </c>
      <c r="F119" s="37">
        <v>0</v>
      </c>
      <c r="G119" s="37">
        <v>0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5">
        <f t="shared" si="18"/>
        <v>0</v>
      </c>
    </row>
    <row r="120" spans="2:15" s="42" customFormat="1" ht="19.5" x14ac:dyDescent="0.4">
      <c r="B120" s="15" t="s">
        <v>142</v>
      </c>
      <c r="C120" s="45">
        <f>SUM(C121:C122)</f>
        <v>0</v>
      </c>
      <c r="D120" s="45">
        <f t="shared" ref="D120:N120" si="22">SUM(D121:D122)</f>
        <v>0</v>
      </c>
      <c r="E120" s="45">
        <f t="shared" si="22"/>
        <v>0</v>
      </c>
      <c r="F120" s="45">
        <f t="shared" si="22"/>
        <v>0</v>
      </c>
      <c r="G120" s="45">
        <f t="shared" si="22"/>
        <v>0</v>
      </c>
      <c r="H120" s="45">
        <f t="shared" si="22"/>
        <v>0</v>
      </c>
      <c r="I120" s="45">
        <f t="shared" si="22"/>
        <v>0</v>
      </c>
      <c r="J120" s="45">
        <f t="shared" si="22"/>
        <v>0</v>
      </c>
      <c r="K120" s="45">
        <f t="shared" si="22"/>
        <v>0</v>
      </c>
      <c r="L120" s="45">
        <f t="shared" si="22"/>
        <v>0</v>
      </c>
      <c r="M120" s="45">
        <f t="shared" si="22"/>
        <v>0</v>
      </c>
      <c r="N120" s="45">
        <f t="shared" si="22"/>
        <v>0</v>
      </c>
      <c r="O120" s="44">
        <f t="shared" si="18"/>
        <v>0</v>
      </c>
    </row>
    <row r="121" spans="2:15" s="9" customFormat="1" ht="15.75" x14ac:dyDescent="0.25">
      <c r="B121" s="12" t="s">
        <v>143</v>
      </c>
      <c r="C121" s="37">
        <v>0</v>
      </c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0</v>
      </c>
      <c r="J121" s="37">
        <v>0</v>
      </c>
      <c r="K121" s="37">
        <v>0</v>
      </c>
      <c r="L121" s="37">
        <v>0</v>
      </c>
      <c r="M121" s="37">
        <v>0</v>
      </c>
      <c r="N121" s="37">
        <v>0</v>
      </c>
      <c r="O121" s="5">
        <f t="shared" si="18"/>
        <v>0</v>
      </c>
    </row>
    <row r="122" spans="2:15" s="9" customFormat="1" ht="15.75" x14ac:dyDescent="0.25">
      <c r="B122" s="12" t="s">
        <v>43</v>
      </c>
      <c r="C122" s="37">
        <v>0</v>
      </c>
      <c r="D122" s="37">
        <v>0</v>
      </c>
      <c r="E122" s="37">
        <v>0</v>
      </c>
      <c r="F122" s="37">
        <v>0</v>
      </c>
      <c r="G122" s="37">
        <v>0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  <c r="M122" s="37">
        <v>0</v>
      </c>
      <c r="N122" s="37">
        <v>0</v>
      </c>
      <c r="O122" s="5">
        <f t="shared" si="18"/>
        <v>0</v>
      </c>
    </row>
    <row r="123" spans="2:15" s="42" customFormat="1" ht="19.5" x14ac:dyDescent="0.4">
      <c r="B123" s="15" t="s">
        <v>32</v>
      </c>
      <c r="C123" s="45">
        <f t="shared" ref="C123:N123" si="23">SUM(C124:C125)</f>
        <v>0</v>
      </c>
      <c r="D123" s="45">
        <f t="shared" si="23"/>
        <v>0</v>
      </c>
      <c r="E123" s="45">
        <f t="shared" si="23"/>
        <v>0</v>
      </c>
      <c r="F123" s="45">
        <f t="shared" si="23"/>
        <v>0</v>
      </c>
      <c r="G123" s="45">
        <f t="shared" si="23"/>
        <v>0</v>
      </c>
      <c r="H123" s="45">
        <f t="shared" si="23"/>
        <v>0</v>
      </c>
      <c r="I123" s="45">
        <f t="shared" si="23"/>
        <v>0</v>
      </c>
      <c r="J123" s="45">
        <f t="shared" si="23"/>
        <v>0</v>
      </c>
      <c r="K123" s="45">
        <f t="shared" si="23"/>
        <v>0</v>
      </c>
      <c r="L123" s="45">
        <f t="shared" si="23"/>
        <v>0</v>
      </c>
      <c r="M123" s="45">
        <f t="shared" si="23"/>
        <v>0</v>
      </c>
      <c r="N123" s="45">
        <f t="shared" si="23"/>
        <v>0</v>
      </c>
      <c r="O123" s="44">
        <f t="shared" si="18"/>
        <v>0</v>
      </c>
    </row>
    <row r="124" spans="2:15" s="9" customFormat="1" ht="15.75" x14ac:dyDescent="0.25">
      <c r="B124" s="12" t="s">
        <v>144</v>
      </c>
      <c r="C124" s="37">
        <v>0</v>
      </c>
      <c r="D124" s="37">
        <v>0</v>
      </c>
      <c r="E124" s="37">
        <v>0</v>
      </c>
      <c r="F124" s="37">
        <v>0</v>
      </c>
      <c r="G124" s="37">
        <v>0</v>
      </c>
      <c r="H124" s="37">
        <v>0</v>
      </c>
      <c r="I124" s="37">
        <v>0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5">
        <f t="shared" si="18"/>
        <v>0</v>
      </c>
    </row>
    <row r="125" spans="2:15" s="9" customFormat="1" ht="15.75" x14ac:dyDescent="0.25">
      <c r="B125" s="12" t="s">
        <v>145</v>
      </c>
      <c r="C125" s="37">
        <v>0</v>
      </c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5">
        <f t="shared" si="18"/>
        <v>0</v>
      </c>
    </row>
    <row r="126" spans="2:15" s="42" customFormat="1" ht="19.5" x14ac:dyDescent="0.4">
      <c r="B126" s="15" t="s">
        <v>146</v>
      </c>
      <c r="C126" s="45">
        <f>SUM(C127:C129)</f>
        <v>0</v>
      </c>
      <c r="D126" s="45">
        <f t="shared" ref="D126:N126" si="24">SUM(D127:D129)</f>
        <v>0</v>
      </c>
      <c r="E126" s="45">
        <f t="shared" si="24"/>
        <v>0</v>
      </c>
      <c r="F126" s="45">
        <f t="shared" si="24"/>
        <v>0</v>
      </c>
      <c r="G126" s="45">
        <f t="shared" si="24"/>
        <v>0</v>
      </c>
      <c r="H126" s="45">
        <f t="shared" si="24"/>
        <v>0</v>
      </c>
      <c r="I126" s="45">
        <f t="shared" si="24"/>
        <v>0</v>
      </c>
      <c r="J126" s="45">
        <f t="shared" si="24"/>
        <v>0</v>
      </c>
      <c r="K126" s="45">
        <f t="shared" si="24"/>
        <v>0</v>
      </c>
      <c r="L126" s="45">
        <f t="shared" si="24"/>
        <v>0</v>
      </c>
      <c r="M126" s="45">
        <f t="shared" si="24"/>
        <v>0</v>
      </c>
      <c r="N126" s="45">
        <f t="shared" si="24"/>
        <v>0</v>
      </c>
      <c r="O126" s="44">
        <f t="shared" si="18"/>
        <v>0</v>
      </c>
    </row>
    <row r="127" spans="2:15" s="9" customFormat="1" ht="15.75" x14ac:dyDescent="0.25">
      <c r="B127" s="12" t="s">
        <v>147</v>
      </c>
      <c r="C127" s="37">
        <v>0</v>
      </c>
      <c r="D127" s="37">
        <v>0</v>
      </c>
      <c r="E127" s="37">
        <v>0</v>
      </c>
      <c r="F127" s="37">
        <v>0</v>
      </c>
      <c r="G127" s="37">
        <v>0</v>
      </c>
      <c r="H127" s="37">
        <v>0</v>
      </c>
      <c r="I127" s="37">
        <v>0</v>
      </c>
      <c r="J127" s="37">
        <v>0</v>
      </c>
      <c r="K127" s="37">
        <v>0</v>
      </c>
      <c r="L127" s="37">
        <v>0</v>
      </c>
      <c r="M127" s="37">
        <v>0</v>
      </c>
      <c r="N127" s="37">
        <v>0</v>
      </c>
      <c r="O127" s="5">
        <f t="shared" si="18"/>
        <v>0</v>
      </c>
    </row>
    <row r="128" spans="2:15" s="9" customFormat="1" ht="15.75" x14ac:dyDescent="0.25">
      <c r="B128" s="12" t="s">
        <v>148</v>
      </c>
      <c r="C128" s="37">
        <v>0</v>
      </c>
      <c r="D128" s="37">
        <v>0</v>
      </c>
      <c r="E128" s="37">
        <v>0</v>
      </c>
      <c r="F128" s="37">
        <v>0</v>
      </c>
      <c r="G128" s="37">
        <v>0</v>
      </c>
      <c r="H128" s="37">
        <v>0</v>
      </c>
      <c r="I128" s="37">
        <v>0</v>
      </c>
      <c r="J128" s="37">
        <v>0</v>
      </c>
      <c r="K128" s="37">
        <v>0</v>
      </c>
      <c r="L128" s="37">
        <v>0</v>
      </c>
      <c r="M128" s="37">
        <v>0</v>
      </c>
      <c r="N128" s="37">
        <v>0</v>
      </c>
      <c r="O128" s="5">
        <f t="shared" si="18"/>
        <v>0</v>
      </c>
    </row>
    <row r="129" spans="2:15" s="9" customFormat="1" ht="15.75" x14ac:dyDescent="0.25">
      <c r="B129" s="12" t="s">
        <v>149</v>
      </c>
      <c r="C129" s="37">
        <v>0</v>
      </c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0</v>
      </c>
      <c r="J129" s="37">
        <v>0</v>
      </c>
      <c r="K129" s="37">
        <v>0</v>
      </c>
      <c r="L129" s="37">
        <v>0</v>
      </c>
      <c r="M129" s="37">
        <v>0</v>
      </c>
      <c r="N129" s="37">
        <v>0</v>
      </c>
      <c r="O129" s="5">
        <f t="shared" si="18"/>
        <v>0</v>
      </c>
    </row>
    <row r="130" spans="2:15" s="42" customFormat="1" ht="19.5" x14ac:dyDescent="0.4">
      <c r="B130" s="15" t="s">
        <v>150</v>
      </c>
      <c r="C130" s="45">
        <f>SUM(C131:C132)</f>
        <v>0</v>
      </c>
      <c r="D130" s="45">
        <f t="shared" ref="D130:N130" si="25">SUM(D131:D132)</f>
        <v>0</v>
      </c>
      <c r="E130" s="45">
        <f t="shared" si="25"/>
        <v>0</v>
      </c>
      <c r="F130" s="45">
        <f t="shared" si="25"/>
        <v>0</v>
      </c>
      <c r="G130" s="45">
        <f t="shared" si="25"/>
        <v>0</v>
      </c>
      <c r="H130" s="45">
        <f t="shared" si="25"/>
        <v>0</v>
      </c>
      <c r="I130" s="45">
        <f t="shared" si="25"/>
        <v>0</v>
      </c>
      <c r="J130" s="45">
        <f t="shared" si="25"/>
        <v>0</v>
      </c>
      <c r="K130" s="45">
        <f t="shared" si="25"/>
        <v>0</v>
      </c>
      <c r="L130" s="45">
        <f t="shared" si="25"/>
        <v>0</v>
      </c>
      <c r="M130" s="45">
        <f t="shared" si="25"/>
        <v>0</v>
      </c>
      <c r="N130" s="45">
        <f t="shared" si="25"/>
        <v>0</v>
      </c>
      <c r="O130" s="44">
        <f t="shared" si="18"/>
        <v>0</v>
      </c>
    </row>
    <row r="131" spans="2:15" s="9" customFormat="1" ht="15.75" x14ac:dyDescent="0.25">
      <c r="B131" s="12" t="s">
        <v>64</v>
      </c>
      <c r="C131" s="37">
        <v>0</v>
      </c>
      <c r="D131" s="37">
        <v>0</v>
      </c>
      <c r="E131" s="37">
        <v>0</v>
      </c>
      <c r="F131" s="37">
        <v>0</v>
      </c>
      <c r="G131" s="37">
        <v>0</v>
      </c>
      <c r="H131" s="37">
        <v>0</v>
      </c>
      <c r="I131" s="37">
        <v>0</v>
      </c>
      <c r="J131" s="37">
        <v>0</v>
      </c>
      <c r="K131" s="37">
        <v>0</v>
      </c>
      <c r="L131" s="37">
        <v>0</v>
      </c>
      <c r="M131" s="37">
        <v>0</v>
      </c>
      <c r="N131" s="37">
        <v>0</v>
      </c>
      <c r="O131" s="5">
        <f t="shared" si="18"/>
        <v>0</v>
      </c>
    </row>
    <row r="132" spans="2:15" s="9" customFormat="1" ht="15.75" x14ac:dyDescent="0.25">
      <c r="B132" s="12" t="s">
        <v>151</v>
      </c>
      <c r="C132" s="37">
        <v>0</v>
      </c>
      <c r="D132" s="37">
        <v>0</v>
      </c>
      <c r="E132" s="37">
        <v>0</v>
      </c>
      <c r="F132" s="37">
        <v>0</v>
      </c>
      <c r="G132" s="37">
        <v>0</v>
      </c>
      <c r="H132" s="37">
        <v>0</v>
      </c>
      <c r="I132" s="37">
        <v>0</v>
      </c>
      <c r="J132" s="37">
        <v>0</v>
      </c>
      <c r="K132" s="37">
        <v>0</v>
      </c>
      <c r="L132" s="37">
        <v>0</v>
      </c>
      <c r="M132" s="37">
        <v>0</v>
      </c>
      <c r="N132" s="37">
        <v>0</v>
      </c>
      <c r="O132" s="5">
        <f t="shared" si="18"/>
        <v>0</v>
      </c>
    </row>
    <row r="133" spans="2:15" s="42" customFormat="1" ht="19.5" x14ac:dyDescent="0.4">
      <c r="B133" s="15" t="s">
        <v>152</v>
      </c>
      <c r="C133" s="45">
        <f>SUM(C134:C138)</f>
        <v>0</v>
      </c>
      <c r="D133" s="45">
        <f t="shared" ref="D133:N133" si="26">SUM(D134:D138)</f>
        <v>0</v>
      </c>
      <c r="E133" s="45">
        <f t="shared" si="26"/>
        <v>0</v>
      </c>
      <c r="F133" s="45">
        <f t="shared" si="26"/>
        <v>0</v>
      </c>
      <c r="G133" s="45">
        <f t="shared" si="26"/>
        <v>0</v>
      </c>
      <c r="H133" s="45">
        <f t="shared" si="26"/>
        <v>0</v>
      </c>
      <c r="I133" s="45">
        <f t="shared" si="26"/>
        <v>0</v>
      </c>
      <c r="J133" s="45">
        <f t="shared" si="26"/>
        <v>0</v>
      </c>
      <c r="K133" s="45">
        <f t="shared" si="26"/>
        <v>0</v>
      </c>
      <c r="L133" s="45">
        <f>SUM(L134:L138)</f>
        <v>0</v>
      </c>
      <c r="M133" s="45">
        <f t="shared" si="26"/>
        <v>0</v>
      </c>
      <c r="N133" s="45">
        <f t="shared" si="26"/>
        <v>0</v>
      </c>
      <c r="O133" s="44">
        <f t="shared" si="18"/>
        <v>0</v>
      </c>
    </row>
    <row r="134" spans="2:15" s="9" customFormat="1" ht="15.75" x14ac:dyDescent="0.25">
      <c r="B134" s="12" t="s">
        <v>153</v>
      </c>
      <c r="C134" s="37">
        <v>0</v>
      </c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0</v>
      </c>
      <c r="J134" s="37">
        <v>0</v>
      </c>
      <c r="K134" s="37">
        <v>0</v>
      </c>
      <c r="L134" s="37">
        <v>0</v>
      </c>
      <c r="M134" s="37">
        <v>0</v>
      </c>
      <c r="N134" s="37">
        <v>0</v>
      </c>
      <c r="O134" s="5">
        <f t="shared" si="18"/>
        <v>0</v>
      </c>
    </row>
    <row r="135" spans="2:15" s="9" customFormat="1" ht="15.75" x14ac:dyDescent="0.25">
      <c r="B135" s="12" t="s">
        <v>154</v>
      </c>
      <c r="C135" s="37">
        <v>0</v>
      </c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v>0</v>
      </c>
      <c r="N135" s="37">
        <v>0</v>
      </c>
      <c r="O135" s="5">
        <f t="shared" si="18"/>
        <v>0</v>
      </c>
    </row>
    <row r="136" spans="2:15" s="9" customFormat="1" ht="15.75" x14ac:dyDescent="0.25">
      <c r="B136" s="12" t="s">
        <v>155</v>
      </c>
      <c r="C136" s="37">
        <v>0</v>
      </c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0</v>
      </c>
      <c r="J136" s="37">
        <v>0</v>
      </c>
      <c r="K136" s="37">
        <v>0</v>
      </c>
      <c r="L136" s="37">
        <v>0</v>
      </c>
      <c r="M136" s="37">
        <v>0</v>
      </c>
      <c r="N136" s="37">
        <v>0</v>
      </c>
      <c r="O136" s="5">
        <f t="shared" si="18"/>
        <v>0</v>
      </c>
    </row>
    <row r="137" spans="2:15" s="9" customFormat="1" ht="15.75" x14ac:dyDescent="0.25">
      <c r="B137" s="12" t="s">
        <v>156</v>
      </c>
      <c r="C137" s="37">
        <v>0</v>
      </c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0</v>
      </c>
      <c r="J137" s="37">
        <v>0</v>
      </c>
      <c r="K137" s="37">
        <v>0</v>
      </c>
      <c r="L137" s="37">
        <v>0</v>
      </c>
      <c r="M137" s="37">
        <v>0</v>
      </c>
      <c r="N137" s="37">
        <v>0</v>
      </c>
      <c r="O137" s="5">
        <f t="shared" si="18"/>
        <v>0</v>
      </c>
    </row>
    <row r="138" spans="2:15" s="9" customFormat="1" ht="15.75" x14ac:dyDescent="0.25"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5">
        <f t="shared" si="18"/>
        <v>0</v>
      </c>
    </row>
    <row r="139" spans="2:15" s="9" customFormat="1" ht="15.75" x14ac:dyDescent="0.25"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17"/>
    </row>
    <row r="140" spans="2:15" s="9" customFormat="1" ht="15.75" x14ac:dyDescent="0.25"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17"/>
    </row>
    <row r="141" spans="2:15" s="9" customFormat="1" ht="15.75" x14ac:dyDescent="0.25"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17"/>
    </row>
    <row r="142" spans="2:15" s="9" customFormat="1" ht="15.75" x14ac:dyDescent="0.25"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17"/>
    </row>
    <row r="143" spans="2:15" s="9" customFormat="1" ht="15.75" x14ac:dyDescent="0.25"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17"/>
    </row>
    <row r="144" spans="2:15" s="9" customFormat="1" ht="15.75" x14ac:dyDescent="0.25">
      <c r="O144" s="17"/>
    </row>
    <row r="145" spans="15:15" s="9" customFormat="1" ht="15.75" x14ac:dyDescent="0.25">
      <c r="O145" s="17"/>
    </row>
    <row r="146" spans="15:15" s="9" customFormat="1" ht="15.75" x14ac:dyDescent="0.25">
      <c r="O146" s="17"/>
    </row>
    <row r="147" spans="15:15" s="9" customFormat="1" ht="15.75" x14ac:dyDescent="0.25">
      <c r="O147" s="17"/>
    </row>
    <row r="148" spans="15:15" s="9" customFormat="1" ht="15.75" x14ac:dyDescent="0.25">
      <c r="O148" s="17"/>
    </row>
    <row r="149" spans="15:15" s="9" customFormat="1" ht="15.75" x14ac:dyDescent="0.25">
      <c r="O149" s="17"/>
    </row>
    <row r="150" spans="15:15" s="9" customFormat="1" ht="15.75" x14ac:dyDescent="0.25">
      <c r="O150" s="17"/>
    </row>
    <row r="151" spans="15:15" s="9" customFormat="1" ht="15.75" x14ac:dyDescent="0.25">
      <c r="O151" s="17"/>
    </row>
    <row r="152" spans="15:15" s="9" customFormat="1" ht="15.75" x14ac:dyDescent="0.25">
      <c r="O152" s="17"/>
    </row>
    <row r="153" spans="15:15" s="9" customFormat="1" ht="15.75" x14ac:dyDescent="0.25">
      <c r="O153" s="17"/>
    </row>
    <row r="154" spans="15:15" s="9" customFormat="1" ht="15.75" x14ac:dyDescent="0.25">
      <c r="O154" s="17"/>
    </row>
    <row r="155" spans="15:15" s="9" customFormat="1" ht="15.75" x14ac:dyDescent="0.25">
      <c r="O155" s="17"/>
    </row>
    <row r="156" spans="15:15" s="9" customFormat="1" ht="15.75" x14ac:dyDescent="0.25">
      <c r="O156" s="17"/>
    </row>
    <row r="157" spans="15:15" s="9" customFormat="1" ht="15.75" x14ac:dyDescent="0.25">
      <c r="O157" s="17"/>
    </row>
    <row r="158" spans="15:15" s="9" customFormat="1" ht="15.75" x14ac:dyDescent="0.25">
      <c r="O158" s="17"/>
    </row>
    <row r="159" spans="15:15" s="9" customFormat="1" ht="15.75" x14ac:dyDescent="0.25">
      <c r="O159" s="17"/>
    </row>
    <row r="160" spans="15:15" s="9" customFormat="1" ht="15.75" x14ac:dyDescent="0.25">
      <c r="O160" s="17"/>
    </row>
    <row r="161" spans="15:15" s="9" customFormat="1" ht="15.75" x14ac:dyDescent="0.25">
      <c r="O161" s="17"/>
    </row>
    <row r="162" spans="15:15" s="9" customFormat="1" ht="15.75" x14ac:dyDescent="0.25">
      <c r="O162" s="17"/>
    </row>
    <row r="163" spans="15:15" s="9" customFormat="1" ht="15.75" x14ac:dyDescent="0.25">
      <c r="O163" s="17"/>
    </row>
    <row r="164" spans="15:15" s="9" customFormat="1" ht="15.75" x14ac:dyDescent="0.25">
      <c r="O164" s="17"/>
    </row>
    <row r="165" spans="15:15" s="9" customFormat="1" ht="15.75" x14ac:dyDescent="0.25">
      <c r="O165" s="17"/>
    </row>
  </sheetData>
  <sheetProtection formatCells="0" formatColumns="0" formatRows="0" insertColumns="0" insertRows="0" insertHyperlinks="0" deleteColumns="0" deleteRows="0" sort="0" autoFilter="0" pivotTables="0"/>
  <mergeCells count="2">
    <mergeCell ref="C1:O1"/>
    <mergeCell ref="A2:B2"/>
  </mergeCells>
  <pageMargins left="0" right="0" top="0.75" bottom="0.75" header="0.3" footer="0.3"/>
  <pageSetup paperSize="9" fitToHeight="0" orientation="landscape"/>
  <headerFooter>
    <oddFooter>&amp;L&amp;Bfinancas - previsto x realizad&amp;RPágina &amp;P de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A9CB-12B8-4733-9F7C-7BBF04406C7A}">
  <sheetPr>
    <tabColor theme="9" tint="0.39997558519241921"/>
    <pageSetUpPr fitToPage="1"/>
  </sheetPr>
  <dimension ref="A1:P165"/>
  <sheetViews>
    <sheetView showGridLines="0" zoomScale="55" zoomScaleNormal="55" workbookViewId="0">
      <pane xSplit="2" ySplit="3" topLeftCell="C25" activePane="bottomRight" state="frozen"/>
      <selection pane="topRight"/>
      <selection pane="bottomLeft"/>
      <selection pane="bottomRight" activeCell="J47" sqref="C47:J47"/>
    </sheetView>
  </sheetViews>
  <sheetFormatPr defaultRowHeight="15" customHeight="1" x14ac:dyDescent="0.25"/>
  <cols>
    <col min="1" max="1" width="6.42578125" customWidth="1"/>
    <col min="2" max="2" width="40.85546875" bestFit="1" customWidth="1"/>
    <col min="3" max="3" width="22.28515625" bestFit="1" customWidth="1"/>
    <col min="4" max="6" width="23.28515625" bestFit="1" customWidth="1"/>
    <col min="7" max="7" width="22.7109375" bestFit="1" customWidth="1"/>
    <col min="8" max="8" width="23.28515625" bestFit="1" customWidth="1"/>
    <col min="9" max="11" width="24" bestFit="1" customWidth="1"/>
    <col min="12" max="14" width="24.42578125" bestFit="1" customWidth="1"/>
    <col min="15" max="15" width="25.140625" style="1" bestFit="1" customWidth="1"/>
    <col min="16" max="16" width="18.7109375" bestFit="1" customWidth="1"/>
  </cols>
  <sheetData>
    <row r="1" spans="1:15" ht="68.25" customHeight="1" x14ac:dyDescent="0.25">
      <c r="C1" s="286" t="s">
        <v>256</v>
      </c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5" ht="24.95" customHeight="1" x14ac:dyDescent="0.25">
      <c r="A2" s="287" t="s">
        <v>246</v>
      </c>
      <c r="B2" s="287"/>
      <c r="C2" s="184">
        <f>C47/O$47</f>
        <v>4.0736896730669436E-2</v>
      </c>
      <c r="D2" s="184">
        <f>D47/$O$47</f>
        <v>0.16538661131292165</v>
      </c>
      <c r="E2" s="184">
        <f>E47/$O$47</f>
        <v>6.9728420688462203E-2</v>
      </c>
      <c r="F2" s="184">
        <f t="shared" ref="F2:N2" si="0">F47/$O$47</f>
        <v>7.7339560629648849E-2</v>
      </c>
      <c r="G2" s="184">
        <f t="shared" si="0"/>
        <v>7.9069365161736724E-2</v>
      </c>
      <c r="H2" s="184">
        <f t="shared" si="0"/>
        <v>7.5609756097560973E-2</v>
      </c>
      <c r="I2" s="184">
        <f t="shared" si="0"/>
        <v>7.9069365161736724E-2</v>
      </c>
      <c r="J2" s="184">
        <f t="shared" si="0"/>
        <v>7.9069365161736724E-2</v>
      </c>
      <c r="K2" s="184">
        <f t="shared" si="0"/>
        <v>6.6614772530704025E-2</v>
      </c>
      <c r="L2" s="184">
        <f t="shared" si="0"/>
        <v>8.5988583290088225E-2</v>
      </c>
      <c r="M2" s="184">
        <f t="shared" si="0"/>
        <v>0.10328662861096696</v>
      </c>
      <c r="N2" s="184">
        <f t="shared" si="0"/>
        <v>7.8100674623767519E-2</v>
      </c>
    </row>
    <row r="3" spans="1:15" ht="22.5" x14ac:dyDescent="0.25">
      <c r="B3" s="2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4" t="s">
        <v>5</v>
      </c>
    </row>
    <row r="4" spans="1:15" ht="22.5" x14ac:dyDescent="0.25">
      <c r="B4" s="31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2"/>
    </row>
    <row r="5" spans="1:15" ht="19.5" x14ac:dyDescent="0.25">
      <c r="B5" s="33" t="s">
        <v>29</v>
      </c>
      <c r="C5" s="243">
        <f>C6</f>
        <v>-11775</v>
      </c>
      <c r="D5" s="243">
        <f t="shared" ref="D5:N5" si="1">C5+D6</f>
        <v>-59580</v>
      </c>
      <c r="E5" s="243">
        <f t="shared" si="1"/>
        <v>-79735</v>
      </c>
      <c r="F5" s="243">
        <f t="shared" si="1"/>
        <v>-102090</v>
      </c>
      <c r="G5" s="243">
        <f t="shared" si="1"/>
        <v>-124945</v>
      </c>
      <c r="H5" s="243">
        <f t="shared" si="1"/>
        <v>-146800</v>
      </c>
      <c r="I5" s="243">
        <f t="shared" si="1"/>
        <v>-169655</v>
      </c>
      <c r="J5" s="243">
        <f t="shared" si="1"/>
        <v>-192510</v>
      </c>
      <c r="K5" s="243">
        <f t="shared" si="1"/>
        <v>-211765</v>
      </c>
      <c r="L5" s="243">
        <f t="shared" si="1"/>
        <v>-236620</v>
      </c>
      <c r="M5" s="243">
        <f t="shared" si="1"/>
        <v>-266475</v>
      </c>
      <c r="N5" s="243">
        <f t="shared" si="1"/>
        <v>-289050</v>
      </c>
      <c r="O5" s="245"/>
    </row>
    <row r="6" spans="1:15" ht="19.5" x14ac:dyDescent="0.25">
      <c r="B6" s="33" t="s">
        <v>30</v>
      </c>
      <c r="C6" s="243">
        <f t="shared" ref="C6:N6" si="2">SUM(C8-C47)</f>
        <v>-11775</v>
      </c>
      <c r="D6" s="243">
        <f t="shared" si="2"/>
        <v>-47805</v>
      </c>
      <c r="E6" s="243">
        <f t="shared" si="2"/>
        <v>-20155</v>
      </c>
      <c r="F6" s="243">
        <f t="shared" si="2"/>
        <v>-22355</v>
      </c>
      <c r="G6" s="243">
        <f t="shared" si="2"/>
        <v>-22855</v>
      </c>
      <c r="H6" s="243">
        <f t="shared" si="2"/>
        <v>-21855</v>
      </c>
      <c r="I6" s="243">
        <f t="shared" si="2"/>
        <v>-22855</v>
      </c>
      <c r="J6" s="243">
        <f t="shared" si="2"/>
        <v>-22855</v>
      </c>
      <c r="K6" s="243">
        <f t="shared" si="2"/>
        <v>-19255</v>
      </c>
      <c r="L6" s="243">
        <f t="shared" si="2"/>
        <v>-24855</v>
      </c>
      <c r="M6" s="243">
        <f t="shared" si="2"/>
        <v>-29855</v>
      </c>
      <c r="N6" s="243">
        <f t="shared" si="2"/>
        <v>-22575</v>
      </c>
      <c r="O6" s="245">
        <f>SUM(C6:N6)</f>
        <v>-289050</v>
      </c>
    </row>
    <row r="7" spans="1:15" ht="22.5" x14ac:dyDescent="0.25">
      <c r="B7" s="31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46"/>
    </row>
    <row r="8" spans="1:15" s="9" customFormat="1" ht="19.5" x14ac:dyDescent="0.25">
      <c r="B8" s="18" t="s">
        <v>31</v>
      </c>
      <c r="C8" s="49">
        <f>SUM(C9,C16,C22,C28,C33,C37,C40,C43)</f>
        <v>0</v>
      </c>
      <c r="D8" s="49">
        <f t="shared" ref="D8:N8" si="3">SUM(D9,D16,D22,D28,D33,D37,D40,D43)</f>
        <v>0</v>
      </c>
      <c r="E8" s="49">
        <f t="shared" si="3"/>
        <v>0</v>
      </c>
      <c r="F8" s="49">
        <f t="shared" si="3"/>
        <v>0</v>
      </c>
      <c r="G8" s="49">
        <f t="shared" si="3"/>
        <v>0</v>
      </c>
      <c r="H8" s="49">
        <f t="shared" si="3"/>
        <v>0</v>
      </c>
      <c r="I8" s="49">
        <f t="shared" si="3"/>
        <v>0</v>
      </c>
      <c r="J8" s="49">
        <f t="shared" si="3"/>
        <v>0</v>
      </c>
      <c r="K8" s="49">
        <f t="shared" si="3"/>
        <v>0</v>
      </c>
      <c r="L8" s="49">
        <f t="shared" si="3"/>
        <v>0</v>
      </c>
      <c r="M8" s="49">
        <f t="shared" si="3"/>
        <v>0</v>
      </c>
      <c r="N8" s="49">
        <f t="shared" si="3"/>
        <v>0</v>
      </c>
      <c r="O8" s="50">
        <f>SUM(C8:N8)</f>
        <v>0</v>
      </c>
    </row>
    <row r="9" spans="1:15" s="42" customFormat="1" ht="19.5" hidden="1" x14ac:dyDescent="0.4">
      <c r="B9" s="10" t="s">
        <v>32</v>
      </c>
      <c r="C9" s="40">
        <f>SUM(C10:C15)</f>
        <v>0</v>
      </c>
      <c r="D9" s="40">
        <f>SUM(D10:D15)</f>
        <v>0</v>
      </c>
      <c r="E9" s="40">
        <f>SUM(E10:E15)</f>
        <v>0</v>
      </c>
      <c r="F9" s="40">
        <f t="shared" ref="F9:N9" si="4">SUM(F10:F15)</f>
        <v>0</v>
      </c>
      <c r="G9" s="40">
        <f>SUM(G10:G15)</f>
        <v>0</v>
      </c>
      <c r="H9" s="40">
        <f t="shared" si="4"/>
        <v>0</v>
      </c>
      <c r="I9" s="40">
        <f t="shared" si="4"/>
        <v>0</v>
      </c>
      <c r="J9" s="40">
        <f t="shared" si="4"/>
        <v>0</v>
      </c>
      <c r="K9" s="40">
        <f t="shared" si="4"/>
        <v>0</v>
      </c>
      <c r="L9" s="40">
        <f t="shared" si="4"/>
        <v>0</v>
      </c>
      <c r="M9" s="40">
        <f t="shared" si="4"/>
        <v>0</v>
      </c>
      <c r="N9" s="40">
        <f t="shared" si="4"/>
        <v>0</v>
      </c>
      <c r="O9" s="41">
        <f>SUM(C9:N9)</f>
        <v>0</v>
      </c>
    </row>
    <row r="10" spans="1:15" s="9" customFormat="1" ht="15.75" hidden="1" x14ac:dyDescent="0.25">
      <c r="B10" s="36" t="s">
        <v>33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5">
        <f t="shared" ref="O10:O73" si="5">SUM(C10:N10)</f>
        <v>0</v>
      </c>
    </row>
    <row r="11" spans="1:15" s="9" customFormat="1" ht="15.75" hidden="1" x14ac:dyDescent="0.25">
      <c r="B11" s="36" t="s">
        <v>34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5">
        <f t="shared" si="5"/>
        <v>0</v>
      </c>
    </row>
    <row r="12" spans="1:15" s="9" customFormat="1" ht="15.75" hidden="1" x14ac:dyDescent="0.25">
      <c r="B12" s="36" t="s">
        <v>35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5">
        <f t="shared" si="5"/>
        <v>0</v>
      </c>
    </row>
    <row r="13" spans="1:15" s="9" customFormat="1" ht="15.75" hidden="1" x14ac:dyDescent="0.25">
      <c r="B13" s="36" t="s">
        <v>36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5">
        <f t="shared" si="5"/>
        <v>0</v>
      </c>
    </row>
    <row r="14" spans="1:15" s="9" customFormat="1" ht="15.75" hidden="1" x14ac:dyDescent="0.25">
      <c r="B14" s="36" t="s">
        <v>37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5">
        <f t="shared" si="5"/>
        <v>0</v>
      </c>
    </row>
    <row r="15" spans="1:15" s="9" customFormat="1" ht="15.75" hidden="1" x14ac:dyDescent="0.25">
      <c r="B15" s="36" t="s">
        <v>38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5">
        <f t="shared" si="5"/>
        <v>0</v>
      </c>
    </row>
    <row r="16" spans="1:15" s="42" customFormat="1" ht="19.5" hidden="1" x14ac:dyDescent="0.4">
      <c r="B16" s="10" t="s">
        <v>39</v>
      </c>
      <c r="C16" s="40">
        <f>SUM(C17:C21)</f>
        <v>0</v>
      </c>
      <c r="D16" s="40">
        <f>SUM(D17:D21)</f>
        <v>0</v>
      </c>
      <c r="E16" s="40">
        <f t="shared" ref="E16:L16" si="6">SUM(E17:E21)</f>
        <v>0</v>
      </c>
      <c r="F16" s="40">
        <f t="shared" si="6"/>
        <v>0</v>
      </c>
      <c r="G16" s="40">
        <f>SUM(G17:G21)</f>
        <v>0</v>
      </c>
      <c r="H16" s="40">
        <f t="shared" si="6"/>
        <v>0</v>
      </c>
      <c r="I16" s="40">
        <f t="shared" si="6"/>
        <v>0</v>
      </c>
      <c r="J16" s="40">
        <f t="shared" si="6"/>
        <v>0</v>
      </c>
      <c r="K16" s="40">
        <f t="shared" si="6"/>
        <v>0</v>
      </c>
      <c r="L16" s="40">
        <f t="shared" si="6"/>
        <v>0</v>
      </c>
      <c r="M16" s="40">
        <f>SUM(M17:M21)</f>
        <v>0</v>
      </c>
      <c r="N16" s="40">
        <f>SUM(N17:N21)</f>
        <v>0</v>
      </c>
      <c r="O16" s="41">
        <f>SUM(C16:N16)</f>
        <v>0</v>
      </c>
    </row>
    <row r="17" spans="2:15" s="9" customFormat="1" ht="15.75" hidden="1" x14ac:dyDescent="0.25">
      <c r="B17" s="36" t="s">
        <v>40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5">
        <f t="shared" si="5"/>
        <v>0</v>
      </c>
    </row>
    <row r="18" spans="2:15" s="9" customFormat="1" ht="15.75" hidden="1" x14ac:dyDescent="0.25">
      <c r="B18" s="36" t="s">
        <v>41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5">
        <f t="shared" si="5"/>
        <v>0</v>
      </c>
    </row>
    <row r="19" spans="2:15" s="9" customFormat="1" ht="15.75" hidden="1" x14ac:dyDescent="0.25">
      <c r="B19" s="36" t="s">
        <v>42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5">
        <f t="shared" si="5"/>
        <v>0</v>
      </c>
    </row>
    <row r="20" spans="2:15" s="9" customFormat="1" ht="15.75" hidden="1" x14ac:dyDescent="0.25">
      <c r="B20" s="36" t="s">
        <v>43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5">
        <f t="shared" si="5"/>
        <v>0</v>
      </c>
    </row>
    <row r="21" spans="2:15" s="9" customFormat="1" ht="15.75" hidden="1" x14ac:dyDescent="0.25">
      <c r="B21" s="36" t="s">
        <v>44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5">
        <f t="shared" si="5"/>
        <v>0</v>
      </c>
    </row>
    <row r="22" spans="2:15" s="42" customFormat="1" ht="19.5" x14ac:dyDescent="0.4">
      <c r="B22" s="10" t="s">
        <v>45</v>
      </c>
      <c r="C22" s="40">
        <f>SUM(C23:C27)</f>
        <v>0</v>
      </c>
      <c r="D22" s="40">
        <f t="shared" ref="D22:N22" si="7">SUM(D23:D27)</f>
        <v>0</v>
      </c>
      <c r="E22" s="40">
        <f t="shared" si="7"/>
        <v>0</v>
      </c>
      <c r="F22" s="40">
        <f t="shared" si="7"/>
        <v>0</v>
      </c>
      <c r="G22" s="40">
        <f t="shared" si="7"/>
        <v>0</v>
      </c>
      <c r="H22" s="40">
        <f t="shared" si="7"/>
        <v>0</v>
      </c>
      <c r="I22" s="40">
        <f t="shared" si="7"/>
        <v>0</v>
      </c>
      <c r="J22" s="40">
        <f t="shared" si="7"/>
        <v>0</v>
      </c>
      <c r="K22" s="40">
        <f t="shared" si="7"/>
        <v>0</v>
      </c>
      <c r="L22" s="40">
        <f t="shared" si="7"/>
        <v>0</v>
      </c>
      <c r="M22" s="40">
        <f t="shared" si="7"/>
        <v>0</v>
      </c>
      <c r="N22" s="40">
        <f t="shared" si="7"/>
        <v>0</v>
      </c>
      <c r="O22" s="41">
        <f t="shared" si="5"/>
        <v>0</v>
      </c>
    </row>
    <row r="23" spans="2:15" s="9" customFormat="1" ht="15.75" x14ac:dyDescent="0.25">
      <c r="B23" s="12" t="s">
        <v>46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5">
        <f t="shared" si="5"/>
        <v>0</v>
      </c>
    </row>
    <row r="24" spans="2:15" s="9" customFormat="1" ht="15.75" x14ac:dyDescent="0.25">
      <c r="B24" s="12" t="s">
        <v>47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5">
        <f t="shared" si="5"/>
        <v>0</v>
      </c>
    </row>
    <row r="25" spans="2:15" s="9" customFormat="1" ht="15.75" x14ac:dyDescent="0.25">
      <c r="B25" s="12" t="s">
        <v>48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5">
        <f t="shared" si="5"/>
        <v>0</v>
      </c>
    </row>
    <row r="26" spans="2:15" s="9" customFormat="1" ht="15.75" x14ac:dyDescent="0.25">
      <c r="B26" s="12" t="s">
        <v>49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5">
        <f t="shared" si="5"/>
        <v>0</v>
      </c>
    </row>
    <row r="27" spans="2:15" s="9" customFormat="1" ht="15.75" x14ac:dyDescent="0.25">
      <c r="B27" s="12" t="s">
        <v>50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5">
        <f t="shared" si="5"/>
        <v>0</v>
      </c>
    </row>
    <row r="28" spans="2:15" s="42" customFormat="1" ht="19.5" x14ac:dyDescent="0.4">
      <c r="B28" s="10" t="s">
        <v>51</v>
      </c>
      <c r="C28" s="40">
        <f>SUM(C29:C32)</f>
        <v>0</v>
      </c>
      <c r="D28" s="40">
        <f t="shared" ref="D28:N28" si="8">SUM(D29:D32)</f>
        <v>0</v>
      </c>
      <c r="E28" s="40">
        <f t="shared" si="8"/>
        <v>0</v>
      </c>
      <c r="F28" s="40">
        <f t="shared" si="8"/>
        <v>0</v>
      </c>
      <c r="G28" s="40">
        <f t="shared" si="8"/>
        <v>0</v>
      </c>
      <c r="H28" s="40">
        <f t="shared" si="8"/>
        <v>0</v>
      </c>
      <c r="I28" s="40">
        <f t="shared" si="8"/>
        <v>0</v>
      </c>
      <c r="J28" s="40">
        <f t="shared" si="8"/>
        <v>0</v>
      </c>
      <c r="K28" s="40">
        <f t="shared" si="8"/>
        <v>0</v>
      </c>
      <c r="L28" s="40">
        <f t="shared" si="8"/>
        <v>0</v>
      </c>
      <c r="M28" s="40">
        <f t="shared" si="8"/>
        <v>0</v>
      </c>
      <c r="N28" s="40">
        <f t="shared" si="8"/>
        <v>0</v>
      </c>
      <c r="O28" s="41">
        <f>SUM(C28:N28)</f>
        <v>0</v>
      </c>
    </row>
    <row r="29" spans="2:15" s="9" customFormat="1" ht="15.75" x14ac:dyDescent="0.25">
      <c r="B29" s="12" t="s">
        <v>52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5">
        <f>SUM(C29:N29)</f>
        <v>0</v>
      </c>
    </row>
    <row r="30" spans="2:15" s="9" customFormat="1" ht="15.75" x14ac:dyDescent="0.25">
      <c r="B30" s="12" t="s">
        <v>53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5">
        <f t="shared" si="5"/>
        <v>0</v>
      </c>
    </row>
    <row r="31" spans="2:15" s="9" customFormat="1" ht="15.75" x14ac:dyDescent="0.25">
      <c r="B31" s="12" t="s">
        <v>54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5">
        <f t="shared" si="5"/>
        <v>0</v>
      </c>
    </row>
    <row r="32" spans="2:15" s="9" customFormat="1" ht="15.75" x14ac:dyDescent="0.25">
      <c r="B32" s="12" t="s">
        <v>55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5">
        <f t="shared" si="5"/>
        <v>0</v>
      </c>
    </row>
    <row r="33" spans="2:15" s="42" customFormat="1" ht="19.5" x14ac:dyDescent="0.4">
      <c r="B33" s="10" t="s">
        <v>56</v>
      </c>
      <c r="C33" s="40">
        <f>SUM(C34:C36)</f>
        <v>0</v>
      </c>
      <c r="D33" s="40">
        <f>SUM(D34:D36)</f>
        <v>0</v>
      </c>
      <c r="E33" s="40">
        <f>SUM(E34:E36)</f>
        <v>0</v>
      </c>
      <c r="F33" s="40">
        <f t="shared" ref="F33:N33" si="9">SUM(F34:F36)</f>
        <v>0</v>
      </c>
      <c r="G33" s="40">
        <f t="shared" si="9"/>
        <v>0</v>
      </c>
      <c r="H33" s="40">
        <f t="shared" si="9"/>
        <v>0</v>
      </c>
      <c r="I33" s="40">
        <f>SUM(I34:I36)</f>
        <v>0</v>
      </c>
      <c r="J33" s="40">
        <f t="shared" si="9"/>
        <v>0</v>
      </c>
      <c r="K33" s="40">
        <f t="shared" si="9"/>
        <v>0</v>
      </c>
      <c r="L33" s="40">
        <f t="shared" si="9"/>
        <v>0</v>
      </c>
      <c r="M33" s="40">
        <f t="shared" si="9"/>
        <v>0</v>
      </c>
      <c r="N33" s="40">
        <f t="shared" si="9"/>
        <v>0</v>
      </c>
      <c r="O33" s="41">
        <f t="shared" si="5"/>
        <v>0</v>
      </c>
    </row>
    <row r="34" spans="2:15" s="9" customFormat="1" ht="15.75" x14ac:dyDescent="0.25">
      <c r="B34" s="12" t="s">
        <v>57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5">
        <f t="shared" si="5"/>
        <v>0</v>
      </c>
    </row>
    <row r="35" spans="2:15" s="9" customFormat="1" ht="15.75" x14ac:dyDescent="0.25">
      <c r="B35" s="12" t="s">
        <v>58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5">
        <f t="shared" si="5"/>
        <v>0</v>
      </c>
    </row>
    <row r="36" spans="2:15" s="9" customFormat="1" ht="15.75" x14ac:dyDescent="0.25">
      <c r="B36" s="12" t="s">
        <v>59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5">
        <f t="shared" si="5"/>
        <v>0</v>
      </c>
    </row>
    <row r="37" spans="2:15" s="42" customFormat="1" ht="19.5" x14ac:dyDescent="0.4">
      <c r="B37" s="10" t="s">
        <v>60</v>
      </c>
      <c r="C37" s="40">
        <f>SUM(C38:C39)</f>
        <v>0</v>
      </c>
      <c r="D37" s="40">
        <f t="shared" ref="D37:N37" si="10">SUM(D38:D39)</f>
        <v>0</v>
      </c>
      <c r="E37" s="40">
        <f t="shared" si="10"/>
        <v>0</v>
      </c>
      <c r="F37" s="40">
        <f t="shared" si="10"/>
        <v>0</v>
      </c>
      <c r="G37" s="40">
        <f t="shared" si="10"/>
        <v>0</v>
      </c>
      <c r="H37" s="40">
        <f t="shared" si="10"/>
        <v>0</v>
      </c>
      <c r="I37" s="40">
        <f t="shared" si="10"/>
        <v>0</v>
      </c>
      <c r="J37" s="40">
        <f t="shared" si="10"/>
        <v>0</v>
      </c>
      <c r="K37" s="40">
        <f t="shared" si="10"/>
        <v>0</v>
      </c>
      <c r="L37" s="40">
        <f t="shared" si="10"/>
        <v>0</v>
      </c>
      <c r="M37" s="40">
        <f t="shared" si="10"/>
        <v>0</v>
      </c>
      <c r="N37" s="40">
        <f t="shared" si="10"/>
        <v>0</v>
      </c>
      <c r="O37" s="41">
        <f t="shared" si="5"/>
        <v>0</v>
      </c>
    </row>
    <row r="38" spans="2:15" s="9" customFormat="1" ht="15.75" x14ac:dyDescent="0.25">
      <c r="B38" s="12" t="s">
        <v>61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5">
        <f t="shared" si="5"/>
        <v>0</v>
      </c>
    </row>
    <row r="39" spans="2:15" s="9" customFormat="1" ht="15.75" x14ac:dyDescent="0.25">
      <c r="B39" s="12" t="s">
        <v>62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5">
        <f t="shared" si="5"/>
        <v>0</v>
      </c>
    </row>
    <row r="40" spans="2:15" s="42" customFormat="1" ht="19.5" x14ac:dyDescent="0.4">
      <c r="B40" s="10" t="s">
        <v>63</v>
      </c>
      <c r="C40" s="40">
        <f>SUM(C41:C42)</f>
        <v>0</v>
      </c>
      <c r="D40" s="40">
        <f t="shared" ref="D40:N40" si="11">SUM(D41:D42)</f>
        <v>0</v>
      </c>
      <c r="E40" s="40">
        <f t="shared" si="11"/>
        <v>0</v>
      </c>
      <c r="F40" s="40">
        <f t="shared" si="11"/>
        <v>0</v>
      </c>
      <c r="G40" s="40">
        <f t="shared" si="11"/>
        <v>0</v>
      </c>
      <c r="H40" s="40">
        <f t="shared" si="11"/>
        <v>0</v>
      </c>
      <c r="I40" s="40">
        <f t="shared" si="11"/>
        <v>0</v>
      </c>
      <c r="J40" s="40">
        <f t="shared" si="11"/>
        <v>0</v>
      </c>
      <c r="K40" s="40">
        <f t="shared" si="11"/>
        <v>0</v>
      </c>
      <c r="L40" s="40">
        <f t="shared" si="11"/>
        <v>0</v>
      </c>
      <c r="M40" s="40">
        <f t="shared" si="11"/>
        <v>0</v>
      </c>
      <c r="N40" s="40">
        <f t="shared" si="11"/>
        <v>0</v>
      </c>
      <c r="O40" s="41">
        <f t="shared" si="5"/>
        <v>0</v>
      </c>
    </row>
    <row r="41" spans="2:15" s="9" customFormat="1" ht="15.75" x14ac:dyDescent="0.25">
      <c r="B41" s="12" t="s">
        <v>64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5">
        <f t="shared" si="5"/>
        <v>0</v>
      </c>
    </row>
    <row r="42" spans="2:15" s="9" customFormat="1" ht="15.75" x14ac:dyDescent="0.25">
      <c r="B42" s="12" t="s">
        <v>65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5">
        <f t="shared" si="5"/>
        <v>0</v>
      </c>
    </row>
    <row r="43" spans="2:15" s="42" customFormat="1" ht="19.5" x14ac:dyDescent="0.4">
      <c r="B43" s="10" t="s">
        <v>66</v>
      </c>
      <c r="C43" s="40">
        <f t="shared" ref="C43:N43" si="12">SUM(C44:C46)</f>
        <v>0</v>
      </c>
      <c r="D43" s="40">
        <f t="shared" si="12"/>
        <v>0</v>
      </c>
      <c r="E43" s="40">
        <f t="shared" si="12"/>
        <v>0</v>
      </c>
      <c r="F43" s="40">
        <f t="shared" si="12"/>
        <v>0</v>
      </c>
      <c r="G43" s="40">
        <f t="shared" si="12"/>
        <v>0</v>
      </c>
      <c r="H43" s="40">
        <f t="shared" si="12"/>
        <v>0</v>
      </c>
      <c r="I43" s="40">
        <f t="shared" si="12"/>
        <v>0</v>
      </c>
      <c r="J43" s="40">
        <f t="shared" si="12"/>
        <v>0</v>
      </c>
      <c r="K43" s="40">
        <f t="shared" si="12"/>
        <v>0</v>
      </c>
      <c r="L43" s="40">
        <f t="shared" si="12"/>
        <v>0</v>
      </c>
      <c r="M43" s="40">
        <f t="shared" si="12"/>
        <v>0</v>
      </c>
      <c r="N43" s="40">
        <f t="shared" si="12"/>
        <v>0</v>
      </c>
      <c r="O43" s="41">
        <f t="shared" si="5"/>
        <v>0</v>
      </c>
    </row>
    <row r="44" spans="2:15" s="9" customFormat="1" ht="15.75" x14ac:dyDescent="0.25">
      <c r="B44" s="47" t="s">
        <v>247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46">
        <f t="shared" si="5"/>
        <v>0</v>
      </c>
    </row>
    <row r="45" spans="2:15" s="9" customFormat="1" ht="15.75" x14ac:dyDescent="0.25">
      <c r="B45" s="12" t="s">
        <v>68</v>
      </c>
      <c r="C45" s="37">
        <v>0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5">
        <f t="shared" si="5"/>
        <v>0</v>
      </c>
    </row>
    <row r="46" spans="2:15" s="9" customFormat="1" ht="15.75" x14ac:dyDescent="0.25">
      <c r="B46" s="12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5">
        <f t="shared" si="5"/>
        <v>0</v>
      </c>
    </row>
    <row r="47" spans="2:15" s="9" customFormat="1" ht="19.5" x14ac:dyDescent="0.25">
      <c r="B47" s="19" t="s">
        <v>69</v>
      </c>
      <c r="C47" s="48">
        <f t="shared" ref="C47:N47" si="13">SUM(C48,C50,C53,C75,C99,C105,C116,C120,C123,C126,C130,C133)</f>
        <v>11775</v>
      </c>
      <c r="D47" s="48">
        <f t="shared" si="13"/>
        <v>47805</v>
      </c>
      <c r="E47" s="48">
        <f t="shared" si="13"/>
        <v>20155</v>
      </c>
      <c r="F47" s="48">
        <f t="shared" si="13"/>
        <v>22355</v>
      </c>
      <c r="G47" s="48">
        <f t="shared" si="13"/>
        <v>22855</v>
      </c>
      <c r="H47" s="48">
        <f t="shared" si="13"/>
        <v>21855</v>
      </c>
      <c r="I47" s="48">
        <f t="shared" si="13"/>
        <v>22855</v>
      </c>
      <c r="J47" s="48">
        <f t="shared" si="13"/>
        <v>22855</v>
      </c>
      <c r="K47" s="48">
        <f t="shared" si="13"/>
        <v>19255</v>
      </c>
      <c r="L47" s="48">
        <f t="shared" si="13"/>
        <v>24855</v>
      </c>
      <c r="M47" s="48">
        <f t="shared" si="13"/>
        <v>29855</v>
      </c>
      <c r="N47" s="48">
        <f t="shared" si="13"/>
        <v>22575</v>
      </c>
      <c r="O47" s="6">
        <f>SUM(C47:N47)</f>
        <v>289050</v>
      </c>
    </row>
    <row r="48" spans="2:15" s="42" customFormat="1" ht="19.5" x14ac:dyDescent="0.4">
      <c r="B48" s="15" t="s">
        <v>70</v>
      </c>
      <c r="C48" s="43">
        <f>SUM(C49)</f>
        <v>0</v>
      </c>
      <c r="D48" s="43">
        <f t="shared" ref="D48:N48" si="14">SUM(D49)</f>
        <v>0</v>
      </c>
      <c r="E48" s="43">
        <f t="shared" si="14"/>
        <v>0</v>
      </c>
      <c r="F48" s="43">
        <f t="shared" si="14"/>
        <v>0</v>
      </c>
      <c r="G48" s="43">
        <f t="shared" si="14"/>
        <v>0</v>
      </c>
      <c r="H48" s="43">
        <f t="shared" si="14"/>
        <v>0</v>
      </c>
      <c r="I48" s="43">
        <f t="shared" si="14"/>
        <v>0</v>
      </c>
      <c r="J48" s="43">
        <f t="shared" si="14"/>
        <v>0</v>
      </c>
      <c r="K48" s="43">
        <f t="shared" si="14"/>
        <v>0</v>
      </c>
      <c r="L48" s="43">
        <f t="shared" si="14"/>
        <v>0</v>
      </c>
      <c r="M48" s="43">
        <f t="shared" si="14"/>
        <v>0</v>
      </c>
      <c r="N48" s="43">
        <f t="shared" si="14"/>
        <v>0</v>
      </c>
      <c r="O48" s="44">
        <f t="shared" si="5"/>
        <v>0</v>
      </c>
    </row>
    <row r="49" spans="2:16" s="9" customFormat="1" ht="15.75" x14ac:dyDescent="0.25">
      <c r="B49" s="12" t="s">
        <v>71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5">
        <f t="shared" si="5"/>
        <v>0</v>
      </c>
    </row>
    <row r="50" spans="2:16" s="42" customFormat="1" ht="19.5" x14ac:dyDescent="0.4">
      <c r="B50" s="15" t="s">
        <v>72</v>
      </c>
      <c r="C50" s="43">
        <f t="shared" ref="C50:N50" si="15">SUM(C51:C52)</f>
        <v>0</v>
      </c>
      <c r="D50" s="43">
        <f t="shared" si="15"/>
        <v>0</v>
      </c>
      <c r="E50" s="43">
        <f t="shared" si="15"/>
        <v>0</v>
      </c>
      <c r="F50" s="43">
        <f t="shared" si="15"/>
        <v>0</v>
      </c>
      <c r="G50" s="43">
        <f t="shared" si="15"/>
        <v>0</v>
      </c>
      <c r="H50" s="43">
        <f t="shared" si="15"/>
        <v>0</v>
      </c>
      <c r="I50" s="43">
        <f t="shared" si="15"/>
        <v>0</v>
      </c>
      <c r="J50" s="43">
        <f t="shared" si="15"/>
        <v>0</v>
      </c>
      <c r="K50" s="43">
        <f t="shared" si="15"/>
        <v>0</v>
      </c>
      <c r="L50" s="43">
        <f t="shared" si="15"/>
        <v>0</v>
      </c>
      <c r="M50" s="43">
        <f t="shared" si="15"/>
        <v>0</v>
      </c>
      <c r="N50" s="43">
        <f t="shared" si="15"/>
        <v>0</v>
      </c>
      <c r="O50" s="44">
        <f t="shared" si="5"/>
        <v>0</v>
      </c>
    </row>
    <row r="51" spans="2:16" s="9" customFormat="1" ht="15.75" x14ac:dyDescent="0.25">
      <c r="B51" s="12" t="s">
        <v>73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5">
        <f t="shared" si="5"/>
        <v>0</v>
      </c>
    </row>
    <row r="52" spans="2:16" s="9" customFormat="1" ht="15.75" x14ac:dyDescent="0.25">
      <c r="B52" s="12" t="s">
        <v>74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5">
        <f t="shared" si="5"/>
        <v>0</v>
      </c>
    </row>
    <row r="53" spans="2:16" s="42" customFormat="1" ht="19.5" x14ac:dyDescent="0.4">
      <c r="B53" s="15" t="s">
        <v>75</v>
      </c>
      <c r="C53" s="43">
        <f>SUM(C54:C74)</f>
        <v>10100</v>
      </c>
      <c r="D53" s="43">
        <f t="shared" ref="D53:N53" si="16">SUM(D54:D74)</f>
        <v>12380</v>
      </c>
      <c r="E53" s="43">
        <f t="shared" si="16"/>
        <v>12380</v>
      </c>
      <c r="F53" s="43">
        <f t="shared" si="16"/>
        <v>12380</v>
      </c>
      <c r="G53" s="43">
        <f t="shared" si="16"/>
        <v>12380</v>
      </c>
      <c r="H53" s="43">
        <f t="shared" si="16"/>
        <v>12380</v>
      </c>
      <c r="I53" s="43">
        <f t="shared" si="16"/>
        <v>12380</v>
      </c>
      <c r="J53" s="43">
        <f t="shared" si="16"/>
        <v>12380</v>
      </c>
      <c r="K53" s="43">
        <f t="shared" si="16"/>
        <v>12380</v>
      </c>
      <c r="L53" s="43">
        <f t="shared" si="16"/>
        <v>12380</v>
      </c>
      <c r="M53" s="43">
        <f t="shared" si="16"/>
        <v>12380</v>
      </c>
      <c r="N53" s="43">
        <f t="shared" si="16"/>
        <v>10100</v>
      </c>
      <c r="O53" s="44">
        <f>SUM(C53:N53)</f>
        <v>144000</v>
      </c>
      <c r="P53" s="198"/>
    </row>
    <row r="54" spans="2:16" s="9" customFormat="1" ht="15.75" x14ac:dyDescent="0.25">
      <c r="B54" s="12" t="s">
        <v>76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5">
        <f t="shared" si="5"/>
        <v>0</v>
      </c>
    </row>
    <row r="55" spans="2:16" s="9" customFormat="1" ht="15.75" x14ac:dyDescent="0.25">
      <c r="B55" s="12" t="s">
        <v>77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5">
        <f t="shared" si="5"/>
        <v>0</v>
      </c>
    </row>
    <row r="56" spans="2:16" s="9" customFormat="1" ht="15.75" x14ac:dyDescent="0.25">
      <c r="B56" s="12" t="s">
        <v>78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5">
        <f t="shared" si="5"/>
        <v>0</v>
      </c>
    </row>
    <row r="57" spans="2:16" s="9" customFormat="1" ht="15.75" x14ac:dyDescent="0.25">
      <c r="B57" s="12" t="s">
        <v>79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5">
        <f t="shared" si="5"/>
        <v>0</v>
      </c>
    </row>
    <row r="58" spans="2:16" s="9" customFormat="1" ht="15.75" x14ac:dyDescent="0.25">
      <c r="B58" s="12" t="s">
        <v>80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5">
        <f t="shared" si="5"/>
        <v>0</v>
      </c>
    </row>
    <row r="59" spans="2:16" s="9" customFormat="1" ht="15.75" x14ac:dyDescent="0.25">
      <c r="B59" s="12" t="s">
        <v>81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5">
        <f t="shared" si="5"/>
        <v>0</v>
      </c>
    </row>
    <row r="60" spans="2:16" s="9" customFormat="1" ht="15.75" x14ac:dyDescent="0.25">
      <c r="B60" s="12" t="s">
        <v>82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5">
        <f t="shared" si="5"/>
        <v>0</v>
      </c>
    </row>
    <row r="61" spans="2:16" s="9" customFormat="1" ht="15.75" x14ac:dyDescent="0.25">
      <c r="B61" s="12" t="s">
        <v>83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5">
        <f t="shared" si="5"/>
        <v>0</v>
      </c>
    </row>
    <row r="62" spans="2:16" s="9" customFormat="1" ht="15.75" x14ac:dyDescent="0.25">
      <c r="B62" s="12" t="s">
        <v>84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5">
        <f t="shared" si="5"/>
        <v>0</v>
      </c>
    </row>
    <row r="63" spans="2:16" s="9" customFormat="1" ht="15.75" x14ac:dyDescent="0.25">
      <c r="B63" s="12" t="s">
        <v>85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5">
        <f t="shared" si="5"/>
        <v>0</v>
      </c>
    </row>
    <row r="64" spans="2:16" s="9" customFormat="1" ht="15.75" x14ac:dyDescent="0.25">
      <c r="B64" s="12" t="s">
        <v>86</v>
      </c>
      <c r="C64" s="37">
        <v>100</v>
      </c>
      <c r="D64" s="37">
        <v>100</v>
      </c>
      <c r="E64" s="37">
        <v>100</v>
      </c>
      <c r="F64" s="37">
        <v>100</v>
      </c>
      <c r="G64" s="37">
        <v>100</v>
      </c>
      <c r="H64" s="37">
        <v>100</v>
      </c>
      <c r="I64" s="37">
        <v>100</v>
      </c>
      <c r="J64" s="37">
        <v>100</v>
      </c>
      <c r="K64" s="37">
        <v>100</v>
      </c>
      <c r="L64" s="37">
        <v>100</v>
      </c>
      <c r="M64" s="37">
        <v>100</v>
      </c>
      <c r="N64" s="37">
        <v>100</v>
      </c>
      <c r="O64" s="5">
        <f t="shared" si="5"/>
        <v>1200</v>
      </c>
    </row>
    <row r="65" spans="2:15" s="9" customFormat="1" ht="15.75" x14ac:dyDescent="0.25">
      <c r="B65" s="12" t="s">
        <v>87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5">
        <f t="shared" si="5"/>
        <v>0</v>
      </c>
    </row>
    <row r="66" spans="2:15" s="9" customFormat="1" ht="15.75" x14ac:dyDescent="0.25">
      <c r="B66" s="12" t="s">
        <v>88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5">
        <f t="shared" si="5"/>
        <v>0</v>
      </c>
    </row>
    <row r="67" spans="2:15" s="9" customFormat="1" ht="15.75" x14ac:dyDescent="0.25">
      <c r="B67" s="12" t="s">
        <v>89</v>
      </c>
      <c r="C67" s="37">
        <v>10000</v>
      </c>
      <c r="D67" s="37">
        <v>10000</v>
      </c>
      <c r="E67" s="37">
        <v>10000</v>
      </c>
      <c r="F67" s="37">
        <v>10000</v>
      </c>
      <c r="G67" s="37">
        <v>10000</v>
      </c>
      <c r="H67" s="37">
        <v>10000</v>
      </c>
      <c r="I67" s="37">
        <v>10000</v>
      </c>
      <c r="J67" s="37">
        <v>10000</v>
      </c>
      <c r="K67" s="37">
        <v>10000</v>
      </c>
      <c r="L67" s="37">
        <v>10000</v>
      </c>
      <c r="M67" s="37">
        <v>10000</v>
      </c>
      <c r="N67" s="37">
        <v>10000</v>
      </c>
      <c r="O67" s="5">
        <f t="shared" si="5"/>
        <v>120000</v>
      </c>
    </row>
    <row r="68" spans="2:15" s="9" customFormat="1" ht="15.75" x14ac:dyDescent="0.25">
      <c r="B68" s="12" t="s">
        <v>90</v>
      </c>
      <c r="C68" s="37">
        <v>0</v>
      </c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5">
        <f>SUM(C68:N68)</f>
        <v>0</v>
      </c>
    </row>
    <row r="69" spans="2:15" s="9" customFormat="1" ht="15.75" x14ac:dyDescent="0.25">
      <c r="B69" s="12" t="s">
        <v>91</v>
      </c>
      <c r="C69" s="37">
        <v>0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5">
        <f t="shared" si="5"/>
        <v>0</v>
      </c>
    </row>
    <row r="70" spans="2:15" s="9" customFormat="1" ht="15.75" x14ac:dyDescent="0.25">
      <c r="B70" s="12" t="s">
        <v>92</v>
      </c>
      <c r="C70" s="37">
        <v>0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5">
        <f t="shared" si="5"/>
        <v>0</v>
      </c>
    </row>
    <row r="71" spans="2:15" s="9" customFormat="1" ht="15.75" x14ac:dyDescent="0.25">
      <c r="B71" s="12" t="s">
        <v>93</v>
      </c>
      <c r="C71" s="37">
        <v>0</v>
      </c>
      <c r="D71" s="37">
        <v>2280</v>
      </c>
      <c r="E71" s="37">
        <v>2280</v>
      </c>
      <c r="F71" s="37">
        <v>2280</v>
      </c>
      <c r="G71" s="37">
        <v>2280</v>
      </c>
      <c r="H71" s="37">
        <v>2280</v>
      </c>
      <c r="I71" s="37">
        <v>2280</v>
      </c>
      <c r="J71" s="37">
        <v>2280</v>
      </c>
      <c r="K71" s="37">
        <v>2280</v>
      </c>
      <c r="L71" s="37">
        <v>2280</v>
      </c>
      <c r="M71" s="37">
        <v>2280</v>
      </c>
      <c r="N71" s="37">
        <v>0</v>
      </c>
      <c r="O71" s="5">
        <f t="shared" si="5"/>
        <v>22800</v>
      </c>
    </row>
    <row r="72" spans="2:15" s="9" customFormat="1" ht="15.75" x14ac:dyDescent="0.25">
      <c r="B72" s="12" t="s">
        <v>94</v>
      </c>
      <c r="C72" s="37">
        <v>0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5">
        <f t="shared" si="5"/>
        <v>0</v>
      </c>
    </row>
    <row r="73" spans="2:15" s="9" customFormat="1" ht="15.75" x14ac:dyDescent="0.25">
      <c r="B73" s="12" t="s">
        <v>95</v>
      </c>
      <c r="C73" s="37">
        <v>0</v>
      </c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5">
        <f t="shared" si="5"/>
        <v>0</v>
      </c>
    </row>
    <row r="74" spans="2:15" s="9" customFormat="1" ht="15.75" x14ac:dyDescent="0.25">
      <c r="B74" s="12" t="s">
        <v>96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5">
        <f>SUM(C74:N74)</f>
        <v>0</v>
      </c>
    </row>
    <row r="75" spans="2:15" s="9" customFormat="1" ht="19.5" x14ac:dyDescent="0.25">
      <c r="B75" s="15" t="s">
        <v>97</v>
      </c>
      <c r="C75" s="38">
        <f t="shared" ref="C75:N75" si="17">SUM(C76:C98)</f>
        <v>1675</v>
      </c>
      <c r="D75" s="38">
        <f t="shared" si="17"/>
        <v>10225</v>
      </c>
      <c r="E75" s="38">
        <f t="shared" si="17"/>
        <v>6875</v>
      </c>
      <c r="F75" s="38">
        <f t="shared" si="17"/>
        <v>6875</v>
      </c>
      <c r="G75" s="38">
        <f t="shared" si="17"/>
        <v>6875</v>
      </c>
      <c r="H75" s="38">
        <f t="shared" si="17"/>
        <v>6875</v>
      </c>
      <c r="I75" s="38">
        <f t="shared" si="17"/>
        <v>6875</v>
      </c>
      <c r="J75" s="38">
        <f t="shared" si="17"/>
        <v>6875</v>
      </c>
      <c r="K75" s="38">
        <f t="shared" si="17"/>
        <v>6875</v>
      </c>
      <c r="L75" s="38">
        <f t="shared" si="17"/>
        <v>6875</v>
      </c>
      <c r="M75" s="38">
        <f t="shared" si="17"/>
        <v>6875</v>
      </c>
      <c r="N75" s="38">
        <f t="shared" si="17"/>
        <v>6875</v>
      </c>
      <c r="O75" s="7">
        <f>SUM(C75:N75)</f>
        <v>80650</v>
      </c>
    </row>
    <row r="76" spans="2:15" s="9" customFormat="1" ht="15.75" x14ac:dyDescent="0.25">
      <c r="B76" s="12" t="s">
        <v>98</v>
      </c>
      <c r="C76" s="37">
        <v>1250</v>
      </c>
      <c r="D76" s="37">
        <v>1250</v>
      </c>
      <c r="E76" s="37">
        <v>1250</v>
      </c>
      <c r="F76" s="37">
        <v>1250</v>
      </c>
      <c r="G76" s="37">
        <v>1250</v>
      </c>
      <c r="H76" s="37">
        <v>1250</v>
      </c>
      <c r="I76" s="37">
        <v>1250</v>
      </c>
      <c r="J76" s="37">
        <v>1250</v>
      </c>
      <c r="K76" s="37">
        <v>1250</v>
      </c>
      <c r="L76" s="37">
        <v>1250</v>
      </c>
      <c r="M76" s="37">
        <v>1250</v>
      </c>
      <c r="N76" s="37">
        <v>1250</v>
      </c>
      <c r="O76" s="5">
        <f t="shared" ref="O76:O138" si="18">SUM(C76:N76)</f>
        <v>15000</v>
      </c>
    </row>
    <row r="77" spans="2:15" s="9" customFormat="1" ht="15.75" x14ac:dyDescent="0.25">
      <c r="B77" s="12" t="s">
        <v>99</v>
      </c>
      <c r="C77" s="37">
        <v>0</v>
      </c>
      <c r="D77" s="37">
        <v>1800</v>
      </c>
      <c r="E77" s="37">
        <v>1800</v>
      </c>
      <c r="F77" s="37">
        <v>1800</v>
      </c>
      <c r="G77" s="37">
        <v>1800</v>
      </c>
      <c r="H77" s="37">
        <v>1800</v>
      </c>
      <c r="I77" s="37">
        <v>1800</v>
      </c>
      <c r="J77" s="37">
        <v>1800</v>
      </c>
      <c r="K77" s="37">
        <v>1800</v>
      </c>
      <c r="L77" s="37">
        <v>1800</v>
      </c>
      <c r="M77" s="37">
        <v>1800</v>
      </c>
      <c r="N77" s="37">
        <v>1800</v>
      </c>
      <c r="O77" s="5">
        <f t="shared" si="18"/>
        <v>19800</v>
      </c>
    </row>
    <row r="78" spans="2:15" s="9" customFormat="1" ht="15.75" x14ac:dyDescent="0.25">
      <c r="B78" s="12" t="s">
        <v>100</v>
      </c>
      <c r="C78" s="37">
        <v>0</v>
      </c>
      <c r="D78" s="37">
        <v>0</v>
      </c>
      <c r="E78" s="37">
        <v>0</v>
      </c>
      <c r="F78" s="37">
        <v>0</v>
      </c>
      <c r="G78" s="37">
        <v>0</v>
      </c>
      <c r="H78" s="37">
        <v>0</v>
      </c>
      <c r="I78" s="37">
        <v>0</v>
      </c>
      <c r="J78" s="37">
        <v>0</v>
      </c>
      <c r="K78" s="37">
        <v>0</v>
      </c>
      <c r="L78" s="37">
        <v>0</v>
      </c>
      <c r="M78" s="37">
        <v>0</v>
      </c>
      <c r="N78" s="37">
        <v>0</v>
      </c>
      <c r="O78" s="5">
        <f t="shared" si="18"/>
        <v>0</v>
      </c>
    </row>
    <row r="79" spans="2:15" s="9" customFormat="1" ht="15.75" x14ac:dyDescent="0.25">
      <c r="B79" s="12" t="s">
        <v>101</v>
      </c>
      <c r="C79" s="37">
        <v>0</v>
      </c>
      <c r="D79" s="37">
        <v>0</v>
      </c>
      <c r="E79" s="37">
        <v>0</v>
      </c>
      <c r="F79" s="37">
        <v>0</v>
      </c>
      <c r="G79" s="37">
        <v>0</v>
      </c>
      <c r="H79" s="37">
        <v>0</v>
      </c>
      <c r="I79" s="37">
        <v>0</v>
      </c>
      <c r="J79" s="37">
        <v>0</v>
      </c>
      <c r="K79" s="37">
        <v>0</v>
      </c>
      <c r="L79" s="37">
        <v>0</v>
      </c>
      <c r="M79" s="37">
        <v>0</v>
      </c>
      <c r="N79" s="37">
        <v>0</v>
      </c>
      <c r="O79" s="5">
        <f t="shared" si="18"/>
        <v>0</v>
      </c>
    </row>
    <row r="80" spans="2:15" s="9" customFormat="1" ht="15.75" x14ac:dyDescent="0.25">
      <c r="B80" s="12" t="s">
        <v>102</v>
      </c>
      <c r="C80" s="37">
        <v>75</v>
      </c>
      <c r="D80" s="37">
        <v>75</v>
      </c>
      <c r="E80" s="37">
        <v>75</v>
      </c>
      <c r="F80" s="37">
        <v>75</v>
      </c>
      <c r="G80" s="37">
        <v>75</v>
      </c>
      <c r="H80" s="37">
        <v>75</v>
      </c>
      <c r="I80" s="37">
        <v>75</v>
      </c>
      <c r="J80" s="37">
        <v>75</v>
      </c>
      <c r="K80" s="37">
        <v>75</v>
      </c>
      <c r="L80" s="37">
        <v>75</v>
      </c>
      <c r="M80" s="37">
        <v>75</v>
      </c>
      <c r="N80" s="37">
        <v>75</v>
      </c>
      <c r="O80" s="5">
        <f t="shared" si="18"/>
        <v>900</v>
      </c>
    </row>
    <row r="81" spans="2:15" s="9" customFormat="1" ht="15.75" x14ac:dyDescent="0.25">
      <c r="B81" s="12" t="s">
        <v>103</v>
      </c>
      <c r="C81" s="37">
        <v>0</v>
      </c>
      <c r="D81" s="37">
        <v>350</v>
      </c>
      <c r="E81" s="37">
        <v>0</v>
      </c>
      <c r="F81" s="37">
        <v>0</v>
      </c>
      <c r="G81" s="37">
        <v>0</v>
      </c>
      <c r="H81" s="37">
        <v>0</v>
      </c>
      <c r="I81" s="37">
        <v>0</v>
      </c>
      <c r="J81" s="37">
        <v>0</v>
      </c>
      <c r="K81" s="37">
        <v>0</v>
      </c>
      <c r="L81" s="37">
        <v>0</v>
      </c>
      <c r="M81" s="37">
        <v>0</v>
      </c>
      <c r="N81" s="37">
        <v>0</v>
      </c>
      <c r="O81" s="5">
        <f t="shared" si="18"/>
        <v>350</v>
      </c>
    </row>
    <row r="82" spans="2:15" s="9" customFormat="1" ht="15.75" x14ac:dyDescent="0.25">
      <c r="B82" s="12" t="s">
        <v>104</v>
      </c>
      <c r="C82" s="37">
        <v>0</v>
      </c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0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5">
        <f t="shared" si="18"/>
        <v>0</v>
      </c>
    </row>
    <row r="83" spans="2:15" s="9" customFormat="1" ht="15.75" x14ac:dyDescent="0.25">
      <c r="B83" s="12" t="s">
        <v>105</v>
      </c>
      <c r="C83" s="37">
        <v>0</v>
      </c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0</v>
      </c>
      <c r="J83" s="37">
        <v>0</v>
      </c>
      <c r="K83" s="37">
        <v>0</v>
      </c>
      <c r="L83" s="37">
        <v>0</v>
      </c>
      <c r="M83" s="37">
        <v>0</v>
      </c>
      <c r="N83" s="37">
        <v>0</v>
      </c>
      <c r="O83" s="5">
        <f t="shared" si="18"/>
        <v>0</v>
      </c>
    </row>
    <row r="84" spans="2:15" s="9" customFormat="1" ht="15.75" x14ac:dyDescent="0.25">
      <c r="B84" s="12" t="s">
        <v>106</v>
      </c>
      <c r="C84" s="37">
        <v>0</v>
      </c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0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5">
        <f t="shared" si="18"/>
        <v>0</v>
      </c>
    </row>
    <row r="85" spans="2:15" s="9" customFormat="1" ht="15.75" x14ac:dyDescent="0.25">
      <c r="B85" s="12" t="s">
        <v>107</v>
      </c>
      <c r="C85" s="37">
        <v>0</v>
      </c>
      <c r="D85" s="37">
        <v>0</v>
      </c>
      <c r="E85" s="37">
        <v>0</v>
      </c>
      <c r="F85" s="37">
        <v>0</v>
      </c>
      <c r="G85" s="37">
        <v>0</v>
      </c>
      <c r="H85" s="37">
        <v>0</v>
      </c>
      <c r="I85" s="37">
        <v>0</v>
      </c>
      <c r="J85" s="37">
        <v>0</v>
      </c>
      <c r="K85" s="37">
        <v>0</v>
      </c>
      <c r="L85" s="37">
        <v>0</v>
      </c>
      <c r="M85" s="37">
        <v>0</v>
      </c>
      <c r="N85" s="37">
        <v>0</v>
      </c>
      <c r="O85" s="5">
        <f t="shared" si="18"/>
        <v>0</v>
      </c>
    </row>
    <row r="86" spans="2:15" s="9" customFormat="1" ht="15.75" x14ac:dyDescent="0.25">
      <c r="B86" s="12" t="s">
        <v>108</v>
      </c>
      <c r="C86" s="37">
        <v>0</v>
      </c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5">
        <f t="shared" si="18"/>
        <v>0</v>
      </c>
    </row>
    <row r="87" spans="2:15" s="9" customFormat="1" ht="15.75" x14ac:dyDescent="0.25">
      <c r="B87" s="12" t="s">
        <v>109</v>
      </c>
      <c r="C87" s="37">
        <v>0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5">
        <f t="shared" si="18"/>
        <v>0</v>
      </c>
    </row>
    <row r="88" spans="2:15" s="9" customFormat="1" ht="15.75" x14ac:dyDescent="0.25">
      <c r="B88" s="12" t="s">
        <v>110</v>
      </c>
      <c r="C88" s="37">
        <v>0</v>
      </c>
      <c r="D88" s="37">
        <v>50</v>
      </c>
      <c r="E88" s="37">
        <v>50</v>
      </c>
      <c r="F88" s="37">
        <v>50</v>
      </c>
      <c r="G88" s="37">
        <v>50</v>
      </c>
      <c r="H88" s="37">
        <v>50</v>
      </c>
      <c r="I88" s="37">
        <v>50</v>
      </c>
      <c r="J88" s="37">
        <v>50</v>
      </c>
      <c r="K88" s="37">
        <v>50</v>
      </c>
      <c r="L88" s="37">
        <v>50</v>
      </c>
      <c r="M88" s="37">
        <v>50</v>
      </c>
      <c r="N88" s="37">
        <v>50</v>
      </c>
      <c r="O88" s="5">
        <f t="shared" si="18"/>
        <v>550</v>
      </c>
    </row>
    <row r="89" spans="2:15" s="9" customFormat="1" ht="15.75" x14ac:dyDescent="0.25">
      <c r="B89" s="12" t="s">
        <v>111</v>
      </c>
      <c r="C89" s="37">
        <v>0</v>
      </c>
      <c r="D89" s="37">
        <v>3000</v>
      </c>
      <c r="E89" s="37">
        <v>0</v>
      </c>
      <c r="F89" s="37">
        <v>0</v>
      </c>
      <c r="G89" s="37">
        <v>0</v>
      </c>
      <c r="H89" s="37">
        <v>0</v>
      </c>
      <c r="I89" s="37">
        <v>0</v>
      </c>
      <c r="J89" s="37">
        <v>0</v>
      </c>
      <c r="K89" s="37">
        <v>0</v>
      </c>
      <c r="L89" s="37">
        <v>0</v>
      </c>
      <c r="M89" s="37">
        <v>0</v>
      </c>
      <c r="N89" s="37">
        <v>0</v>
      </c>
      <c r="O89" s="5">
        <f t="shared" si="18"/>
        <v>3000</v>
      </c>
    </row>
    <row r="90" spans="2:15" s="9" customFormat="1" ht="15.75" x14ac:dyDescent="0.25">
      <c r="B90" s="12" t="s">
        <v>112</v>
      </c>
      <c r="C90" s="37">
        <v>350</v>
      </c>
      <c r="D90" s="37">
        <v>350</v>
      </c>
      <c r="E90" s="37">
        <v>350</v>
      </c>
      <c r="F90" s="37">
        <v>350</v>
      </c>
      <c r="G90" s="37">
        <v>350</v>
      </c>
      <c r="H90" s="37">
        <v>350</v>
      </c>
      <c r="I90" s="37">
        <v>350</v>
      </c>
      <c r="J90" s="37">
        <v>350</v>
      </c>
      <c r="K90" s="37">
        <v>350</v>
      </c>
      <c r="L90" s="37">
        <v>350</v>
      </c>
      <c r="M90" s="37">
        <v>350</v>
      </c>
      <c r="N90" s="37">
        <v>350</v>
      </c>
      <c r="O90" s="5">
        <f t="shared" si="18"/>
        <v>4200</v>
      </c>
    </row>
    <row r="91" spans="2:15" s="9" customFormat="1" ht="15.75" x14ac:dyDescent="0.25">
      <c r="B91" s="12" t="s">
        <v>113</v>
      </c>
      <c r="C91" s="37">
        <v>0</v>
      </c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5">
        <f t="shared" si="18"/>
        <v>0</v>
      </c>
    </row>
    <row r="92" spans="2:15" s="9" customFormat="1" ht="15.75" x14ac:dyDescent="0.25">
      <c r="B92" s="12" t="s">
        <v>114</v>
      </c>
      <c r="C92" s="37">
        <v>0</v>
      </c>
      <c r="D92" s="37">
        <v>0</v>
      </c>
      <c r="E92" s="37">
        <v>0</v>
      </c>
      <c r="F92" s="37">
        <v>0</v>
      </c>
      <c r="G92" s="37">
        <v>0</v>
      </c>
      <c r="H92" s="37">
        <v>0</v>
      </c>
      <c r="I92" s="37">
        <v>0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5">
        <f t="shared" si="18"/>
        <v>0</v>
      </c>
    </row>
    <row r="93" spans="2:15" s="9" customFormat="1" ht="15.75" x14ac:dyDescent="0.25">
      <c r="B93" s="12" t="s">
        <v>115</v>
      </c>
      <c r="C93" s="37">
        <v>0</v>
      </c>
      <c r="D93" s="37">
        <v>3000</v>
      </c>
      <c r="E93" s="37">
        <v>3000</v>
      </c>
      <c r="F93" s="37">
        <v>3000</v>
      </c>
      <c r="G93" s="37">
        <v>3000</v>
      </c>
      <c r="H93" s="37">
        <v>3000</v>
      </c>
      <c r="I93" s="37">
        <v>3000</v>
      </c>
      <c r="J93" s="37">
        <v>3000</v>
      </c>
      <c r="K93" s="37">
        <v>3000</v>
      </c>
      <c r="L93" s="37">
        <v>3000</v>
      </c>
      <c r="M93" s="37">
        <v>3000</v>
      </c>
      <c r="N93" s="37">
        <v>3000</v>
      </c>
      <c r="O93" s="5">
        <f t="shared" si="18"/>
        <v>33000</v>
      </c>
    </row>
    <row r="94" spans="2:15" s="9" customFormat="1" ht="15.75" x14ac:dyDescent="0.25">
      <c r="B94" s="12" t="s">
        <v>116</v>
      </c>
      <c r="C94" s="37">
        <v>0</v>
      </c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0</v>
      </c>
      <c r="J94" s="37">
        <v>0</v>
      </c>
      <c r="K94" s="37">
        <v>0</v>
      </c>
      <c r="L94" s="37">
        <v>0</v>
      </c>
      <c r="M94" s="37">
        <v>0</v>
      </c>
      <c r="N94" s="37">
        <v>0</v>
      </c>
      <c r="O94" s="5">
        <f t="shared" si="18"/>
        <v>0</v>
      </c>
    </row>
    <row r="95" spans="2:15" s="9" customFormat="1" ht="15.75" x14ac:dyDescent="0.25">
      <c r="B95" s="12" t="s">
        <v>117</v>
      </c>
      <c r="C95" s="37">
        <v>0</v>
      </c>
      <c r="D95" s="37">
        <v>0</v>
      </c>
      <c r="E95" s="37">
        <v>0</v>
      </c>
      <c r="F95" s="37">
        <v>0</v>
      </c>
      <c r="G95" s="37">
        <v>0</v>
      </c>
      <c r="H95" s="37">
        <v>0</v>
      </c>
      <c r="I95" s="37">
        <v>0</v>
      </c>
      <c r="J95" s="37">
        <v>0</v>
      </c>
      <c r="K95" s="37">
        <v>0</v>
      </c>
      <c r="L95" s="37">
        <v>0</v>
      </c>
      <c r="M95" s="37">
        <v>0</v>
      </c>
      <c r="N95" s="37">
        <v>0</v>
      </c>
      <c r="O95" s="5">
        <f t="shared" si="18"/>
        <v>0</v>
      </c>
    </row>
    <row r="96" spans="2:15" s="9" customFormat="1" ht="15.75" x14ac:dyDescent="0.25">
      <c r="B96" s="12" t="s">
        <v>118</v>
      </c>
      <c r="C96" s="37">
        <v>0</v>
      </c>
      <c r="D96" s="37">
        <v>350</v>
      </c>
      <c r="E96" s="37">
        <v>350</v>
      </c>
      <c r="F96" s="37">
        <v>350</v>
      </c>
      <c r="G96" s="37">
        <v>350</v>
      </c>
      <c r="H96" s="37">
        <v>350</v>
      </c>
      <c r="I96" s="37">
        <v>350</v>
      </c>
      <c r="J96" s="37">
        <v>350</v>
      </c>
      <c r="K96" s="37">
        <v>350</v>
      </c>
      <c r="L96" s="37">
        <v>350</v>
      </c>
      <c r="M96" s="37">
        <v>350</v>
      </c>
      <c r="N96" s="37">
        <v>350</v>
      </c>
      <c r="O96" s="5">
        <f t="shared" si="18"/>
        <v>3850</v>
      </c>
    </row>
    <row r="97" spans="2:15" s="9" customFormat="1" ht="15.75" x14ac:dyDescent="0.25">
      <c r="B97" s="12" t="s">
        <v>119</v>
      </c>
      <c r="C97" s="37">
        <v>0</v>
      </c>
      <c r="D97" s="37">
        <v>0</v>
      </c>
      <c r="E97" s="37">
        <v>0</v>
      </c>
      <c r="F97" s="37">
        <v>0</v>
      </c>
      <c r="G97" s="37">
        <v>0</v>
      </c>
      <c r="H97" s="37">
        <v>0</v>
      </c>
      <c r="I97" s="37">
        <v>0</v>
      </c>
      <c r="J97" s="37">
        <v>0</v>
      </c>
      <c r="K97" s="37">
        <v>0</v>
      </c>
      <c r="L97" s="37">
        <v>0</v>
      </c>
      <c r="M97" s="37">
        <v>0</v>
      </c>
      <c r="N97" s="37">
        <v>0</v>
      </c>
      <c r="O97" s="5">
        <f t="shared" si="18"/>
        <v>0</v>
      </c>
    </row>
    <row r="98" spans="2:15" s="9" customFormat="1" ht="15.75" x14ac:dyDescent="0.25">
      <c r="B98" s="12" t="s">
        <v>120</v>
      </c>
      <c r="C98" s="37">
        <v>0</v>
      </c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0</v>
      </c>
      <c r="J98" s="37">
        <v>0</v>
      </c>
      <c r="K98" s="37">
        <v>0</v>
      </c>
      <c r="L98" s="37">
        <v>0</v>
      </c>
      <c r="M98" s="37">
        <v>0</v>
      </c>
      <c r="N98" s="37">
        <v>0</v>
      </c>
      <c r="O98" s="5">
        <f t="shared" si="18"/>
        <v>0</v>
      </c>
    </row>
    <row r="99" spans="2:15" s="9" customFormat="1" ht="19.5" x14ac:dyDescent="0.25">
      <c r="B99" s="15" t="s">
        <v>121</v>
      </c>
      <c r="C99" s="38">
        <f>SUM(C100:C104)</f>
        <v>0</v>
      </c>
      <c r="D99" s="38">
        <f t="shared" ref="D99:N99" si="19">SUM(D100:D104)</f>
        <v>0</v>
      </c>
      <c r="E99" s="38">
        <f t="shared" si="19"/>
        <v>0</v>
      </c>
      <c r="F99" s="38">
        <f t="shared" si="19"/>
        <v>0</v>
      </c>
      <c r="G99" s="38">
        <f t="shared" si="19"/>
        <v>0</v>
      </c>
      <c r="H99" s="38">
        <f t="shared" si="19"/>
        <v>0</v>
      </c>
      <c r="I99" s="38">
        <f t="shared" si="19"/>
        <v>0</v>
      </c>
      <c r="J99" s="38">
        <f t="shared" si="19"/>
        <v>0</v>
      </c>
      <c r="K99" s="38">
        <f t="shared" si="19"/>
        <v>0</v>
      </c>
      <c r="L99" s="38">
        <f t="shared" si="19"/>
        <v>0</v>
      </c>
      <c r="M99" s="38">
        <f t="shared" si="19"/>
        <v>0</v>
      </c>
      <c r="N99" s="38">
        <f t="shared" si="19"/>
        <v>0</v>
      </c>
      <c r="O99" s="7">
        <f>SUM(C99:N99)</f>
        <v>0</v>
      </c>
    </row>
    <row r="100" spans="2:15" s="9" customFormat="1" ht="15.75" x14ac:dyDescent="0.25">
      <c r="B100" s="36" t="s">
        <v>122</v>
      </c>
      <c r="C100" s="37">
        <v>0</v>
      </c>
      <c r="D100" s="37">
        <v>0</v>
      </c>
      <c r="E100" s="37">
        <v>0</v>
      </c>
      <c r="F100" s="37">
        <v>0</v>
      </c>
      <c r="G100" s="37">
        <v>0</v>
      </c>
      <c r="H100" s="37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5">
        <f t="shared" si="18"/>
        <v>0</v>
      </c>
    </row>
    <row r="101" spans="2:15" s="9" customFormat="1" ht="15.75" x14ac:dyDescent="0.25">
      <c r="B101" s="36" t="s">
        <v>123</v>
      </c>
      <c r="C101" s="37">
        <v>0</v>
      </c>
      <c r="D101" s="37">
        <v>0</v>
      </c>
      <c r="E101" s="37">
        <v>0</v>
      </c>
      <c r="F101" s="37">
        <v>0</v>
      </c>
      <c r="G101" s="37">
        <v>0</v>
      </c>
      <c r="H101" s="37">
        <v>0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5">
        <f t="shared" si="18"/>
        <v>0</v>
      </c>
    </row>
    <row r="102" spans="2:15" s="9" customFormat="1" ht="15.75" x14ac:dyDescent="0.25">
      <c r="B102" s="36" t="s">
        <v>124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>
        <v>0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5">
        <f t="shared" si="18"/>
        <v>0</v>
      </c>
    </row>
    <row r="103" spans="2:15" s="9" customFormat="1" ht="15.75" x14ac:dyDescent="0.25">
      <c r="B103" s="12" t="s">
        <v>125</v>
      </c>
      <c r="C103" s="37">
        <v>0</v>
      </c>
      <c r="D103" s="37">
        <v>0</v>
      </c>
      <c r="E103" s="37">
        <v>0</v>
      </c>
      <c r="F103" s="37">
        <v>0</v>
      </c>
      <c r="G103" s="37">
        <v>0</v>
      </c>
      <c r="H103" s="37">
        <v>0</v>
      </c>
      <c r="I103" s="37">
        <v>0</v>
      </c>
      <c r="J103" s="37">
        <v>0</v>
      </c>
      <c r="K103" s="37">
        <v>0</v>
      </c>
      <c r="L103" s="37">
        <v>0</v>
      </c>
      <c r="M103" s="37">
        <v>0</v>
      </c>
      <c r="N103" s="37">
        <v>0</v>
      </c>
      <c r="O103" s="5">
        <f t="shared" si="18"/>
        <v>0</v>
      </c>
    </row>
    <row r="104" spans="2:15" s="9" customFormat="1" ht="15.75" x14ac:dyDescent="0.25">
      <c r="B104" s="12" t="s">
        <v>126</v>
      </c>
      <c r="C104" s="37">
        <v>0</v>
      </c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5">
        <f t="shared" si="18"/>
        <v>0</v>
      </c>
    </row>
    <row r="105" spans="2:15" s="9" customFormat="1" ht="19.5" x14ac:dyDescent="0.25">
      <c r="B105" s="15" t="s">
        <v>127</v>
      </c>
      <c r="C105" s="38">
        <f>SUM(C106:C115)</f>
        <v>0</v>
      </c>
      <c r="D105" s="38">
        <f t="shared" ref="D105:N105" si="20">SUM(D106:D115)</f>
        <v>0</v>
      </c>
      <c r="E105" s="38">
        <f t="shared" si="20"/>
        <v>0</v>
      </c>
      <c r="F105" s="38">
        <f t="shared" si="20"/>
        <v>0</v>
      </c>
      <c r="G105" s="38">
        <f t="shared" si="20"/>
        <v>0</v>
      </c>
      <c r="H105" s="38">
        <f t="shared" si="20"/>
        <v>0</v>
      </c>
      <c r="I105" s="38">
        <f t="shared" si="20"/>
        <v>0</v>
      </c>
      <c r="J105" s="38">
        <f t="shared" si="20"/>
        <v>0</v>
      </c>
      <c r="K105" s="38">
        <f t="shared" si="20"/>
        <v>0</v>
      </c>
      <c r="L105" s="38">
        <f t="shared" si="20"/>
        <v>0</v>
      </c>
      <c r="M105" s="38">
        <f t="shared" si="20"/>
        <v>0</v>
      </c>
      <c r="N105" s="38">
        <f t="shared" si="20"/>
        <v>0</v>
      </c>
      <c r="O105" s="7">
        <f t="shared" si="18"/>
        <v>0</v>
      </c>
    </row>
    <row r="106" spans="2:15" s="9" customFormat="1" ht="15.75" x14ac:dyDescent="0.25">
      <c r="B106" s="12" t="s">
        <v>128</v>
      </c>
      <c r="C106" s="37">
        <v>0</v>
      </c>
      <c r="D106" s="37">
        <v>0</v>
      </c>
      <c r="E106" s="37">
        <v>0</v>
      </c>
      <c r="F106" s="37">
        <v>0</v>
      </c>
      <c r="G106" s="37">
        <v>0</v>
      </c>
      <c r="H106" s="37">
        <v>0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5">
        <f t="shared" si="18"/>
        <v>0</v>
      </c>
    </row>
    <row r="107" spans="2:15" s="9" customFormat="1" ht="15.75" x14ac:dyDescent="0.25">
      <c r="B107" s="12" t="s">
        <v>129</v>
      </c>
      <c r="C107" s="37">
        <v>0</v>
      </c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0</v>
      </c>
      <c r="J107" s="37">
        <v>0</v>
      </c>
      <c r="K107" s="37">
        <v>0</v>
      </c>
      <c r="L107" s="37">
        <v>0</v>
      </c>
      <c r="M107" s="37">
        <v>0</v>
      </c>
      <c r="N107" s="37">
        <v>0</v>
      </c>
      <c r="O107" s="5">
        <f t="shared" si="18"/>
        <v>0</v>
      </c>
    </row>
    <row r="108" spans="2:15" s="9" customFormat="1" ht="15.75" x14ac:dyDescent="0.25">
      <c r="B108" s="12" t="s">
        <v>130</v>
      </c>
      <c r="C108" s="37">
        <v>0</v>
      </c>
      <c r="D108" s="37">
        <v>0</v>
      </c>
      <c r="E108" s="37">
        <v>0</v>
      </c>
      <c r="F108" s="37">
        <v>0</v>
      </c>
      <c r="G108" s="37">
        <v>0</v>
      </c>
      <c r="H108" s="37">
        <v>0</v>
      </c>
      <c r="I108" s="37">
        <v>0</v>
      </c>
      <c r="J108" s="37">
        <v>0</v>
      </c>
      <c r="K108" s="37">
        <v>0</v>
      </c>
      <c r="L108" s="37">
        <v>0</v>
      </c>
      <c r="M108" s="37">
        <v>0</v>
      </c>
      <c r="N108" s="37">
        <v>0</v>
      </c>
      <c r="O108" s="5">
        <f t="shared" si="18"/>
        <v>0</v>
      </c>
    </row>
    <row r="109" spans="2:15" s="9" customFormat="1" ht="15.75" x14ac:dyDescent="0.25">
      <c r="B109" s="12" t="s">
        <v>131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5">
        <f t="shared" si="18"/>
        <v>0</v>
      </c>
    </row>
    <row r="110" spans="2:15" s="9" customFormat="1" ht="15.75" x14ac:dyDescent="0.25">
      <c r="B110" s="12" t="s">
        <v>132</v>
      </c>
      <c r="C110" s="37">
        <v>0</v>
      </c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0</v>
      </c>
      <c r="J110" s="37">
        <v>0</v>
      </c>
      <c r="K110" s="37">
        <v>0</v>
      </c>
      <c r="L110" s="37">
        <v>0</v>
      </c>
      <c r="M110" s="37">
        <v>0</v>
      </c>
      <c r="N110" s="37">
        <v>0</v>
      </c>
      <c r="O110" s="5">
        <f t="shared" si="18"/>
        <v>0</v>
      </c>
    </row>
    <row r="111" spans="2:15" s="9" customFormat="1" ht="15.75" x14ac:dyDescent="0.25">
      <c r="B111" s="12" t="s">
        <v>133</v>
      </c>
      <c r="C111" s="37">
        <v>0</v>
      </c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0</v>
      </c>
      <c r="J111" s="37">
        <v>0</v>
      </c>
      <c r="K111" s="37">
        <v>0</v>
      </c>
      <c r="L111" s="37">
        <v>0</v>
      </c>
      <c r="M111" s="37">
        <v>0</v>
      </c>
      <c r="N111" s="37">
        <v>0</v>
      </c>
      <c r="O111" s="5">
        <f t="shared" si="18"/>
        <v>0</v>
      </c>
    </row>
    <row r="112" spans="2:15" s="9" customFormat="1" ht="15.75" x14ac:dyDescent="0.25">
      <c r="B112" s="12" t="s">
        <v>134</v>
      </c>
      <c r="C112" s="37">
        <v>0</v>
      </c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5">
        <f t="shared" si="18"/>
        <v>0</v>
      </c>
    </row>
    <row r="113" spans="2:15" s="9" customFormat="1" ht="15.75" x14ac:dyDescent="0.25">
      <c r="B113" s="12" t="s">
        <v>135</v>
      </c>
      <c r="C113" s="37">
        <v>0</v>
      </c>
      <c r="D113" s="37">
        <v>0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5">
        <f t="shared" si="18"/>
        <v>0</v>
      </c>
    </row>
    <row r="114" spans="2:15" s="9" customFormat="1" ht="15.75" x14ac:dyDescent="0.25">
      <c r="B114" s="12" t="s">
        <v>136</v>
      </c>
      <c r="C114" s="37">
        <v>0</v>
      </c>
      <c r="D114" s="37">
        <v>0</v>
      </c>
      <c r="E114" s="37">
        <v>0</v>
      </c>
      <c r="F114" s="37">
        <v>0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5">
        <f t="shared" si="18"/>
        <v>0</v>
      </c>
    </row>
    <row r="115" spans="2:15" s="9" customFormat="1" ht="15.75" x14ac:dyDescent="0.25">
      <c r="B115" s="12" t="s">
        <v>137</v>
      </c>
      <c r="C115" s="37">
        <v>0</v>
      </c>
      <c r="D115" s="37">
        <v>0</v>
      </c>
      <c r="E115" s="37">
        <v>0</v>
      </c>
      <c r="F115" s="37">
        <v>0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5">
        <f t="shared" si="18"/>
        <v>0</v>
      </c>
    </row>
    <row r="116" spans="2:15" s="42" customFormat="1" ht="19.5" x14ac:dyDescent="0.4">
      <c r="B116" s="15" t="s">
        <v>138</v>
      </c>
      <c r="C116" s="45">
        <f>SUM(C117:C119)</f>
        <v>0</v>
      </c>
      <c r="D116" s="45">
        <f t="shared" ref="D116:N116" si="21">SUM(D117:D119)</f>
        <v>18600</v>
      </c>
      <c r="E116" s="45">
        <f t="shared" si="21"/>
        <v>0</v>
      </c>
      <c r="F116" s="45">
        <f t="shared" si="21"/>
        <v>0</v>
      </c>
      <c r="G116" s="45">
        <f t="shared" si="21"/>
        <v>0</v>
      </c>
      <c r="H116" s="45">
        <f t="shared" si="21"/>
        <v>0</v>
      </c>
      <c r="I116" s="45">
        <f t="shared" si="21"/>
        <v>0</v>
      </c>
      <c r="J116" s="45">
        <f t="shared" si="21"/>
        <v>0</v>
      </c>
      <c r="K116" s="45">
        <f t="shared" si="21"/>
        <v>0</v>
      </c>
      <c r="L116" s="45">
        <f t="shared" si="21"/>
        <v>0</v>
      </c>
      <c r="M116" s="45">
        <f t="shared" si="21"/>
        <v>0</v>
      </c>
      <c r="N116" s="45">
        <f t="shared" si="21"/>
        <v>0</v>
      </c>
      <c r="O116" s="44">
        <f t="shared" si="18"/>
        <v>18600</v>
      </c>
    </row>
    <row r="117" spans="2:15" s="9" customFormat="1" ht="15.75" x14ac:dyDescent="0.25">
      <c r="B117" s="12" t="s">
        <v>139</v>
      </c>
      <c r="C117" s="37">
        <v>0</v>
      </c>
      <c r="D117" s="37">
        <v>200</v>
      </c>
      <c r="E117" s="37">
        <v>0</v>
      </c>
      <c r="F117" s="37">
        <v>0</v>
      </c>
      <c r="G117" s="37">
        <v>0</v>
      </c>
      <c r="H117" s="37">
        <v>0</v>
      </c>
      <c r="I117" s="37">
        <v>0</v>
      </c>
      <c r="J117" s="37">
        <v>0</v>
      </c>
      <c r="K117" s="37">
        <v>0</v>
      </c>
      <c r="L117" s="37">
        <v>0</v>
      </c>
      <c r="M117" s="37">
        <v>0</v>
      </c>
      <c r="N117" s="37">
        <v>0</v>
      </c>
      <c r="O117" s="5">
        <f t="shared" si="18"/>
        <v>200</v>
      </c>
    </row>
    <row r="118" spans="2:15" s="9" customFormat="1" ht="15.75" x14ac:dyDescent="0.25">
      <c r="B118" s="12" t="s">
        <v>140</v>
      </c>
      <c r="C118" s="37">
        <v>0</v>
      </c>
      <c r="D118" s="37">
        <v>1400</v>
      </c>
      <c r="E118" s="37">
        <v>0</v>
      </c>
      <c r="F118" s="37">
        <v>0</v>
      </c>
      <c r="G118" s="37">
        <v>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5">
        <f t="shared" si="18"/>
        <v>1400</v>
      </c>
    </row>
    <row r="119" spans="2:15" s="9" customFormat="1" ht="15.75" x14ac:dyDescent="0.25">
      <c r="B119" s="12" t="s">
        <v>141</v>
      </c>
      <c r="C119" s="37">
        <v>0</v>
      </c>
      <c r="D119" s="37">
        <v>17000</v>
      </c>
      <c r="E119" s="37">
        <v>0</v>
      </c>
      <c r="F119" s="37">
        <v>0</v>
      </c>
      <c r="G119" s="37">
        <v>0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5">
        <f t="shared" si="18"/>
        <v>17000</v>
      </c>
    </row>
    <row r="120" spans="2:15" s="42" customFormat="1" ht="19.5" x14ac:dyDescent="0.4">
      <c r="B120" s="15" t="s">
        <v>142</v>
      </c>
      <c r="C120" s="45">
        <f>SUM(C121:C122)</f>
        <v>0</v>
      </c>
      <c r="D120" s="45">
        <f t="shared" ref="D120:N120" si="22">SUM(D121:D122)</f>
        <v>0</v>
      </c>
      <c r="E120" s="45">
        <f t="shared" si="22"/>
        <v>0</v>
      </c>
      <c r="F120" s="45">
        <f t="shared" si="22"/>
        <v>0</v>
      </c>
      <c r="G120" s="45">
        <f t="shared" si="22"/>
        <v>0</v>
      </c>
      <c r="H120" s="45">
        <f t="shared" si="22"/>
        <v>0</v>
      </c>
      <c r="I120" s="45">
        <f t="shared" si="22"/>
        <v>0</v>
      </c>
      <c r="J120" s="45">
        <f t="shared" si="22"/>
        <v>0</v>
      </c>
      <c r="K120" s="45">
        <f t="shared" si="22"/>
        <v>0</v>
      </c>
      <c r="L120" s="45">
        <f t="shared" si="22"/>
        <v>0</v>
      </c>
      <c r="M120" s="45">
        <f t="shared" si="22"/>
        <v>0</v>
      </c>
      <c r="N120" s="45">
        <f t="shared" si="22"/>
        <v>0</v>
      </c>
      <c r="O120" s="44">
        <f t="shared" si="18"/>
        <v>0</v>
      </c>
    </row>
    <row r="121" spans="2:15" s="9" customFormat="1" ht="15.75" x14ac:dyDescent="0.25">
      <c r="B121" s="12" t="s">
        <v>143</v>
      </c>
      <c r="C121" s="37">
        <v>0</v>
      </c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0</v>
      </c>
      <c r="J121" s="37">
        <v>0</v>
      </c>
      <c r="K121" s="37">
        <v>0</v>
      </c>
      <c r="L121" s="37">
        <v>0</v>
      </c>
      <c r="M121" s="37">
        <v>0</v>
      </c>
      <c r="N121" s="37">
        <v>0</v>
      </c>
      <c r="O121" s="5">
        <f t="shared" si="18"/>
        <v>0</v>
      </c>
    </row>
    <row r="122" spans="2:15" s="9" customFormat="1" ht="15.75" x14ac:dyDescent="0.25">
      <c r="B122" s="12" t="s">
        <v>43</v>
      </c>
      <c r="C122" s="37">
        <v>0</v>
      </c>
      <c r="D122" s="37">
        <v>0</v>
      </c>
      <c r="E122" s="37">
        <v>0</v>
      </c>
      <c r="F122" s="37">
        <v>0</v>
      </c>
      <c r="G122" s="37">
        <v>0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  <c r="M122" s="37">
        <v>0</v>
      </c>
      <c r="N122" s="37">
        <v>0</v>
      </c>
      <c r="O122" s="5">
        <f t="shared" si="18"/>
        <v>0</v>
      </c>
    </row>
    <row r="123" spans="2:15" s="42" customFormat="1" ht="19.5" x14ac:dyDescent="0.4">
      <c r="B123" s="15" t="s">
        <v>32</v>
      </c>
      <c r="C123" s="45">
        <f t="shared" ref="C123:N123" si="23">SUM(C124:C125)</f>
        <v>0</v>
      </c>
      <c r="D123" s="45">
        <f t="shared" si="23"/>
        <v>0</v>
      </c>
      <c r="E123" s="45">
        <f t="shared" si="23"/>
        <v>0</v>
      </c>
      <c r="F123" s="45">
        <f t="shared" si="23"/>
        <v>0</v>
      </c>
      <c r="G123" s="45">
        <f t="shared" si="23"/>
        <v>0</v>
      </c>
      <c r="H123" s="45">
        <f t="shared" si="23"/>
        <v>0</v>
      </c>
      <c r="I123" s="45">
        <f t="shared" si="23"/>
        <v>0</v>
      </c>
      <c r="J123" s="45">
        <f t="shared" si="23"/>
        <v>0</v>
      </c>
      <c r="K123" s="45">
        <f t="shared" si="23"/>
        <v>0</v>
      </c>
      <c r="L123" s="45">
        <f t="shared" si="23"/>
        <v>0</v>
      </c>
      <c r="M123" s="45">
        <f t="shared" si="23"/>
        <v>0</v>
      </c>
      <c r="N123" s="45">
        <f t="shared" si="23"/>
        <v>0</v>
      </c>
      <c r="O123" s="44">
        <f t="shared" si="18"/>
        <v>0</v>
      </c>
    </row>
    <row r="124" spans="2:15" s="9" customFormat="1" ht="15.75" x14ac:dyDescent="0.25">
      <c r="B124" s="12" t="s">
        <v>144</v>
      </c>
      <c r="C124" s="37">
        <v>0</v>
      </c>
      <c r="D124" s="37">
        <v>0</v>
      </c>
      <c r="E124" s="37">
        <v>0</v>
      </c>
      <c r="F124" s="37">
        <v>0</v>
      </c>
      <c r="G124" s="37">
        <v>0</v>
      </c>
      <c r="H124" s="37">
        <v>0</v>
      </c>
      <c r="I124" s="37">
        <v>0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5">
        <f t="shared" si="18"/>
        <v>0</v>
      </c>
    </row>
    <row r="125" spans="2:15" s="9" customFormat="1" ht="15.75" x14ac:dyDescent="0.25">
      <c r="B125" s="12" t="s">
        <v>145</v>
      </c>
      <c r="C125" s="37">
        <v>0</v>
      </c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5">
        <f t="shared" si="18"/>
        <v>0</v>
      </c>
    </row>
    <row r="126" spans="2:15" s="42" customFormat="1" ht="19.5" x14ac:dyDescent="0.4">
      <c r="B126" s="15" t="s">
        <v>146</v>
      </c>
      <c r="C126" s="45">
        <f>SUM(C127:C129)</f>
        <v>0</v>
      </c>
      <c r="D126" s="45">
        <f t="shared" ref="D126:N126" si="24">SUM(D127:D129)</f>
        <v>0</v>
      </c>
      <c r="E126" s="45">
        <f t="shared" si="24"/>
        <v>0</v>
      </c>
      <c r="F126" s="45">
        <f t="shared" si="24"/>
        <v>0</v>
      </c>
      <c r="G126" s="45">
        <f t="shared" si="24"/>
        <v>0</v>
      </c>
      <c r="H126" s="45">
        <f t="shared" si="24"/>
        <v>0</v>
      </c>
      <c r="I126" s="45">
        <f t="shared" si="24"/>
        <v>0</v>
      </c>
      <c r="J126" s="45">
        <f t="shared" si="24"/>
        <v>0</v>
      </c>
      <c r="K126" s="45">
        <f t="shared" si="24"/>
        <v>0</v>
      </c>
      <c r="L126" s="45">
        <f t="shared" si="24"/>
        <v>0</v>
      </c>
      <c r="M126" s="45">
        <f t="shared" si="24"/>
        <v>0</v>
      </c>
      <c r="N126" s="45">
        <f t="shared" si="24"/>
        <v>0</v>
      </c>
      <c r="O126" s="44">
        <f t="shared" si="18"/>
        <v>0</v>
      </c>
    </row>
    <row r="127" spans="2:15" s="9" customFormat="1" ht="15.75" x14ac:dyDescent="0.25">
      <c r="B127" s="12" t="s">
        <v>147</v>
      </c>
      <c r="C127" s="37">
        <v>0</v>
      </c>
      <c r="D127" s="37">
        <v>0</v>
      </c>
      <c r="E127" s="37">
        <v>0</v>
      </c>
      <c r="F127" s="37">
        <v>0</v>
      </c>
      <c r="G127" s="37">
        <v>0</v>
      </c>
      <c r="H127" s="37">
        <v>0</v>
      </c>
      <c r="I127" s="37">
        <v>0</v>
      </c>
      <c r="J127" s="37">
        <v>0</v>
      </c>
      <c r="K127" s="37">
        <v>0</v>
      </c>
      <c r="L127" s="37">
        <v>0</v>
      </c>
      <c r="M127" s="37">
        <v>0</v>
      </c>
      <c r="N127" s="37">
        <v>0</v>
      </c>
      <c r="O127" s="5">
        <f t="shared" si="18"/>
        <v>0</v>
      </c>
    </row>
    <row r="128" spans="2:15" s="9" customFormat="1" ht="15.75" x14ac:dyDescent="0.25">
      <c r="B128" s="12" t="s">
        <v>148</v>
      </c>
      <c r="C128" s="37">
        <v>0</v>
      </c>
      <c r="D128" s="37">
        <v>0</v>
      </c>
      <c r="E128" s="37">
        <v>0</v>
      </c>
      <c r="F128" s="37">
        <v>0</v>
      </c>
      <c r="G128" s="37">
        <v>0</v>
      </c>
      <c r="H128" s="37">
        <v>0</v>
      </c>
      <c r="I128" s="37">
        <v>0</v>
      </c>
      <c r="J128" s="37">
        <v>0</v>
      </c>
      <c r="K128" s="37">
        <v>0</v>
      </c>
      <c r="L128" s="37">
        <v>0</v>
      </c>
      <c r="M128" s="37">
        <v>0</v>
      </c>
      <c r="N128" s="37">
        <v>0</v>
      </c>
      <c r="O128" s="5">
        <f t="shared" si="18"/>
        <v>0</v>
      </c>
    </row>
    <row r="129" spans="2:15" s="9" customFormat="1" ht="15.75" x14ac:dyDescent="0.25">
      <c r="B129" s="12" t="s">
        <v>149</v>
      </c>
      <c r="C129" s="37">
        <v>0</v>
      </c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0</v>
      </c>
      <c r="J129" s="37">
        <v>0</v>
      </c>
      <c r="K129" s="37">
        <v>0</v>
      </c>
      <c r="L129" s="37">
        <v>0</v>
      </c>
      <c r="M129" s="37">
        <v>0</v>
      </c>
      <c r="N129" s="37">
        <v>0</v>
      </c>
      <c r="O129" s="5">
        <f t="shared" si="18"/>
        <v>0</v>
      </c>
    </row>
    <row r="130" spans="2:15" s="42" customFormat="1" ht="19.5" x14ac:dyDescent="0.4">
      <c r="B130" s="15" t="s">
        <v>150</v>
      </c>
      <c r="C130" s="45">
        <f>SUM(C131:C132)</f>
        <v>0</v>
      </c>
      <c r="D130" s="45">
        <f t="shared" ref="D130:N130" si="25">SUM(D131:D132)</f>
        <v>6600</v>
      </c>
      <c r="E130" s="45">
        <f t="shared" si="25"/>
        <v>900</v>
      </c>
      <c r="F130" s="45">
        <f t="shared" si="25"/>
        <v>3100</v>
      </c>
      <c r="G130" s="45">
        <f t="shared" si="25"/>
        <v>3600</v>
      </c>
      <c r="H130" s="45">
        <f t="shared" si="25"/>
        <v>2600</v>
      </c>
      <c r="I130" s="45">
        <f t="shared" si="25"/>
        <v>3600</v>
      </c>
      <c r="J130" s="45">
        <f t="shared" si="25"/>
        <v>3600</v>
      </c>
      <c r="K130" s="45">
        <f t="shared" si="25"/>
        <v>0</v>
      </c>
      <c r="L130" s="45">
        <f t="shared" si="25"/>
        <v>5600</v>
      </c>
      <c r="M130" s="45">
        <f t="shared" si="25"/>
        <v>10600</v>
      </c>
      <c r="N130" s="45">
        <f t="shared" si="25"/>
        <v>5600</v>
      </c>
      <c r="O130" s="44">
        <f t="shared" si="18"/>
        <v>45800</v>
      </c>
    </row>
    <row r="131" spans="2:15" s="9" customFormat="1" ht="15.75" x14ac:dyDescent="0.25">
      <c r="B131" s="12" t="s">
        <v>64</v>
      </c>
      <c r="C131" s="37">
        <v>0</v>
      </c>
      <c r="D131" s="37">
        <v>0</v>
      </c>
      <c r="E131" s="37">
        <v>0</v>
      </c>
      <c r="F131" s="37">
        <v>0</v>
      </c>
      <c r="G131" s="37">
        <v>0</v>
      </c>
      <c r="H131" s="37">
        <v>0</v>
      </c>
      <c r="I131" s="37">
        <v>0</v>
      </c>
      <c r="J131" s="37">
        <v>0</v>
      </c>
      <c r="K131" s="37">
        <v>0</v>
      </c>
      <c r="L131" s="37">
        <v>0</v>
      </c>
      <c r="M131" s="37">
        <v>0</v>
      </c>
      <c r="N131" s="37">
        <v>0</v>
      </c>
      <c r="O131" s="5">
        <f t="shared" si="18"/>
        <v>0</v>
      </c>
    </row>
    <row r="132" spans="2:15" s="9" customFormat="1" ht="15.75" x14ac:dyDescent="0.25">
      <c r="B132" s="12" t="s">
        <v>151</v>
      </c>
      <c r="C132" s="37">
        <v>0</v>
      </c>
      <c r="D132" s="37">
        <v>6600</v>
      </c>
      <c r="E132" s="37">
        <v>900</v>
      </c>
      <c r="F132" s="37">
        <v>3100</v>
      </c>
      <c r="G132" s="37">
        <v>3600</v>
      </c>
      <c r="H132" s="37">
        <v>2600</v>
      </c>
      <c r="I132" s="37">
        <v>3600</v>
      </c>
      <c r="J132" s="37">
        <v>3600</v>
      </c>
      <c r="K132" s="37">
        <v>0</v>
      </c>
      <c r="L132" s="37">
        <v>5600</v>
      </c>
      <c r="M132" s="37">
        <v>10600</v>
      </c>
      <c r="N132" s="37">
        <v>5600</v>
      </c>
      <c r="O132" s="5">
        <f t="shared" si="18"/>
        <v>45800</v>
      </c>
    </row>
    <row r="133" spans="2:15" s="42" customFormat="1" ht="19.5" x14ac:dyDescent="0.4">
      <c r="B133" s="15" t="s">
        <v>152</v>
      </c>
      <c r="C133" s="45">
        <f>SUM(C134:C138)</f>
        <v>0</v>
      </c>
      <c r="D133" s="45">
        <f t="shared" ref="D133:N133" si="26">SUM(D134:D138)</f>
        <v>0</v>
      </c>
      <c r="E133" s="45">
        <f t="shared" si="26"/>
        <v>0</v>
      </c>
      <c r="F133" s="45">
        <f t="shared" si="26"/>
        <v>0</v>
      </c>
      <c r="G133" s="45">
        <f t="shared" si="26"/>
        <v>0</v>
      </c>
      <c r="H133" s="45">
        <f t="shared" si="26"/>
        <v>0</v>
      </c>
      <c r="I133" s="45">
        <f t="shared" si="26"/>
        <v>0</v>
      </c>
      <c r="J133" s="45">
        <f t="shared" si="26"/>
        <v>0</v>
      </c>
      <c r="K133" s="45">
        <f t="shared" si="26"/>
        <v>0</v>
      </c>
      <c r="L133" s="45">
        <f>SUM(L134:L138)</f>
        <v>0</v>
      </c>
      <c r="M133" s="45">
        <f t="shared" si="26"/>
        <v>0</v>
      </c>
      <c r="N133" s="45">
        <f t="shared" si="26"/>
        <v>0</v>
      </c>
      <c r="O133" s="44">
        <f t="shared" si="18"/>
        <v>0</v>
      </c>
    </row>
    <row r="134" spans="2:15" s="9" customFormat="1" ht="15.75" x14ac:dyDescent="0.25">
      <c r="B134" s="12" t="s">
        <v>153</v>
      </c>
      <c r="C134" s="37">
        <v>0</v>
      </c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0</v>
      </c>
      <c r="J134" s="37">
        <v>0</v>
      </c>
      <c r="K134" s="37">
        <v>0</v>
      </c>
      <c r="L134" s="37">
        <v>0</v>
      </c>
      <c r="M134" s="37">
        <v>0</v>
      </c>
      <c r="N134" s="37">
        <v>0</v>
      </c>
      <c r="O134" s="5">
        <f t="shared" si="18"/>
        <v>0</v>
      </c>
    </row>
    <row r="135" spans="2:15" s="9" customFormat="1" ht="15.75" x14ac:dyDescent="0.25">
      <c r="B135" s="12" t="s">
        <v>154</v>
      </c>
      <c r="C135" s="37">
        <v>0</v>
      </c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v>0</v>
      </c>
      <c r="N135" s="37">
        <v>0</v>
      </c>
      <c r="O135" s="5">
        <f t="shared" si="18"/>
        <v>0</v>
      </c>
    </row>
    <row r="136" spans="2:15" s="9" customFormat="1" ht="15.75" x14ac:dyDescent="0.25">
      <c r="B136" s="12" t="s">
        <v>155</v>
      </c>
      <c r="C136" s="37">
        <v>0</v>
      </c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0</v>
      </c>
      <c r="J136" s="37">
        <v>0</v>
      </c>
      <c r="K136" s="37">
        <v>0</v>
      </c>
      <c r="L136" s="37">
        <v>0</v>
      </c>
      <c r="M136" s="37">
        <v>0</v>
      </c>
      <c r="N136" s="37">
        <v>0</v>
      </c>
      <c r="O136" s="5">
        <f t="shared" si="18"/>
        <v>0</v>
      </c>
    </row>
    <row r="137" spans="2:15" s="9" customFormat="1" ht="15.75" x14ac:dyDescent="0.25">
      <c r="B137" s="12" t="s">
        <v>156</v>
      </c>
      <c r="C137" s="37">
        <v>0</v>
      </c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0</v>
      </c>
      <c r="J137" s="37">
        <v>0</v>
      </c>
      <c r="K137" s="37">
        <v>0</v>
      </c>
      <c r="L137" s="37">
        <v>0</v>
      </c>
      <c r="M137" s="37">
        <v>0</v>
      </c>
      <c r="N137" s="37">
        <v>0</v>
      </c>
      <c r="O137" s="5">
        <f t="shared" si="18"/>
        <v>0</v>
      </c>
    </row>
    <row r="138" spans="2:15" s="9" customFormat="1" ht="15.75" x14ac:dyDescent="0.25"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5">
        <f t="shared" si="18"/>
        <v>0</v>
      </c>
    </row>
    <row r="139" spans="2:15" s="9" customFormat="1" ht="15.75" x14ac:dyDescent="0.25"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17"/>
    </row>
    <row r="140" spans="2:15" s="9" customFormat="1" ht="15.75" x14ac:dyDescent="0.25"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17"/>
    </row>
    <row r="141" spans="2:15" s="9" customFormat="1" ht="15.75" x14ac:dyDescent="0.25"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17"/>
    </row>
    <row r="142" spans="2:15" s="9" customFormat="1" ht="15.75" x14ac:dyDescent="0.25"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17"/>
    </row>
    <row r="143" spans="2:15" s="9" customFormat="1" ht="15.75" x14ac:dyDescent="0.25"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17"/>
    </row>
    <row r="144" spans="2:15" s="9" customFormat="1" ht="15.75" x14ac:dyDescent="0.25">
      <c r="O144" s="17"/>
    </row>
    <row r="145" spans="15:15" s="9" customFormat="1" ht="15.75" x14ac:dyDescent="0.25">
      <c r="O145" s="17"/>
    </row>
    <row r="146" spans="15:15" s="9" customFormat="1" ht="15.75" x14ac:dyDescent="0.25">
      <c r="O146" s="17"/>
    </row>
    <row r="147" spans="15:15" s="9" customFormat="1" ht="15.75" x14ac:dyDescent="0.25">
      <c r="O147" s="17"/>
    </row>
    <row r="148" spans="15:15" s="9" customFormat="1" ht="15.75" x14ac:dyDescent="0.25">
      <c r="O148" s="17"/>
    </row>
    <row r="149" spans="15:15" s="9" customFormat="1" ht="15.75" x14ac:dyDescent="0.25">
      <c r="O149" s="17"/>
    </row>
    <row r="150" spans="15:15" s="9" customFormat="1" ht="15.75" x14ac:dyDescent="0.25">
      <c r="O150" s="17"/>
    </row>
    <row r="151" spans="15:15" s="9" customFormat="1" ht="15.75" x14ac:dyDescent="0.25">
      <c r="O151" s="17"/>
    </row>
    <row r="152" spans="15:15" s="9" customFormat="1" ht="15.75" x14ac:dyDescent="0.25">
      <c r="O152" s="17"/>
    </row>
    <row r="153" spans="15:15" s="9" customFormat="1" ht="15.75" x14ac:dyDescent="0.25">
      <c r="O153" s="17"/>
    </row>
    <row r="154" spans="15:15" s="9" customFormat="1" ht="15.75" x14ac:dyDescent="0.25">
      <c r="O154" s="17"/>
    </row>
    <row r="155" spans="15:15" s="9" customFormat="1" ht="15.75" x14ac:dyDescent="0.25">
      <c r="O155" s="17"/>
    </row>
    <row r="156" spans="15:15" s="9" customFormat="1" ht="15.75" x14ac:dyDescent="0.25">
      <c r="O156" s="17"/>
    </row>
    <row r="157" spans="15:15" s="9" customFormat="1" ht="15.75" x14ac:dyDescent="0.25">
      <c r="O157" s="17"/>
    </row>
    <row r="158" spans="15:15" s="9" customFormat="1" ht="15.75" x14ac:dyDescent="0.25">
      <c r="O158" s="17"/>
    </row>
    <row r="159" spans="15:15" s="9" customFormat="1" ht="15.75" x14ac:dyDescent="0.25">
      <c r="O159" s="17"/>
    </row>
    <row r="160" spans="15:15" s="9" customFormat="1" ht="15.75" x14ac:dyDescent="0.25">
      <c r="O160" s="17"/>
    </row>
    <row r="161" spans="15:15" s="9" customFormat="1" ht="15.75" x14ac:dyDescent="0.25">
      <c r="O161" s="17"/>
    </row>
    <row r="162" spans="15:15" s="9" customFormat="1" ht="15.75" x14ac:dyDescent="0.25">
      <c r="O162" s="17"/>
    </row>
    <row r="163" spans="15:15" s="9" customFormat="1" ht="15.75" x14ac:dyDescent="0.25">
      <c r="O163" s="17"/>
    </row>
    <row r="164" spans="15:15" s="9" customFormat="1" ht="15.75" x14ac:dyDescent="0.25">
      <c r="O164" s="17"/>
    </row>
    <row r="165" spans="15:15" s="9" customFormat="1" ht="15.75" x14ac:dyDescent="0.25">
      <c r="O165" s="17"/>
    </row>
  </sheetData>
  <sheetProtection formatCells="0" formatColumns="0" formatRows="0" insertColumns="0" insertRows="0" insertHyperlinks="0" deleteColumns="0" deleteRows="0" sort="0" autoFilter="0" pivotTables="0"/>
  <mergeCells count="2">
    <mergeCell ref="C1:O1"/>
    <mergeCell ref="A2:B2"/>
  </mergeCells>
  <pageMargins left="0" right="0" top="0.75" bottom="0.75" header="0.3" footer="0.3"/>
  <pageSetup paperSize="9" scale="40" fitToHeight="0" orientation="landscape" r:id="rId1"/>
  <headerFooter>
    <oddFooter>&amp;L&amp;Bfinancas - previsto x realizad&amp;RPágina 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B7DD-C339-4B48-81E9-C7FF7D07C8EF}">
  <sheetPr>
    <tabColor theme="9" tint="0.39997558519241921"/>
    <pageSetUpPr fitToPage="1"/>
  </sheetPr>
  <dimension ref="A1:P165"/>
  <sheetViews>
    <sheetView showGridLines="0" zoomScale="55" zoomScaleNormal="55" workbookViewId="0">
      <pane xSplit="2" ySplit="3" topLeftCell="C40" activePane="bottomRight" state="frozen"/>
      <selection pane="topRight"/>
      <selection pane="bottomLeft"/>
      <selection pane="bottomRight" activeCell="J47" sqref="C47:J47"/>
    </sheetView>
  </sheetViews>
  <sheetFormatPr defaultRowHeight="15" customHeight="1" x14ac:dyDescent="0.25"/>
  <cols>
    <col min="1" max="1" width="6.42578125" style="222" customWidth="1"/>
    <col min="2" max="2" width="40.85546875" style="222" bestFit="1" customWidth="1"/>
    <col min="3" max="4" width="21.7109375" style="222" bestFit="1" customWidth="1"/>
    <col min="5" max="5" width="22.28515625" style="222" bestFit="1" customWidth="1"/>
    <col min="6" max="6" width="22.7109375" style="222" bestFit="1" customWidth="1"/>
    <col min="7" max="7" width="22.28515625" style="222" bestFit="1" customWidth="1"/>
    <col min="8" max="10" width="22.7109375" style="222" bestFit="1" customWidth="1"/>
    <col min="11" max="11" width="22.28515625" style="222" bestFit="1" customWidth="1"/>
    <col min="12" max="14" width="23.5703125" style="222" bestFit="1" customWidth="1"/>
    <col min="15" max="15" width="23.5703125" style="224" bestFit="1" customWidth="1"/>
    <col min="16" max="16" width="14.28515625" style="222" bestFit="1" customWidth="1"/>
    <col min="17" max="16384" width="9.140625" style="222"/>
  </cols>
  <sheetData>
    <row r="1" spans="1:15" ht="68.25" customHeight="1" x14ac:dyDescent="0.25">
      <c r="C1" s="286" t="s">
        <v>257</v>
      </c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5" ht="24.95" customHeight="1" x14ac:dyDescent="0.25">
      <c r="A2" s="287" t="s">
        <v>246</v>
      </c>
      <c r="B2" s="287"/>
      <c r="C2" s="184">
        <f>C47/O$47</f>
        <v>7.6448719787311492E-2</v>
      </c>
      <c r="D2" s="184">
        <f>D47/$O$47</f>
        <v>0.16193228827675982</v>
      </c>
      <c r="E2" s="184">
        <f>E47/$O$47</f>
        <v>7.285243080453177E-2</v>
      </c>
      <c r="F2" s="184">
        <f t="shared" ref="F2:N2" si="0">F47/$O$47</f>
        <v>7.2300852739688254E-2</v>
      </c>
      <c r="G2" s="184">
        <f t="shared" si="0"/>
        <v>7.285243080453177E-2</v>
      </c>
      <c r="H2" s="184">
        <f t="shared" si="0"/>
        <v>7.2300852739688254E-2</v>
      </c>
      <c r="I2" s="184">
        <f t="shared" si="0"/>
        <v>7.2300852739688254E-2</v>
      </c>
      <c r="J2" s="184">
        <f t="shared" si="0"/>
        <v>7.3955586934218803E-2</v>
      </c>
      <c r="K2" s="184">
        <f t="shared" si="0"/>
        <v>7.2300852739688254E-2</v>
      </c>
      <c r="L2" s="184">
        <f t="shared" si="0"/>
        <v>7.285243080453177E-2</v>
      </c>
      <c r="M2" s="184">
        <f t="shared" si="0"/>
        <v>7.2300852739688254E-2</v>
      </c>
      <c r="N2" s="184">
        <f t="shared" si="0"/>
        <v>0.10760184888967335</v>
      </c>
    </row>
    <row r="3" spans="1:15" ht="18.75" x14ac:dyDescent="0.25"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4" t="s">
        <v>5</v>
      </c>
    </row>
    <row r="4" spans="1:15" ht="18.75" x14ac:dyDescent="0.25">
      <c r="B4" s="225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2"/>
    </row>
    <row r="5" spans="1:15" ht="15.75" x14ac:dyDescent="0.25">
      <c r="B5" s="191" t="s">
        <v>29</v>
      </c>
      <c r="C5" s="192">
        <f>C6</f>
        <v>-27720</v>
      </c>
      <c r="D5" s="192">
        <f t="shared" ref="D5:N5" si="1">C5+D6</f>
        <v>-86436</v>
      </c>
      <c r="E5" s="192">
        <f t="shared" si="1"/>
        <v>-112852</v>
      </c>
      <c r="F5" s="192">
        <f t="shared" si="1"/>
        <v>-139068</v>
      </c>
      <c r="G5" s="192">
        <f t="shared" si="1"/>
        <v>-165484</v>
      </c>
      <c r="H5" s="192">
        <f t="shared" si="1"/>
        <v>-191700</v>
      </c>
      <c r="I5" s="192">
        <f t="shared" si="1"/>
        <v>-217916</v>
      </c>
      <c r="J5" s="192">
        <f t="shared" si="1"/>
        <v>-244732</v>
      </c>
      <c r="K5" s="192">
        <f t="shared" si="1"/>
        <v>-270948</v>
      </c>
      <c r="L5" s="192">
        <f t="shared" si="1"/>
        <v>-297364</v>
      </c>
      <c r="M5" s="192">
        <f t="shared" si="1"/>
        <v>-323580</v>
      </c>
      <c r="N5" s="192">
        <f t="shared" si="1"/>
        <v>-362596</v>
      </c>
      <c r="O5" s="193"/>
    </row>
    <row r="6" spans="1:15" ht="15.75" x14ac:dyDescent="0.25">
      <c r="B6" s="191" t="s">
        <v>30</v>
      </c>
      <c r="C6" s="192">
        <f t="shared" ref="C6:N6" si="2">SUM(C8-C47)</f>
        <v>-27720</v>
      </c>
      <c r="D6" s="192">
        <f t="shared" si="2"/>
        <v>-58716</v>
      </c>
      <c r="E6" s="192">
        <f t="shared" si="2"/>
        <v>-26416</v>
      </c>
      <c r="F6" s="192">
        <f t="shared" si="2"/>
        <v>-26216</v>
      </c>
      <c r="G6" s="192">
        <f t="shared" si="2"/>
        <v>-26416</v>
      </c>
      <c r="H6" s="192">
        <f t="shared" si="2"/>
        <v>-26216</v>
      </c>
      <c r="I6" s="192">
        <f t="shared" si="2"/>
        <v>-26216</v>
      </c>
      <c r="J6" s="192">
        <f t="shared" si="2"/>
        <v>-26816</v>
      </c>
      <c r="K6" s="192">
        <f t="shared" si="2"/>
        <v>-26216</v>
      </c>
      <c r="L6" s="192">
        <f t="shared" si="2"/>
        <v>-26416</v>
      </c>
      <c r="M6" s="192">
        <f t="shared" si="2"/>
        <v>-26216</v>
      </c>
      <c r="N6" s="192">
        <f t="shared" si="2"/>
        <v>-39016</v>
      </c>
      <c r="O6" s="193">
        <f>SUM(C6:N6)</f>
        <v>-362596</v>
      </c>
    </row>
    <row r="7" spans="1:15" ht="18.75" x14ac:dyDescent="0.25">
      <c r="B7" s="225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2"/>
    </row>
    <row r="8" spans="1:15" s="9" customFormat="1" ht="15.75" x14ac:dyDescent="0.25">
      <c r="B8" s="194" t="s">
        <v>31</v>
      </c>
      <c r="C8" s="8">
        <f>SUM(C9,C16,C22,C28,C33,C37,C40,C43)</f>
        <v>0</v>
      </c>
      <c r="D8" s="8">
        <f t="shared" ref="D8:N8" si="3">SUM(D9,D16,D22,D28,D33,D37,D40,D43)</f>
        <v>0</v>
      </c>
      <c r="E8" s="8">
        <f t="shared" si="3"/>
        <v>0</v>
      </c>
      <c r="F8" s="8">
        <f t="shared" si="3"/>
        <v>0</v>
      </c>
      <c r="G8" s="8">
        <f t="shared" si="3"/>
        <v>0</v>
      </c>
      <c r="H8" s="8">
        <f t="shared" si="3"/>
        <v>0</v>
      </c>
      <c r="I8" s="8">
        <f t="shared" si="3"/>
        <v>0</v>
      </c>
      <c r="J8" s="8">
        <f t="shared" si="3"/>
        <v>0</v>
      </c>
      <c r="K8" s="8">
        <f t="shared" si="3"/>
        <v>0</v>
      </c>
      <c r="L8" s="8">
        <f t="shared" si="3"/>
        <v>0</v>
      </c>
      <c r="M8" s="8">
        <f t="shared" si="3"/>
        <v>0</v>
      </c>
      <c r="N8" s="8">
        <f t="shared" si="3"/>
        <v>0</v>
      </c>
      <c r="O8" s="226">
        <f>SUM(C8:N8)</f>
        <v>0</v>
      </c>
    </row>
    <row r="9" spans="1:15" s="9" customFormat="1" ht="15.75" hidden="1" x14ac:dyDescent="0.25">
      <c r="B9" s="228" t="s">
        <v>32</v>
      </c>
      <c r="C9" s="229">
        <f>SUM(C10:C15)</f>
        <v>0</v>
      </c>
      <c r="D9" s="229">
        <f>SUM(D10:D15)</f>
        <v>0</v>
      </c>
      <c r="E9" s="229">
        <f>SUM(E10:E15)</f>
        <v>0</v>
      </c>
      <c r="F9" s="229">
        <f t="shared" ref="F9:N9" si="4">SUM(F10:F15)</f>
        <v>0</v>
      </c>
      <c r="G9" s="229">
        <f>SUM(G10:G15)</f>
        <v>0</v>
      </c>
      <c r="H9" s="229">
        <f t="shared" si="4"/>
        <v>0</v>
      </c>
      <c r="I9" s="229">
        <f t="shared" si="4"/>
        <v>0</v>
      </c>
      <c r="J9" s="229">
        <f t="shared" si="4"/>
        <v>0</v>
      </c>
      <c r="K9" s="229">
        <f t="shared" si="4"/>
        <v>0</v>
      </c>
      <c r="L9" s="229">
        <f t="shared" si="4"/>
        <v>0</v>
      </c>
      <c r="M9" s="229">
        <f t="shared" si="4"/>
        <v>0</v>
      </c>
      <c r="N9" s="229">
        <f t="shared" si="4"/>
        <v>0</v>
      </c>
      <c r="O9" s="230">
        <f>SUM(C9:N9)</f>
        <v>0</v>
      </c>
    </row>
    <row r="10" spans="1:15" s="9" customFormat="1" ht="15.75" hidden="1" x14ac:dyDescent="0.25">
      <c r="B10" s="36" t="s">
        <v>33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231">
        <f t="shared" ref="O10:O51" si="5">SUM(C10:N10)</f>
        <v>0</v>
      </c>
    </row>
    <row r="11" spans="1:15" s="9" customFormat="1" ht="15.75" hidden="1" x14ac:dyDescent="0.25">
      <c r="B11" s="36" t="s">
        <v>34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231">
        <f t="shared" si="5"/>
        <v>0</v>
      </c>
    </row>
    <row r="12" spans="1:15" s="9" customFormat="1" ht="15.75" hidden="1" x14ac:dyDescent="0.25">
      <c r="B12" s="36" t="s">
        <v>35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231">
        <f t="shared" si="5"/>
        <v>0</v>
      </c>
    </row>
    <row r="13" spans="1:15" s="9" customFormat="1" ht="15.75" hidden="1" x14ac:dyDescent="0.25">
      <c r="B13" s="36" t="s">
        <v>36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231">
        <f t="shared" si="5"/>
        <v>0</v>
      </c>
    </row>
    <row r="14" spans="1:15" s="9" customFormat="1" ht="15.75" hidden="1" x14ac:dyDescent="0.25">
      <c r="B14" s="36" t="s">
        <v>37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231">
        <f t="shared" si="5"/>
        <v>0</v>
      </c>
    </row>
    <row r="15" spans="1:15" s="9" customFormat="1" ht="15.75" hidden="1" x14ac:dyDescent="0.25">
      <c r="B15" s="36" t="s">
        <v>38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231">
        <f t="shared" si="5"/>
        <v>0</v>
      </c>
    </row>
    <row r="16" spans="1:15" s="9" customFormat="1" ht="15.75" hidden="1" x14ac:dyDescent="0.25">
      <c r="B16" s="228" t="s">
        <v>39</v>
      </c>
      <c r="C16" s="229">
        <f>SUM(C17:C21)</f>
        <v>0</v>
      </c>
      <c r="D16" s="229">
        <f>SUM(D17:D21)</f>
        <v>0</v>
      </c>
      <c r="E16" s="229">
        <f t="shared" ref="E16:L16" si="6">SUM(E17:E21)</f>
        <v>0</v>
      </c>
      <c r="F16" s="229">
        <f t="shared" si="6"/>
        <v>0</v>
      </c>
      <c r="G16" s="229">
        <f>SUM(G17:G21)</f>
        <v>0</v>
      </c>
      <c r="H16" s="229">
        <f t="shared" si="6"/>
        <v>0</v>
      </c>
      <c r="I16" s="229">
        <f t="shared" si="6"/>
        <v>0</v>
      </c>
      <c r="J16" s="229">
        <f t="shared" si="6"/>
        <v>0</v>
      </c>
      <c r="K16" s="229">
        <f t="shared" si="6"/>
        <v>0</v>
      </c>
      <c r="L16" s="229">
        <f t="shared" si="6"/>
        <v>0</v>
      </c>
      <c r="M16" s="229">
        <f>SUM(M17:M21)</f>
        <v>0</v>
      </c>
      <c r="N16" s="229">
        <f>SUM(N17:N21)</f>
        <v>0</v>
      </c>
      <c r="O16" s="230">
        <f>SUM(C16:N16)</f>
        <v>0</v>
      </c>
    </row>
    <row r="17" spans="2:15" s="9" customFormat="1" ht="15.75" hidden="1" x14ac:dyDescent="0.25">
      <c r="B17" s="36" t="s">
        <v>40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231">
        <f t="shared" si="5"/>
        <v>0</v>
      </c>
    </row>
    <row r="18" spans="2:15" s="9" customFormat="1" ht="15.75" hidden="1" x14ac:dyDescent="0.25">
      <c r="B18" s="36" t="s">
        <v>41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231">
        <f t="shared" si="5"/>
        <v>0</v>
      </c>
    </row>
    <row r="19" spans="2:15" s="9" customFormat="1" ht="15.75" hidden="1" x14ac:dyDescent="0.25">
      <c r="B19" s="36" t="s">
        <v>42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231">
        <f t="shared" si="5"/>
        <v>0</v>
      </c>
    </row>
    <row r="20" spans="2:15" s="9" customFormat="1" ht="15.75" hidden="1" x14ac:dyDescent="0.25">
      <c r="B20" s="36" t="s">
        <v>43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231">
        <f t="shared" si="5"/>
        <v>0</v>
      </c>
    </row>
    <row r="21" spans="2:15" s="9" customFormat="1" ht="15.75" hidden="1" x14ac:dyDescent="0.25">
      <c r="B21" s="36" t="s">
        <v>44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231">
        <f t="shared" si="5"/>
        <v>0</v>
      </c>
    </row>
    <row r="22" spans="2:15" s="9" customFormat="1" ht="15.75" x14ac:dyDescent="0.25">
      <c r="B22" s="228" t="s">
        <v>45</v>
      </c>
      <c r="C22" s="229">
        <f>SUM(C23:C27)</f>
        <v>0</v>
      </c>
      <c r="D22" s="229">
        <f t="shared" ref="D22:N22" si="7">SUM(D23:D27)</f>
        <v>0</v>
      </c>
      <c r="E22" s="229">
        <f t="shared" si="7"/>
        <v>0</v>
      </c>
      <c r="F22" s="229">
        <f t="shared" si="7"/>
        <v>0</v>
      </c>
      <c r="G22" s="229">
        <f t="shared" si="7"/>
        <v>0</v>
      </c>
      <c r="H22" s="229">
        <f t="shared" si="7"/>
        <v>0</v>
      </c>
      <c r="I22" s="229">
        <f t="shared" si="7"/>
        <v>0</v>
      </c>
      <c r="J22" s="229">
        <f t="shared" si="7"/>
        <v>0</v>
      </c>
      <c r="K22" s="229">
        <f t="shared" si="7"/>
        <v>0</v>
      </c>
      <c r="L22" s="229">
        <f t="shared" si="7"/>
        <v>0</v>
      </c>
      <c r="M22" s="229">
        <f t="shared" si="7"/>
        <v>0</v>
      </c>
      <c r="N22" s="229">
        <f t="shared" si="7"/>
        <v>0</v>
      </c>
      <c r="O22" s="230">
        <f t="shared" si="5"/>
        <v>0</v>
      </c>
    </row>
    <row r="23" spans="2:15" s="9" customFormat="1" ht="15.75" x14ac:dyDescent="0.25">
      <c r="B23" s="12" t="s">
        <v>46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231">
        <f t="shared" si="5"/>
        <v>0</v>
      </c>
    </row>
    <row r="24" spans="2:15" s="9" customFormat="1" ht="15.75" x14ac:dyDescent="0.25">
      <c r="B24" s="12" t="s">
        <v>47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231">
        <f t="shared" si="5"/>
        <v>0</v>
      </c>
    </row>
    <row r="25" spans="2:15" s="9" customFormat="1" ht="15.75" x14ac:dyDescent="0.25">
      <c r="B25" s="12" t="s">
        <v>48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231">
        <f t="shared" si="5"/>
        <v>0</v>
      </c>
    </row>
    <row r="26" spans="2:15" s="9" customFormat="1" ht="15.75" x14ac:dyDescent="0.25">
      <c r="B26" s="12" t="s">
        <v>49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231">
        <f t="shared" si="5"/>
        <v>0</v>
      </c>
    </row>
    <row r="27" spans="2:15" s="9" customFormat="1" ht="15.75" x14ac:dyDescent="0.25">
      <c r="B27" s="12" t="s">
        <v>50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231">
        <f t="shared" si="5"/>
        <v>0</v>
      </c>
    </row>
    <row r="28" spans="2:15" s="9" customFormat="1" ht="15.75" x14ac:dyDescent="0.25">
      <c r="B28" s="228" t="s">
        <v>51</v>
      </c>
      <c r="C28" s="229">
        <f>SUM(C29:C32)</f>
        <v>0</v>
      </c>
      <c r="D28" s="229">
        <f t="shared" ref="D28:N28" si="8">SUM(D29:D32)</f>
        <v>0</v>
      </c>
      <c r="E28" s="229">
        <f t="shared" si="8"/>
        <v>0</v>
      </c>
      <c r="F28" s="229">
        <f t="shared" si="8"/>
        <v>0</v>
      </c>
      <c r="G28" s="229">
        <f t="shared" si="8"/>
        <v>0</v>
      </c>
      <c r="H28" s="229">
        <f t="shared" si="8"/>
        <v>0</v>
      </c>
      <c r="I28" s="229">
        <f t="shared" si="8"/>
        <v>0</v>
      </c>
      <c r="J28" s="229">
        <f t="shared" si="8"/>
        <v>0</v>
      </c>
      <c r="K28" s="229">
        <f t="shared" si="8"/>
        <v>0</v>
      </c>
      <c r="L28" s="229">
        <f t="shared" si="8"/>
        <v>0</v>
      </c>
      <c r="M28" s="229">
        <f t="shared" si="8"/>
        <v>0</v>
      </c>
      <c r="N28" s="229">
        <f t="shared" si="8"/>
        <v>0</v>
      </c>
      <c r="O28" s="230">
        <f>SUM(C28:N28)</f>
        <v>0</v>
      </c>
    </row>
    <row r="29" spans="2:15" s="9" customFormat="1" ht="15.75" x14ac:dyDescent="0.25">
      <c r="B29" s="12" t="s">
        <v>52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231">
        <f>SUM(C29:N29)</f>
        <v>0</v>
      </c>
    </row>
    <row r="30" spans="2:15" s="9" customFormat="1" ht="15.75" x14ac:dyDescent="0.25">
      <c r="B30" s="12" t="s">
        <v>53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231">
        <f t="shared" si="5"/>
        <v>0</v>
      </c>
    </row>
    <row r="31" spans="2:15" s="9" customFormat="1" ht="15.75" x14ac:dyDescent="0.25">
      <c r="B31" s="12" t="s">
        <v>54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231">
        <f t="shared" si="5"/>
        <v>0</v>
      </c>
    </row>
    <row r="32" spans="2:15" s="9" customFormat="1" ht="15.75" x14ac:dyDescent="0.25">
      <c r="B32" s="12" t="s">
        <v>55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231">
        <f t="shared" si="5"/>
        <v>0</v>
      </c>
    </row>
    <row r="33" spans="2:16" s="9" customFormat="1" ht="15.75" x14ac:dyDescent="0.25">
      <c r="B33" s="228" t="s">
        <v>56</v>
      </c>
      <c r="C33" s="229">
        <f>SUM(C34:C36)</f>
        <v>0</v>
      </c>
      <c r="D33" s="229">
        <f>SUM(D34:D36)</f>
        <v>0</v>
      </c>
      <c r="E33" s="229">
        <f>SUM(E34:E36)</f>
        <v>0</v>
      </c>
      <c r="F33" s="229">
        <f t="shared" ref="F33:N33" si="9">SUM(F34:F36)</f>
        <v>0</v>
      </c>
      <c r="G33" s="229">
        <f t="shared" si="9"/>
        <v>0</v>
      </c>
      <c r="H33" s="229">
        <f t="shared" si="9"/>
        <v>0</v>
      </c>
      <c r="I33" s="229">
        <f>SUM(I34:I36)</f>
        <v>0</v>
      </c>
      <c r="J33" s="229">
        <f t="shared" si="9"/>
        <v>0</v>
      </c>
      <c r="K33" s="229">
        <f t="shared" si="9"/>
        <v>0</v>
      </c>
      <c r="L33" s="229">
        <f t="shared" si="9"/>
        <v>0</v>
      </c>
      <c r="M33" s="229">
        <f t="shared" si="9"/>
        <v>0</v>
      </c>
      <c r="N33" s="229">
        <f t="shared" si="9"/>
        <v>0</v>
      </c>
      <c r="O33" s="230">
        <f t="shared" si="5"/>
        <v>0</v>
      </c>
    </row>
    <row r="34" spans="2:16" s="9" customFormat="1" ht="15.75" x14ac:dyDescent="0.25">
      <c r="B34" s="12" t="s">
        <v>57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231">
        <f t="shared" si="5"/>
        <v>0</v>
      </c>
    </row>
    <row r="35" spans="2:16" s="9" customFormat="1" ht="15.75" x14ac:dyDescent="0.25">
      <c r="B35" s="12" t="s">
        <v>58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231">
        <f t="shared" si="5"/>
        <v>0</v>
      </c>
    </row>
    <row r="36" spans="2:16" s="9" customFormat="1" ht="15.75" x14ac:dyDescent="0.25">
      <c r="B36" s="12" t="s">
        <v>59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231">
        <f t="shared" si="5"/>
        <v>0</v>
      </c>
    </row>
    <row r="37" spans="2:16" s="9" customFormat="1" ht="15.75" x14ac:dyDescent="0.25">
      <c r="B37" s="228" t="s">
        <v>60</v>
      </c>
      <c r="C37" s="229">
        <f>SUM(C38:C39)</f>
        <v>0</v>
      </c>
      <c r="D37" s="229">
        <f t="shared" ref="D37:N37" si="10">SUM(D38:D39)</f>
        <v>0</v>
      </c>
      <c r="E37" s="229">
        <f t="shared" si="10"/>
        <v>0</v>
      </c>
      <c r="F37" s="229">
        <f t="shared" si="10"/>
        <v>0</v>
      </c>
      <c r="G37" s="229">
        <f t="shared" si="10"/>
        <v>0</v>
      </c>
      <c r="H37" s="229">
        <f t="shared" si="10"/>
        <v>0</v>
      </c>
      <c r="I37" s="229">
        <f t="shared" si="10"/>
        <v>0</v>
      </c>
      <c r="J37" s="229">
        <f t="shared" si="10"/>
        <v>0</v>
      </c>
      <c r="K37" s="229">
        <f t="shared" si="10"/>
        <v>0</v>
      </c>
      <c r="L37" s="229">
        <f t="shared" si="10"/>
        <v>0</v>
      </c>
      <c r="M37" s="229">
        <f t="shared" si="10"/>
        <v>0</v>
      </c>
      <c r="N37" s="229">
        <f t="shared" si="10"/>
        <v>0</v>
      </c>
      <c r="O37" s="230">
        <f t="shared" si="5"/>
        <v>0</v>
      </c>
    </row>
    <row r="38" spans="2:16" s="9" customFormat="1" ht="15.75" x14ac:dyDescent="0.25">
      <c r="B38" s="12" t="s">
        <v>61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231">
        <f t="shared" si="5"/>
        <v>0</v>
      </c>
    </row>
    <row r="39" spans="2:16" s="9" customFormat="1" ht="15.75" x14ac:dyDescent="0.25">
      <c r="B39" s="12" t="s">
        <v>62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231">
        <f t="shared" si="5"/>
        <v>0</v>
      </c>
    </row>
    <row r="40" spans="2:16" s="9" customFormat="1" ht="15.75" x14ac:dyDescent="0.25">
      <c r="B40" s="228" t="s">
        <v>63</v>
      </c>
      <c r="C40" s="229">
        <f>SUM(C41:C42)</f>
        <v>0</v>
      </c>
      <c r="D40" s="229">
        <f t="shared" ref="D40:N40" si="11">SUM(D41:D42)</f>
        <v>0</v>
      </c>
      <c r="E40" s="229">
        <f t="shared" si="11"/>
        <v>0</v>
      </c>
      <c r="F40" s="229">
        <f t="shared" si="11"/>
        <v>0</v>
      </c>
      <c r="G40" s="229">
        <f t="shared" si="11"/>
        <v>0</v>
      </c>
      <c r="H40" s="229">
        <f t="shared" si="11"/>
        <v>0</v>
      </c>
      <c r="I40" s="229">
        <f t="shared" si="11"/>
        <v>0</v>
      </c>
      <c r="J40" s="229">
        <f>SUM(J41:J42)</f>
        <v>0</v>
      </c>
      <c r="K40" s="229">
        <f t="shared" si="11"/>
        <v>0</v>
      </c>
      <c r="L40" s="229">
        <f t="shared" si="11"/>
        <v>0</v>
      </c>
      <c r="M40" s="229">
        <f t="shared" si="11"/>
        <v>0</v>
      </c>
      <c r="N40" s="229">
        <f t="shared" si="11"/>
        <v>0</v>
      </c>
      <c r="O40" s="230">
        <f t="shared" si="5"/>
        <v>0</v>
      </c>
    </row>
    <row r="41" spans="2:16" s="9" customFormat="1" ht="15.75" x14ac:dyDescent="0.25">
      <c r="B41" s="12" t="s">
        <v>64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231">
        <f t="shared" si="5"/>
        <v>0</v>
      </c>
    </row>
    <row r="42" spans="2:16" s="9" customFormat="1" ht="15.75" x14ac:dyDescent="0.25">
      <c r="B42" s="12" t="s">
        <v>65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231">
        <f t="shared" si="5"/>
        <v>0</v>
      </c>
    </row>
    <row r="43" spans="2:16" s="9" customFormat="1" ht="15.75" x14ac:dyDescent="0.25">
      <c r="B43" s="228" t="s">
        <v>66</v>
      </c>
      <c r="C43" s="229">
        <f t="shared" ref="C43:N43" si="12">SUM(C44:C46)</f>
        <v>0</v>
      </c>
      <c r="D43" s="229">
        <f t="shared" si="12"/>
        <v>0</v>
      </c>
      <c r="E43" s="229">
        <f t="shared" si="12"/>
        <v>0</v>
      </c>
      <c r="F43" s="229">
        <f t="shared" si="12"/>
        <v>0</v>
      </c>
      <c r="G43" s="229">
        <f t="shared" si="12"/>
        <v>0</v>
      </c>
      <c r="H43" s="229">
        <f t="shared" si="12"/>
        <v>0</v>
      </c>
      <c r="I43" s="229">
        <f t="shared" si="12"/>
        <v>0</v>
      </c>
      <c r="J43" s="229">
        <f t="shared" si="12"/>
        <v>0</v>
      </c>
      <c r="K43" s="229">
        <f t="shared" si="12"/>
        <v>0</v>
      </c>
      <c r="L43" s="229">
        <f t="shared" si="12"/>
        <v>0</v>
      </c>
      <c r="M43" s="229">
        <f t="shared" si="12"/>
        <v>0</v>
      </c>
      <c r="N43" s="229">
        <f t="shared" si="12"/>
        <v>0</v>
      </c>
      <c r="O43" s="230">
        <f t="shared" si="5"/>
        <v>0</v>
      </c>
    </row>
    <row r="44" spans="2:16" s="9" customFormat="1" ht="15.75" x14ac:dyDescent="0.25">
      <c r="B44" s="47" t="s">
        <v>247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231">
        <f t="shared" si="5"/>
        <v>0</v>
      </c>
    </row>
    <row r="45" spans="2:16" s="9" customFormat="1" ht="15.75" x14ac:dyDescent="0.25">
      <c r="B45" s="12" t="s">
        <v>68</v>
      </c>
      <c r="C45" s="37">
        <v>0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231">
        <f t="shared" si="5"/>
        <v>0</v>
      </c>
    </row>
    <row r="46" spans="2:16" s="9" customFormat="1" ht="15.75" x14ac:dyDescent="0.25">
      <c r="B46" s="12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</row>
    <row r="47" spans="2:16" s="9" customFormat="1" ht="15.75" x14ac:dyDescent="0.25">
      <c r="B47" s="195" t="s">
        <v>69</v>
      </c>
      <c r="C47" s="14">
        <f>SUM(C48,C50,C53,C75,C99,C105,C116,C120,C123,C126,C130,C133)</f>
        <v>27720</v>
      </c>
      <c r="D47" s="14">
        <f t="shared" ref="D47:N47" si="13">SUM(D48,D50,D53,D75,D99,D105,D116,D120,D123,D126,D130,D133)</f>
        <v>58716</v>
      </c>
      <c r="E47" s="14">
        <f t="shared" si="13"/>
        <v>26416</v>
      </c>
      <c r="F47" s="14">
        <f t="shared" si="13"/>
        <v>26216</v>
      </c>
      <c r="G47" s="14">
        <f t="shared" si="13"/>
        <v>26416</v>
      </c>
      <c r="H47" s="14">
        <f t="shared" si="13"/>
        <v>26216</v>
      </c>
      <c r="I47" s="14">
        <f t="shared" si="13"/>
        <v>26216</v>
      </c>
      <c r="J47" s="14">
        <f t="shared" si="13"/>
        <v>26816</v>
      </c>
      <c r="K47" s="14">
        <f t="shared" si="13"/>
        <v>26216</v>
      </c>
      <c r="L47" s="14">
        <f t="shared" si="13"/>
        <v>26416</v>
      </c>
      <c r="M47" s="14">
        <f t="shared" si="13"/>
        <v>26216</v>
      </c>
      <c r="N47" s="14">
        <f t="shared" si="13"/>
        <v>39016</v>
      </c>
      <c r="O47" s="233">
        <f>SUM(C47:N47)</f>
        <v>362596</v>
      </c>
      <c r="P47" s="35"/>
    </row>
    <row r="48" spans="2:16" s="9" customFormat="1" ht="15.75" x14ac:dyDescent="0.25">
      <c r="B48" s="234" t="s">
        <v>70</v>
      </c>
      <c r="C48" s="38">
        <f>SUM(C49)</f>
        <v>0</v>
      </c>
      <c r="D48" s="38">
        <f t="shared" ref="D48:N48" si="14">SUM(D49)</f>
        <v>0</v>
      </c>
      <c r="E48" s="38">
        <f t="shared" si="14"/>
        <v>0</v>
      </c>
      <c r="F48" s="38">
        <f t="shared" si="14"/>
        <v>0</v>
      </c>
      <c r="G48" s="38">
        <f t="shared" si="14"/>
        <v>0</v>
      </c>
      <c r="H48" s="38">
        <f t="shared" si="14"/>
        <v>0</v>
      </c>
      <c r="I48" s="38">
        <f t="shared" si="14"/>
        <v>0</v>
      </c>
      <c r="J48" s="38">
        <f t="shared" si="14"/>
        <v>0</v>
      </c>
      <c r="K48" s="38">
        <f t="shared" si="14"/>
        <v>0</v>
      </c>
      <c r="L48" s="38">
        <f t="shared" si="14"/>
        <v>0</v>
      </c>
      <c r="M48" s="38">
        <f t="shared" si="14"/>
        <v>0</v>
      </c>
      <c r="N48" s="38">
        <f t="shared" si="14"/>
        <v>0</v>
      </c>
      <c r="O48" s="235">
        <f t="shared" si="5"/>
        <v>0</v>
      </c>
    </row>
    <row r="49" spans="2:15" s="9" customFormat="1" ht="15.75" x14ac:dyDescent="0.25">
      <c r="B49" s="12" t="s">
        <v>71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231">
        <f t="shared" si="5"/>
        <v>0</v>
      </c>
    </row>
    <row r="50" spans="2:15" s="9" customFormat="1" ht="15.75" x14ac:dyDescent="0.25">
      <c r="B50" s="234" t="s">
        <v>72</v>
      </c>
      <c r="C50" s="38">
        <f>SUM(C51:C52)</f>
        <v>0</v>
      </c>
      <c r="D50" s="38">
        <f t="shared" ref="D50:N50" si="15">SUM(D51:D52)</f>
        <v>200</v>
      </c>
      <c r="E50" s="38">
        <f t="shared" si="15"/>
        <v>0</v>
      </c>
      <c r="F50" s="38">
        <f t="shared" si="15"/>
        <v>0</v>
      </c>
      <c r="G50" s="38">
        <f t="shared" si="15"/>
        <v>200</v>
      </c>
      <c r="H50" s="38">
        <f t="shared" si="15"/>
        <v>0</v>
      </c>
      <c r="I50" s="38">
        <f t="shared" si="15"/>
        <v>0</v>
      </c>
      <c r="J50" s="38">
        <f t="shared" si="15"/>
        <v>200</v>
      </c>
      <c r="K50" s="38">
        <f t="shared" si="15"/>
        <v>0</v>
      </c>
      <c r="L50" s="38">
        <f t="shared" si="15"/>
        <v>200</v>
      </c>
      <c r="M50" s="38">
        <f t="shared" si="15"/>
        <v>0</v>
      </c>
      <c r="N50" s="38">
        <f t="shared" si="15"/>
        <v>0</v>
      </c>
      <c r="O50" s="235">
        <f t="shared" si="5"/>
        <v>800</v>
      </c>
    </row>
    <row r="51" spans="2:15" s="9" customFormat="1" ht="15.75" x14ac:dyDescent="0.25">
      <c r="B51" s="12" t="s">
        <v>73</v>
      </c>
      <c r="C51" s="37">
        <v>0</v>
      </c>
      <c r="D51" s="37">
        <v>200</v>
      </c>
      <c r="E51" s="37">
        <v>0</v>
      </c>
      <c r="F51" s="37">
        <v>0</v>
      </c>
      <c r="G51" s="37">
        <v>200</v>
      </c>
      <c r="H51" s="37">
        <v>0</v>
      </c>
      <c r="I51" s="37">
        <v>0</v>
      </c>
      <c r="J51" s="37">
        <v>200</v>
      </c>
      <c r="K51" s="37">
        <v>0</v>
      </c>
      <c r="L51" s="37">
        <v>200</v>
      </c>
      <c r="M51" s="37">
        <v>0</v>
      </c>
      <c r="N51" s="37">
        <v>0</v>
      </c>
      <c r="O51" s="231">
        <f t="shared" si="5"/>
        <v>800</v>
      </c>
    </row>
    <row r="52" spans="2:15" s="9" customFormat="1" ht="15.75" x14ac:dyDescent="0.25">
      <c r="B52" s="12" t="s">
        <v>74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231">
        <f>SUM(C52:N52)</f>
        <v>0</v>
      </c>
    </row>
    <row r="53" spans="2:15" s="9" customFormat="1" ht="15.75" x14ac:dyDescent="0.25">
      <c r="B53" s="234" t="s">
        <v>75</v>
      </c>
      <c r="C53" s="38">
        <f>SUM(C54:C74)</f>
        <v>12800</v>
      </c>
      <c r="D53" s="38">
        <f t="shared" ref="D53:N53" si="16">SUM(D54:D74)</f>
        <v>18716</v>
      </c>
      <c r="E53" s="38">
        <f t="shared" si="16"/>
        <v>18716</v>
      </c>
      <c r="F53" s="38">
        <f t="shared" si="16"/>
        <v>18716</v>
      </c>
      <c r="G53" s="38">
        <f t="shared" si="16"/>
        <v>18716</v>
      </c>
      <c r="H53" s="38">
        <f t="shared" si="16"/>
        <v>18716</v>
      </c>
      <c r="I53" s="38">
        <f t="shared" si="16"/>
        <v>18716</v>
      </c>
      <c r="J53" s="38">
        <f t="shared" si="16"/>
        <v>18716</v>
      </c>
      <c r="K53" s="38">
        <f t="shared" si="16"/>
        <v>18716</v>
      </c>
      <c r="L53" s="38">
        <f t="shared" si="16"/>
        <v>18716</v>
      </c>
      <c r="M53" s="38">
        <f t="shared" si="16"/>
        <v>18716</v>
      </c>
      <c r="N53" s="38">
        <f t="shared" si="16"/>
        <v>33016</v>
      </c>
      <c r="O53" s="235">
        <f>SUM(C53:N53)</f>
        <v>232976</v>
      </c>
    </row>
    <row r="54" spans="2:15" s="9" customFormat="1" ht="15.75" x14ac:dyDescent="0.25">
      <c r="B54" s="12" t="s">
        <v>76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231">
        <f>SUM(C54:N54)</f>
        <v>0</v>
      </c>
    </row>
    <row r="55" spans="2:15" s="9" customFormat="1" ht="15.75" x14ac:dyDescent="0.25">
      <c r="B55" s="12" t="s">
        <v>77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231">
        <f t="shared" ref="O55:O74" si="17">SUM(C55:N55)</f>
        <v>0</v>
      </c>
    </row>
    <row r="56" spans="2:15" s="9" customFormat="1" ht="15.75" x14ac:dyDescent="0.25">
      <c r="B56" s="12" t="s">
        <v>78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231">
        <f t="shared" si="17"/>
        <v>0</v>
      </c>
    </row>
    <row r="57" spans="2:15" s="9" customFormat="1" ht="15.75" x14ac:dyDescent="0.25">
      <c r="B57" s="12" t="s">
        <v>79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231">
        <f t="shared" si="17"/>
        <v>0</v>
      </c>
    </row>
    <row r="58" spans="2:15" s="9" customFormat="1" ht="15.75" x14ac:dyDescent="0.25">
      <c r="B58" s="12" t="s">
        <v>80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231">
        <f t="shared" si="17"/>
        <v>0</v>
      </c>
    </row>
    <row r="59" spans="2:15" s="9" customFormat="1" ht="15.75" x14ac:dyDescent="0.25">
      <c r="B59" s="12" t="s">
        <v>81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231">
        <f t="shared" si="17"/>
        <v>0</v>
      </c>
    </row>
    <row r="60" spans="2:15" s="9" customFormat="1" ht="15.75" x14ac:dyDescent="0.25">
      <c r="B60" s="12" t="s">
        <v>82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231">
        <f t="shared" si="17"/>
        <v>0</v>
      </c>
    </row>
    <row r="61" spans="2:15" s="9" customFormat="1" ht="15.75" x14ac:dyDescent="0.25">
      <c r="B61" s="12" t="s">
        <v>83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231">
        <f t="shared" si="17"/>
        <v>0</v>
      </c>
    </row>
    <row r="62" spans="2:15" s="9" customFormat="1" ht="15.75" x14ac:dyDescent="0.25">
      <c r="B62" s="12" t="s">
        <v>84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231">
        <f t="shared" si="17"/>
        <v>0</v>
      </c>
    </row>
    <row r="63" spans="2:15" s="9" customFormat="1" ht="15.75" x14ac:dyDescent="0.25">
      <c r="B63" s="12" t="s">
        <v>85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231">
        <f t="shared" si="17"/>
        <v>0</v>
      </c>
    </row>
    <row r="64" spans="2:15" s="9" customFormat="1" ht="15.75" x14ac:dyDescent="0.25">
      <c r="B64" s="12" t="s">
        <v>86</v>
      </c>
      <c r="C64" s="37">
        <v>800</v>
      </c>
      <c r="D64" s="37">
        <v>800</v>
      </c>
      <c r="E64" s="37">
        <v>800</v>
      </c>
      <c r="F64" s="37">
        <v>800</v>
      </c>
      <c r="G64" s="37">
        <v>800</v>
      </c>
      <c r="H64" s="37">
        <v>800</v>
      </c>
      <c r="I64" s="37">
        <v>800</v>
      </c>
      <c r="J64" s="37">
        <v>800</v>
      </c>
      <c r="K64" s="37">
        <v>800</v>
      </c>
      <c r="L64" s="37">
        <v>800</v>
      </c>
      <c r="M64" s="37">
        <v>800</v>
      </c>
      <c r="N64" s="37">
        <v>800</v>
      </c>
      <c r="O64" s="231">
        <f t="shared" si="17"/>
        <v>9600</v>
      </c>
    </row>
    <row r="65" spans="2:15" s="9" customFormat="1" ht="15.75" x14ac:dyDescent="0.25">
      <c r="B65" s="12" t="s">
        <v>87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231">
        <f t="shared" si="17"/>
        <v>0</v>
      </c>
    </row>
    <row r="66" spans="2:15" s="9" customFormat="1" ht="15.75" x14ac:dyDescent="0.25">
      <c r="B66" s="12" t="s">
        <v>88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231">
        <f t="shared" si="17"/>
        <v>0</v>
      </c>
    </row>
    <row r="67" spans="2:15" s="9" customFormat="1" ht="15.75" x14ac:dyDescent="0.25">
      <c r="B67" s="12" t="s">
        <v>89</v>
      </c>
      <c r="C67" s="37">
        <v>12000</v>
      </c>
      <c r="D67" s="37">
        <v>14300</v>
      </c>
      <c r="E67" s="37">
        <v>14300</v>
      </c>
      <c r="F67" s="37">
        <v>14300</v>
      </c>
      <c r="G67" s="37">
        <v>14300</v>
      </c>
      <c r="H67" s="37">
        <v>14300</v>
      </c>
      <c r="I67" s="37">
        <v>14300</v>
      </c>
      <c r="J67" s="37">
        <v>14300</v>
      </c>
      <c r="K67" s="37">
        <v>14300</v>
      </c>
      <c r="L67" s="37">
        <v>14300</v>
      </c>
      <c r="M67" s="37">
        <v>14300</v>
      </c>
      <c r="N67" s="37">
        <v>28600</v>
      </c>
      <c r="O67" s="231">
        <f t="shared" si="17"/>
        <v>183600</v>
      </c>
    </row>
    <row r="68" spans="2:15" s="9" customFormat="1" ht="15.75" x14ac:dyDescent="0.25">
      <c r="B68" s="12" t="s">
        <v>90</v>
      </c>
      <c r="C68" s="37">
        <v>0</v>
      </c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231">
        <f t="shared" si="17"/>
        <v>0</v>
      </c>
    </row>
    <row r="69" spans="2:15" s="9" customFormat="1" ht="15.75" x14ac:dyDescent="0.25">
      <c r="B69" s="12" t="s">
        <v>91</v>
      </c>
      <c r="C69" s="37">
        <v>0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231">
        <f t="shared" si="17"/>
        <v>0</v>
      </c>
    </row>
    <row r="70" spans="2:15" s="9" customFormat="1" ht="15.75" x14ac:dyDescent="0.25">
      <c r="B70" s="12" t="s">
        <v>92</v>
      </c>
      <c r="C70" s="37">
        <v>0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231">
        <f t="shared" si="17"/>
        <v>0</v>
      </c>
    </row>
    <row r="71" spans="2:15" s="9" customFormat="1" ht="15.75" x14ac:dyDescent="0.25">
      <c r="B71" s="12" t="s">
        <v>93</v>
      </c>
      <c r="C71" s="37">
        <v>0</v>
      </c>
      <c r="D71" s="37">
        <v>3616</v>
      </c>
      <c r="E71" s="37">
        <v>3616</v>
      </c>
      <c r="F71" s="37">
        <v>3616</v>
      </c>
      <c r="G71" s="37">
        <v>3616</v>
      </c>
      <c r="H71" s="37">
        <v>3616</v>
      </c>
      <c r="I71" s="37">
        <v>3616</v>
      </c>
      <c r="J71" s="37">
        <v>3616</v>
      </c>
      <c r="K71" s="37">
        <v>3616</v>
      </c>
      <c r="L71" s="37">
        <v>3616</v>
      </c>
      <c r="M71" s="37">
        <v>3616</v>
      </c>
      <c r="N71" s="37">
        <v>3616</v>
      </c>
      <c r="O71" s="231">
        <f t="shared" si="17"/>
        <v>39776</v>
      </c>
    </row>
    <row r="72" spans="2:15" s="9" customFormat="1" ht="15.75" x14ac:dyDescent="0.25">
      <c r="B72" s="12" t="s">
        <v>94</v>
      </c>
      <c r="C72" s="37">
        <v>0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231">
        <f t="shared" si="17"/>
        <v>0</v>
      </c>
    </row>
    <row r="73" spans="2:15" s="9" customFormat="1" ht="15.75" x14ac:dyDescent="0.25">
      <c r="B73" s="12" t="s">
        <v>95</v>
      </c>
      <c r="C73" s="37">
        <v>0</v>
      </c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231">
        <f t="shared" si="17"/>
        <v>0</v>
      </c>
    </row>
    <row r="74" spans="2:15" s="9" customFormat="1" ht="15.75" x14ac:dyDescent="0.25">
      <c r="B74" s="12" t="s">
        <v>96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231">
        <f t="shared" si="17"/>
        <v>0</v>
      </c>
    </row>
    <row r="75" spans="2:15" s="9" customFormat="1" ht="15.75" x14ac:dyDescent="0.25">
      <c r="B75" s="234" t="s">
        <v>97</v>
      </c>
      <c r="C75" s="38">
        <f>SUM(C76:C98)</f>
        <v>14920</v>
      </c>
      <c r="D75" s="38">
        <f t="shared" ref="D75:N75" si="18">SUM(D76:D98)</f>
        <v>24400</v>
      </c>
      <c r="E75" s="38">
        <f t="shared" si="18"/>
        <v>5700</v>
      </c>
      <c r="F75" s="38">
        <f t="shared" si="18"/>
        <v>5500</v>
      </c>
      <c r="G75" s="38">
        <f t="shared" si="18"/>
        <v>5500</v>
      </c>
      <c r="H75" s="38">
        <f t="shared" si="18"/>
        <v>5500</v>
      </c>
      <c r="I75" s="38">
        <f t="shared" si="18"/>
        <v>5500</v>
      </c>
      <c r="J75" s="38">
        <f t="shared" si="18"/>
        <v>5900</v>
      </c>
      <c r="K75" s="38">
        <f t="shared" si="18"/>
        <v>5500</v>
      </c>
      <c r="L75" s="38">
        <f t="shared" si="18"/>
        <v>5500</v>
      </c>
      <c r="M75" s="38">
        <f t="shared" si="18"/>
        <v>5500</v>
      </c>
      <c r="N75" s="38">
        <f t="shared" si="18"/>
        <v>5500</v>
      </c>
      <c r="O75" s="235">
        <f>SUM(C75:N75)</f>
        <v>94920</v>
      </c>
    </row>
    <row r="76" spans="2:15" s="9" customFormat="1" ht="15.75" x14ac:dyDescent="0.25">
      <c r="B76" s="12" t="s">
        <v>98</v>
      </c>
      <c r="C76" s="37">
        <v>1500</v>
      </c>
      <c r="D76" s="37">
        <v>1500</v>
      </c>
      <c r="E76" s="37">
        <v>1700</v>
      </c>
      <c r="F76" s="37">
        <v>1700</v>
      </c>
      <c r="G76" s="37">
        <v>1700</v>
      </c>
      <c r="H76" s="37">
        <v>1700</v>
      </c>
      <c r="I76" s="37">
        <v>1700</v>
      </c>
      <c r="J76" s="37">
        <v>1700</v>
      </c>
      <c r="K76" s="37">
        <v>1700</v>
      </c>
      <c r="L76" s="37">
        <v>1700</v>
      </c>
      <c r="M76" s="37">
        <v>1700</v>
      </c>
      <c r="N76" s="37">
        <v>1700</v>
      </c>
      <c r="O76" s="231">
        <f>SUM(C76:N76)</f>
        <v>20000</v>
      </c>
    </row>
    <row r="77" spans="2:15" s="9" customFormat="1" ht="15.75" x14ac:dyDescent="0.25">
      <c r="B77" s="12" t="s">
        <v>99</v>
      </c>
      <c r="C77" s="37">
        <v>0</v>
      </c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231">
        <f t="shared" ref="O77:O98" si="19">SUM(C77:N77)</f>
        <v>0</v>
      </c>
    </row>
    <row r="78" spans="2:15" s="9" customFormat="1" ht="15.75" x14ac:dyDescent="0.25">
      <c r="B78" s="12" t="s">
        <v>100</v>
      </c>
      <c r="C78" s="37">
        <v>350</v>
      </c>
      <c r="D78" s="37">
        <v>350</v>
      </c>
      <c r="E78" s="37">
        <v>350</v>
      </c>
      <c r="F78" s="37">
        <v>350</v>
      </c>
      <c r="G78" s="37">
        <v>350</v>
      </c>
      <c r="H78" s="37">
        <v>350</v>
      </c>
      <c r="I78" s="37">
        <v>350</v>
      </c>
      <c r="J78" s="37">
        <v>350</v>
      </c>
      <c r="K78" s="37">
        <v>350</v>
      </c>
      <c r="L78" s="37">
        <v>350</v>
      </c>
      <c r="M78" s="37">
        <v>350</v>
      </c>
      <c r="N78" s="37">
        <v>350</v>
      </c>
      <c r="O78" s="231">
        <f t="shared" si="19"/>
        <v>4200</v>
      </c>
    </row>
    <row r="79" spans="2:15" s="9" customFormat="1" ht="15.75" x14ac:dyDescent="0.25">
      <c r="B79" s="12" t="s">
        <v>101</v>
      </c>
      <c r="C79" s="37">
        <v>600</v>
      </c>
      <c r="D79" s="37">
        <v>600</v>
      </c>
      <c r="E79" s="37">
        <v>600</v>
      </c>
      <c r="F79" s="37">
        <v>600</v>
      </c>
      <c r="G79" s="37">
        <v>600</v>
      </c>
      <c r="H79" s="37">
        <v>600</v>
      </c>
      <c r="I79" s="37">
        <v>600</v>
      </c>
      <c r="J79" s="37">
        <v>600</v>
      </c>
      <c r="K79" s="37">
        <v>600</v>
      </c>
      <c r="L79" s="37">
        <v>600</v>
      </c>
      <c r="M79" s="37">
        <v>600</v>
      </c>
      <c r="N79" s="37">
        <v>600</v>
      </c>
      <c r="O79" s="231">
        <f t="shared" si="19"/>
        <v>7200</v>
      </c>
    </row>
    <row r="80" spans="2:15" s="9" customFormat="1" ht="15.75" x14ac:dyDescent="0.25">
      <c r="B80" s="12" t="s">
        <v>102</v>
      </c>
      <c r="C80" s="37">
        <v>120</v>
      </c>
      <c r="D80" s="37">
        <v>120</v>
      </c>
      <c r="E80" s="37">
        <v>120</v>
      </c>
      <c r="F80" s="37">
        <v>120</v>
      </c>
      <c r="G80" s="37">
        <v>120</v>
      </c>
      <c r="H80" s="37">
        <v>120</v>
      </c>
      <c r="I80" s="37">
        <v>120</v>
      </c>
      <c r="J80" s="37">
        <v>120</v>
      </c>
      <c r="K80" s="37">
        <v>120</v>
      </c>
      <c r="L80" s="37">
        <v>120</v>
      </c>
      <c r="M80" s="37">
        <v>120</v>
      </c>
      <c r="N80" s="37">
        <v>120</v>
      </c>
      <c r="O80" s="231">
        <f t="shared" si="19"/>
        <v>1440</v>
      </c>
    </row>
    <row r="81" spans="2:15" s="9" customFormat="1" ht="15.75" x14ac:dyDescent="0.25">
      <c r="B81" s="12" t="s">
        <v>103</v>
      </c>
      <c r="C81" s="37">
        <v>0</v>
      </c>
      <c r="D81" s="37">
        <v>300</v>
      </c>
      <c r="E81" s="37">
        <v>0</v>
      </c>
      <c r="F81" s="37">
        <v>0</v>
      </c>
      <c r="G81" s="37">
        <v>0</v>
      </c>
      <c r="H81" s="37">
        <v>0</v>
      </c>
      <c r="I81" s="37">
        <v>0</v>
      </c>
      <c r="J81" s="37">
        <v>200</v>
      </c>
      <c r="K81" s="37">
        <v>0</v>
      </c>
      <c r="L81" s="37">
        <v>0</v>
      </c>
      <c r="M81" s="37">
        <v>0</v>
      </c>
      <c r="N81" s="37">
        <v>0</v>
      </c>
      <c r="O81" s="231">
        <f t="shared" si="19"/>
        <v>500</v>
      </c>
    </row>
    <row r="82" spans="2:15" s="9" customFormat="1" ht="15.75" x14ac:dyDescent="0.25">
      <c r="B82" s="12" t="s">
        <v>104</v>
      </c>
      <c r="C82" s="37">
        <v>0</v>
      </c>
      <c r="D82" s="37">
        <v>120</v>
      </c>
      <c r="E82" s="37">
        <v>120</v>
      </c>
      <c r="F82" s="37">
        <v>120</v>
      </c>
      <c r="G82" s="37">
        <v>120</v>
      </c>
      <c r="H82" s="37">
        <v>120</v>
      </c>
      <c r="I82" s="37">
        <v>120</v>
      </c>
      <c r="J82" s="37">
        <v>120</v>
      </c>
      <c r="K82" s="37">
        <v>120</v>
      </c>
      <c r="L82" s="37">
        <v>120</v>
      </c>
      <c r="M82" s="37">
        <v>120</v>
      </c>
      <c r="N82" s="37">
        <v>120</v>
      </c>
      <c r="O82" s="231">
        <f t="shared" si="19"/>
        <v>1320</v>
      </c>
    </row>
    <row r="83" spans="2:15" s="9" customFormat="1" ht="15.75" x14ac:dyDescent="0.25">
      <c r="B83" s="12" t="s">
        <v>105</v>
      </c>
      <c r="C83" s="37">
        <v>0</v>
      </c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0</v>
      </c>
      <c r="J83" s="37">
        <v>0</v>
      </c>
      <c r="K83" s="37">
        <v>0</v>
      </c>
      <c r="L83" s="37">
        <v>0</v>
      </c>
      <c r="M83" s="37">
        <v>0</v>
      </c>
      <c r="N83" s="37">
        <v>0</v>
      </c>
      <c r="O83" s="231">
        <f t="shared" si="19"/>
        <v>0</v>
      </c>
    </row>
    <row r="84" spans="2:15" s="9" customFormat="1" ht="15.75" x14ac:dyDescent="0.25">
      <c r="B84" s="12" t="s">
        <v>106</v>
      </c>
      <c r="C84" s="37">
        <v>0</v>
      </c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0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231">
        <f t="shared" si="19"/>
        <v>0</v>
      </c>
    </row>
    <row r="85" spans="2:15" s="9" customFormat="1" ht="15.75" x14ac:dyDescent="0.25">
      <c r="B85" s="12" t="s">
        <v>107</v>
      </c>
      <c r="C85" s="37">
        <v>0</v>
      </c>
      <c r="D85" s="37">
        <v>0</v>
      </c>
      <c r="E85" s="37">
        <v>0</v>
      </c>
      <c r="F85" s="37">
        <v>0</v>
      </c>
      <c r="G85" s="37">
        <v>0</v>
      </c>
      <c r="H85" s="37">
        <v>0</v>
      </c>
      <c r="I85" s="37">
        <v>0</v>
      </c>
      <c r="J85" s="37">
        <v>0</v>
      </c>
      <c r="K85" s="37">
        <v>0</v>
      </c>
      <c r="L85" s="37">
        <v>0</v>
      </c>
      <c r="M85" s="37">
        <v>0</v>
      </c>
      <c r="N85" s="37">
        <v>0</v>
      </c>
      <c r="O85" s="231">
        <f t="shared" si="19"/>
        <v>0</v>
      </c>
    </row>
    <row r="86" spans="2:15" s="9" customFormat="1" ht="15.75" x14ac:dyDescent="0.25">
      <c r="B86" s="12" t="s">
        <v>108</v>
      </c>
      <c r="C86" s="37">
        <v>0</v>
      </c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231">
        <f t="shared" si="19"/>
        <v>0</v>
      </c>
    </row>
    <row r="87" spans="2:15" s="9" customFormat="1" ht="15.75" x14ac:dyDescent="0.25">
      <c r="B87" s="12" t="s">
        <v>109</v>
      </c>
      <c r="C87" s="37">
        <v>0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231">
        <f t="shared" si="19"/>
        <v>0</v>
      </c>
    </row>
    <row r="88" spans="2:15" s="9" customFormat="1" ht="15.75" x14ac:dyDescent="0.25">
      <c r="B88" s="12" t="s">
        <v>110</v>
      </c>
      <c r="C88" s="37">
        <v>0</v>
      </c>
      <c r="D88" s="37">
        <v>0</v>
      </c>
      <c r="E88" s="37">
        <v>0</v>
      </c>
      <c r="F88" s="37">
        <v>0</v>
      </c>
      <c r="G88" s="37">
        <v>0</v>
      </c>
      <c r="H88" s="37">
        <v>0</v>
      </c>
      <c r="I88" s="37">
        <v>0</v>
      </c>
      <c r="J88" s="37">
        <v>0</v>
      </c>
      <c r="K88" s="37">
        <v>0</v>
      </c>
      <c r="L88" s="37">
        <v>0</v>
      </c>
      <c r="M88" s="37">
        <v>0</v>
      </c>
      <c r="N88" s="37">
        <v>0</v>
      </c>
      <c r="O88" s="231">
        <f t="shared" si="19"/>
        <v>0</v>
      </c>
    </row>
    <row r="89" spans="2:15" s="9" customFormat="1" ht="15.75" x14ac:dyDescent="0.25">
      <c r="B89" s="12" t="s">
        <v>111</v>
      </c>
      <c r="C89" s="37">
        <v>0</v>
      </c>
      <c r="D89" s="37">
        <v>0</v>
      </c>
      <c r="E89" s="37">
        <v>200</v>
      </c>
      <c r="F89" s="37">
        <v>0</v>
      </c>
      <c r="G89" s="37">
        <v>0</v>
      </c>
      <c r="H89" s="37">
        <v>0</v>
      </c>
      <c r="I89" s="37">
        <v>0</v>
      </c>
      <c r="J89" s="37">
        <v>200</v>
      </c>
      <c r="K89" s="37">
        <v>0</v>
      </c>
      <c r="L89" s="37">
        <v>0</v>
      </c>
      <c r="M89" s="37">
        <v>0</v>
      </c>
      <c r="N89" s="37">
        <v>0</v>
      </c>
      <c r="O89" s="231">
        <f t="shared" si="19"/>
        <v>400</v>
      </c>
    </row>
    <row r="90" spans="2:15" s="9" customFormat="1" ht="15.75" x14ac:dyDescent="0.25">
      <c r="B90" s="12" t="s">
        <v>112</v>
      </c>
      <c r="C90" s="37">
        <v>350</v>
      </c>
      <c r="D90" s="37">
        <v>350</v>
      </c>
      <c r="E90" s="37">
        <v>350</v>
      </c>
      <c r="F90" s="37">
        <v>350</v>
      </c>
      <c r="G90" s="37">
        <v>350</v>
      </c>
      <c r="H90" s="37">
        <v>350</v>
      </c>
      <c r="I90" s="37">
        <v>350</v>
      </c>
      <c r="J90" s="37">
        <v>350</v>
      </c>
      <c r="K90" s="37">
        <v>350</v>
      </c>
      <c r="L90" s="37">
        <v>350</v>
      </c>
      <c r="M90" s="37">
        <v>350</v>
      </c>
      <c r="N90" s="37">
        <v>350</v>
      </c>
      <c r="O90" s="231">
        <f t="shared" si="19"/>
        <v>4200</v>
      </c>
    </row>
    <row r="91" spans="2:15" s="9" customFormat="1" ht="15.75" x14ac:dyDescent="0.25">
      <c r="B91" s="12" t="s">
        <v>113</v>
      </c>
      <c r="C91" s="37">
        <v>0</v>
      </c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231">
        <f t="shared" si="19"/>
        <v>0</v>
      </c>
    </row>
    <row r="92" spans="2:15" s="9" customFormat="1" ht="15.75" x14ac:dyDescent="0.25">
      <c r="B92" s="12" t="s">
        <v>114</v>
      </c>
      <c r="C92" s="37">
        <v>0</v>
      </c>
      <c r="D92" s="37">
        <v>0</v>
      </c>
      <c r="E92" s="37">
        <v>0</v>
      </c>
      <c r="F92" s="37">
        <v>0</v>
      </c>
      <c r="G92" s="37">
        <v>0</v>
      </c>
      <c r="H92" s="37">
        <v>0</v>
      </c>
      <c r="I92" s="37">
        <v>0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231">
        <f t="shared" si="19"/>
        <v>0</v>
      </c>
    </row>
    <row r="93" spans="2:15" s="9" customFormat="1" ht="15.75" x14ac:dyDescent="0.25">
      <c r="B93" s="12" t="s">
        <v>115</v>
      </c>
      <c r="C93" s="37">
        <v>0</v>
      </c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0</v>
      </c>
      <c r="J93" s="37">
        <v>0</v>
      </c>
      <c r="K93" s="37">
        <v>0</v>
      </c>
      <c r="L93" s="37">
        <v>0</v>
      </c>
      <c r="M93" s="37">
        <v>0</v>
      </c>
      <c r="N93" s="37">
        <v>0</v>
      </c>
      <c r="O93" s="231">
        <f t="shared" si="19"/>
        <v>0</v>
      </c>
    </row>
    <row r="94" spans="2:15" s="9" customFormat="1" ht="15.75" x14ac:dyDescent="0.25">
      <c r="B94" s="12" t="s">
        <v>116</v>
      </c>
      <c r="C94" s="37">
        <v>12000</v>
      </c>
      <c r="D94" s="37">
        <v>20000</v>
      </c>
      <c r="E94" s="37">
        <v>1000</v>
      </c>
      <c r="F94" s="37">
        <v>1000</v>
      </c>
      <c r="G94" s="37">
        <v>1000</v>
      </c>
      <c r="H94" s="37">
        <v>1000</v>
      </c>
      <c r="I94" s="37">
        <v>1000</v>
      </c>
      <c r="J94" s="37">
        <v>1000</v>
      </c>
      <c r="K94" s="37">
        <v>1000</v>
      </c>
      <c r="L94" s="37">
        <v>1000</v>
      </c>
      <c r="M94" s="37">
        <v>1000</v>
      </c>
      <c r="N94" s="37">
        <v>1000</v>
      </c>
      <c r="O94" s="231">
        <f t="shared" si="19"/>
        <v>42000</v>
      </c>
    </row>
    <row r="95" spans="2:15" s="9" customFormat="1" ht="15.75" x14ac:dyDescent="0.25">
      <c r="B95" s="12" t="s">
        <v>117</v>
      </c>
      <c r="C95" s="37">
        <v>0</v>
      </c>
      <c r="D95" s="37">
        <v>1000</v>
      </c>
      <c r="E95" s="37">
        <v>1000</v>
      </c>
      <c r="F95" s="37">
        <v>1000</v>
      </c>
      <c r="G95" s="37">
        <v>1000</v>
      </c>
      <c r="H95" s="37">
        <v>1000</v>
      </c>
      <c r="I95" s="37">
        <v>1000</v>
      </c>
      <c r="J95" s="37">
        <v>1000</v>
      </c>
      <c r="K95" s="37">
        <v>1000</v>
      </c>
      <c r="L95" s="37">
        <v>1000</v>
      </c>
      <c r="M95" s="37">
        <v>1000</v>
      </c>
      <c r="N95" s="37">
        <v>1000</v>
      </c>
      <c r="O95" s="231">
        <f t="shared" si="19"/>
        <v>11000</v>
      </c>
    </row>
    <row r="96" spans="2:15" s="9" customFormat="1" ht="15.75" x14ac:dyDescent="0.25">
      <c r="B96" s="12" t="s">
        <v>118</v>
      </c>
      <c r="C96" s="37">
        <v>0</v>
      </c>
      <c r="D96" s="37">
        <v>0</v>
      </c>
      <c r="E96" s="37">
        <v>200</v>
      </c>
      <c r="F96" s="37">
        <v>200</v>
      </c>
      <c r="G96" s="37">
        <v>200</v>
      </c>
      <c r="H96" s="37">
        <v>200</v>
      </c>
      <c r="I96" s="37">
        <v>200</v>
      </c>
      <c r="J96" s="37">
        <v>200</v>
      </c>
      <c r="K96" s="37">
        <v>200</v>
      </c>
      <c r="L96" s="37">
        <v>200</v>
      </c>
      <c r="M96" s="37">
        <v>200</v>
      </c>
      <c r="N96" s="37">
        <v>200</v>
      </c>
      <c r="O96" s="231">
        <f t="shared" si="19"/>
        <v>2000</v>
      </c>
    </row>
    <row r="97" spans="2:15" s="9" customFormat="1" ht="15.75" x14ac:dyDescent="0.25">
      <c r="B97" s="12" t="s">
        <v>119</v>
      </c>
      <c r="C97" s="37">
        <v>0</v>
      </c>
      <c r="D97" s="37">
        <v>60</v>
      </c>
      <c r="E97" s="37">
        <v>60</v>
      </c>
      <c r="F97" s="37">
        <v>60</v>
      </c>
      <c r="G97" s="37">
        <v>60</v>
      </c>
      <c r="H97" s="37">
        <v>60</v>
      </c>
      <c r="I97" s="37">
        <v>60</v>
      </c>
      <c r="J97" s="37">
        <v>60</v>
      </c>
      <c r="K97" s="37">
        <v>60</v>
      </c>
      <c r="L97" s="37">
        <v>60</v>
      </c>
      <c r="M97" s="37">
        <v>60</v>
      </c>
      <c r="N97" s="37">
        <v>60</v>
      </c>
      <c r="O97" s="231">
        <f t="shared" si="19"/>
        <v>660</v>
      </c>
    </row>
    <row r="98" spans="2:15" s="9" customFormat="1" ht="15.75" x14ac:dyDescent="0.25">
      <c r="B98" s="12" t="s">
        <v>120</v>
      </c>
      <c r="C98" s="37">
        <v>0</v>
      </c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0</v>
      </c>
      <c r="J98" s="37">
        <v>0</v>
      </c>
      <c r="K98" s="37">
        <v>0</v>
      </c>
      <c r="L98" s="37">
        <v>0</v>
      </c>
      <c r="M98" s="37">
        <v>0</v>
      </c>
      <c r="N98" s="37">
        <v>0</v>
      </c>
      <c r="O98" s="231">
        <f t="shared" si="19"/>
        <v>0</v>
      </c>
    </row>
    <row r="99" spans="2:15" s="9" customFormat="1" ht="15.75" x14ac:dyDescent="0.25">
      <c r="B99" s="234" t="s">
        <v>121</v>
      </c>
      <c r="C99" s="38">
        <f>SUM(C100:C104)</f>
        <v>0</v>
      </c>
      <c r="D99" s="38">
        <f t="shared" ref="D99:N99" si="20">SUM(D100:D104)</f>
        <v>0</v>
      </c>
      <c r="E99" s="38">
        <f t="shared" si="20"/>
        <v>0</v>
      </c>
      <c r="F99" s="38">
        <f t="shared" si="20"/>
        <v>0</v>
      </c>
      <c r="G99" s="38">
        <f t="shared" si="20"/>
        <v>0</v>
      </c>
      <c r="H99" s="38">
        <f t="shared" si="20"/>
        <v>0</v>
      </c>
      <c r="I99" s="38">
        <f t="shared" si="20"/>
        <v>0</v>
      </c>
      <c r="J99" s="38">
        <f t="shared" si="20"/>
        <v>0</v>
      </c>
      <c r="K99" s="38">
        <f t="shared" si="20"/>
        <v>0</v>
      </c>
      <c r="L99" s="38">
        <f t="shared" si="20"/>
        <v>0</v>
      </c>
      <c r="M99" s="38">
        <f t="shared" si="20"/>
        <v>0</v>
      </c>
      <c r="N99" s="38">
        <f t="shared" si="20"/>
        <v>0</v>
      </c>
      <c r="O99" s="235">
        <f>SUM(C99:N99)</f>
        <v>0</v>
      </c>
    </row>
    <row r="100" spans="2:15" s="9" customFormat="1" ht="15.75" x14ac:dyDescent="0.25">
      <c r="B100" s="36" t="s">
        <v>122</v>
      </c>
      <c r="C100" s="37">
        <v>0</v>
      </c>
      <c r="D100" s="37">
        <v>0</v>
      </c>
      <c r="E100" s="37">
        <v>0</v>
      </c>
      <c r="F100" s="37">
        <v>0</v>
      </c>
      <c r="G100" s="37">
        <v>0</v>
      </c>
      <c r="H100" s="37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231">
        <f t="shared" ref="O100:O138" si="21">SUM(C100:N100)</f>
        <v>0</v>
      </c>
    </row>
    <row r="101" spans="2:15" s="9" customFormat="1" ht="15.75" x14ac:dyDescent="0.25">
      <c r="B101" s="36" t="s">
        <v>123</v>
      </c>
      <c r="C101" s="37">
        <v>0</v>
      </c>
      <c r="D101" s="37">
        <v>0</v>
      </c>
      <c r="E101" s="37">
        <v>0</v>
      </c>
      <c r="F101" s="37">
        <v>0</v>
      </c>
      <c r="G101" s="37">
        <v>0</v>
      </c>
      <c r="H101" s="37">
        <v>0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231">
        <f t="shared" si="21"/>
        <v>0</v>
      </c>
    </row>
    <row r="102" spans="2:15" s="9" customFormat="1" ht="15.75" x14ac:dyDescent="0.25">
      <c r="B102" s="36" t="s">
        <v>124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>
        <v>0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231">
        <f t="shared" si="21"/>
        <v>0</v>
      </c>
    </row>
    <row r="103" spans="2:15" s="9" customFormat="1" ht="15.75" x14ac:dyDescent="0.25">
      <c r="B103" s="12" t="s">
        <v>125</v>
      </c>
      <c r="C103" s="37">
        <v>0</v>
      </c>
      <c r="D103" s="37">
        <v>0</v>
      </c>
      <c r="E103" s="37">
        <v>0</v>
      </c>
      <c r="F103" s="37">
        <v>0</v>
      </c>
      <c r="G103" s="37">
        <v>0</v>
      </c>
      <c r="H103" s="37">
        <v>0</v>
      </c>
      <c r="I103" s="37">
        <v>0</v>
      </c>
      <c r="J103" s="37">
        <v>0</v>
      </c>
      <c r="K103" s="37">
        <v>0</v>
      </c>
      <c r="L103" s="37">
        <v>0</v>
      </c>
      <c r="M103" s="37">
        <v>0</v>
      </c>
      <c r="N103" s="37">
        <v>0</v>
      </c>
      <c r="O103" s="231">
        <f t="shared" si="21"/>
        <v>0</v>
      </c>
    </row>
    <row r="104" spans="2:15" s="9" customFormat="1" ht="15.75" x14ac:dyDescent="0.25">
      <c r="B104" s="12" t="s">
        <v>126</v>
      </c>
      <c r="C104" s="37">
        <v>0</v>
      </c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231">
        <f t="shared" si="21"/>
        <v>0</v>
      </c>
    </row>
    <row r="105" spans="2:15" s="9" customFormat="1" ht="15.75" x14ac:dyDescent="0.25">
      <c r="B105" s="234" t="s">
        <v>127</v>
      </c>
      <c r="C105" s="38">
        <f>SUM(C106:C115)</f>
        <v>0</v>
      </c>
      <c r="D105" s="38">
        <f t="shared" ref="D105:N105" si="22">SUM(D106:D115)</f>
        <v>0</v>
      </c>
      <c r="E105" s="38">
        <f t="shared" si="22"/>
        <v>0</v>
      </c>
      <c r="F105" s="38">
        <f t="shared" si="22"/>
        <v>0</v>
      </c>
      <c r="G105" s="38">
        <f t="shared" si="22"/>
        <v>0</v>
      </c>
      <c r="H105" s="38">
        <f t="shared" si="22"/>
        <v>0</v>
      </c>
      <c r="I105" s="38">
        <f t="shared" si="22"/>
        <v>0</v>
      </c>
      <c r="J105" s="38">
        <f t="shared" si="22"/>
        <v>0</v>
      </c>
      <c r="K105" s="38">
        <f t="shared" si="22"/>
        <v>0</v>
      </c>
      <c r="L105" s="38">
        <f t="shared" si="22"/>
        <v>0</v>
      </c>
      <c r="M105" s="38">
        <f t="shared" si="22"/>
        <v>0</v>
      </c>
      <c r="N105" s="38">
        <f t="shared" si="22"/>
        <v>0</v>
      </c>
      <c r="O105" s="235">
        <f t="shared" si="21"/>
        <v>0</v>
      </c>
    </row>
    <row r="106" spans="2:15" s="9" customFormat="1" ht="15.75" x14ac:dyDescent="0.25">
      <c r="B106" s="12" t="s">
        <v>128</v>
      </c>
      <c r="C106" s="37">
        <v>0</v>
      </c>
      <c r="D106" s="37">
        <v>0</v>
      </c>
      <c r="E106" s="37">
        <v>0</v>
      </c>
      <c r="F106" s="37">
        <v>0</v>
      </c>
      <c r="G106" s="37">
        <v>0</v>
      </c>
      <c r="H106" s="37">
        <v>0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231">
        <f t="shared" si="21"/>
        <v>0</v>
      </c>
    </row>
    <row r="107" spans="2:15" s="9" customFormat="1" ht="15.75" x14ac:dyDescent="0.25">
      <c r="B107" s="12" t="s">
        <v>129</v>
      </c>
      <c r="C107" s="37">
        <v>0</v>
      </c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0</v>
      </c>
      <c r="J107" s="37">
        <v>0</v>
      </c>
      <c r="K107" s="37">
        <v>0</v>
      </c>
      <c r="L107" s="37">
        <v>0</v>
      </c>
      <c r="M107" s="37">
        <v>0</v>
      </c>
      <c r="N107" s="37">
        <v>0</v>
      </c>
      <c r="O107" s="231">
        <f t="shared" si="21"/>
        <v>0</v>
      </c>
    </row>
    <row r="108" spans="2:15" s="9" customFormat="1" ht="15.75" x14ac:dyDescent="0.25">
      <c r="B108" s="12" t="s">
        <v>130</v>
      </c>
      <c r="C108" s="37">
        <v>0</v>
      </c>
      <c r="D108" s="37">
        <v>0</v>
      </c>
      <c r="E108" s="37">
        <v>0</v>
      </c>
      <c r="F108" s="37">
        <v>0</v>
      </c>
      <c r="G108" s="37">
        <v>0</v>
      </c>
      <c r="H108" s="37">
        <v>0</v>
      </c>
      <c r="I108" s="37">
        <v>0</v>
      </c>
      <c r="J108" s="37">
        <v>0</v>
      </c>
      <c r="K108" s="37">
        <v>0</v>
      </c>
      <c r="L108" s="37">
        <v>0</v>
      </c>
      <c r="M108" s="37">
        <v>0</v>
      </c>
      <c r="N108" s="37">
        <v>0</v>
      </c>
      <c r="O108" s="231">
        <f t="shared" si="21"/>
        <v>0</v>
      </c>
    </row>
    <row r="109" spans="2:15" s="9" customFormat="1" ht="15.75" x14ac:dyDescent="0.25">
      <c r="B109" s="12" t="s">
        <v>131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231">
        <f t="shared" si="21"/>
        <v>0</v>
      </c>
    </row>
    <row r="110" spans="2:15" s="9" customFormat="1" ht="15.75" x14ac:dyDescent="0.25">
      <c r="B110" s="12" t="s">
        <v>132</v>
      </c>
      <c r="C110" s="37">
        <v>0</v>
      </c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0</v>
      </c>
      <c r="J110" s="37">
        <v>0</v>
      </c>
      <c r="K110" s="37">
        <v>0</v>
      </c>
      <c r="L110" s="37">
        <v>0</v>
      </c>
      <c r="M110" s="37">
        <v>0</v>
      </c>
      <c r="N110" s="37">
        <v>0</v>
      </c>
      <c r="O110" s="231">
        <f t="shared" si="21"/>
        <v>0</v>
      </c>
    </row>
    <row r="111" spans="2:15" s="9" customFormat="1" ht="15.75" x14ac:dyDescent="0.25">
      <c r="B111" s="12" t="s">
        <v>133</v>
      </c>
      <c r="C111" s="37">
        <v>0</v>
      </c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0</v>
      </c>
      <c r="J111" s="37">
        <v>0</v>
      </c>
      <c r="K111" s="37">
        <v>0</v>
      </c>
      <c r="L111" s="37">
        <v>0</v>
      </c>
      <c r="M111" s="37">
        <v>0</v>
      </c>
      <c r="N111" s="37">
        <v>0</v>
      </c>
      <c r="O111" s="231">
        <f t="shared" si="21"/>
        <v>0</v>
      </c>
    </row>
    <row r="112" spans="2:15" s="9" customFormat="1" ht="15.75" x14ac:dyDescent="0.25">
      <c r="B112" s="12" t="s">
        <v>134</v>
      </c>
      <c r="C112" s="37">
        <v>0</v>
      </c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231">
        <f t="shared" si="21"/>
        <v>0</v>
      </c>
    </row>
    <row r="113" spans="2:15" s="9" customFormat="1" ht="15.75" x14ac:dyDescent="0.25">
      <c r="B113" s="12" t="s">
        <v>135</v>
      </c>
      <c r="C113" s="37">
        <v>0</v>
      </c>
      <c r="D113" s="37">
        <v>0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231">
        <f t="shared" si="21"/>
        <v>0</v>
      </c>
    </row>
    <row r="114" spans="2:15" s="9" customFormat="1" ht="15.75" x14ac:dyDescent="0.25">
      <c r="B114" s="12" t="s">
        <v>136</v>
      </c>
      <c r="C114" s="37">
        <v>0</v>
      </c>
      <c r="D114" s="37">
        <v>0</v>
      </c>
      <c r="E114" s="37">
        <v>0</v>
      </c>
      <c r="F114" s="37">
        <v>0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231">
        <f t="shared" si="21"/>
        <v>0</v>
      </c>
    </row>
    <row r="115" spans="2:15" s="9" customFormat="1" ht="15.75" x14ac:dyDescent="0.25">
      <c r="B115" s="12" t="s">
        <v>137</v>
      </c>
      <c r="C115" s="37">
        <v>0</v>
      </c>
      <c r="D115" s="37">
        <v>0</v>
      </c>
      <c r="E115" s="37">
        <v>0</v>
      </c>
      <c r="F115" s="37">
        <v>0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231">
        <f t="shared" si="21"/>
        <v>0</v>
      </c>
    </row>
    <row r="116" spans="2:15" s="9" customFormat="1" ht="15.75" x14ac:dyDescent="0.25">
      <c r="B116" s="234" t="s">
        <v>138</v>
      </c>
      <c r="C116" s="16">
        <f>SUM(C117:C119)</f>
        <v>0</v>
      </c>
      <c r="D116" s="16">
        <f t="shared" ref="D116:N116" si="23">SUM(D117:D119)</f>
        <v>13400</v>
      </c>
      <c r="E116" s="16">
        <f t="shared" si="23"/>
        <v>0</v>
      </c>
      <c r="F116" s="16">
        <f t="shared" si="23"/>
        <v>0</v>
      </c>
      <c r="G116" s="16">
        <f t="shared" si="23"/>
        <v>0</v>
      </c>
      <c r="H116" s="16">
        <f t="shared" si="23"/>
        <v>0</v>
      </c>
      <c r="I116" s="16">
        <f t="shared" si="23"/>
        <v>0</v>
      </c>
      <c r="J116" s="16">
        <f t="shared" si="23"/>
        <v>0</v>
      </c>
      <c r="K116" s="16">
        <f t="shared" si="23"/>
        <v>0</v>
      </c>
      <c r="L116" s="16">
        <f t="shared" si="23"/>
        <v>0</v>
      </c>
      <c r="M116" s="16">
        <f t="shared" si="23"/>
        <v>0</v>
      </c>
      <c r="N116" s="16">
        <f t="shared" si="23"/>
        <v>0</v>
      </c>
      <c r="O116" s="235">
        <f t="shared" si="21"/>
        <v>13400</v>
      </c>
    </row>
    <row r="117" spans="2:15" s="9" customFormat="1" ht="15.75" x14ac:dyDescent="0.25">
      <c r="B117" s="12" t="s">
        <v>139</v>
      </c>
      <c r="C117" s="37">
        <v>0</v>
      </c>
      <c r="D117" s="37">
        <v>400</v>
      </c>
      <c r="E117" s="37">
        <v>0</v>
      </c>
      <c r="F117" s="37">
        <v>0</v>
      </c>
      <c r="G117" s="37">
        <v>0</v>
      </c>
      <c r="H117" s="37">
        <v>0</v>
      </c>
      <c r="I117" s="37">
        <v>0</v>
      </c>
      <c r="J117" s="37">
        <v>0</v>
      </c>
      <c r="K117" s="37">
        <v>0</v>
      </c>
      <c r="L117" s="37">
        <v>0</v>
      </c>
      <c r="M117" s="37">
        <v>0</v>
      </c>
      <c r="N117" s="37">
        <v>0</v>
      </c>
      <c r="O117" s="231">
        <f>SUM(C117:N117)</f>
        <v>400</v>
      </c>
    </row>
    <row r="118" spans="2:15" s="9" customFormat="1" ht="15.75" x14ac:dyDescent="0.25">
      <c r="B118" s="12" t="s">
        <v>140</v>
      </c>
      <c r="C118" s="37">
        <v>0</v>
      </c>
      <c r="D118" s="37">
        <v>10000</v>
      </c>
      <c r="E118" s="37">
        <v>0</v>
      </c>
      <c r="F118" s="37">
        <v>0</v>
      </c>
      <c r="G118" s="37">
        <v>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231">
        <f t="shared" ref="O118:O119" si="24">SUM(C118:N118)</f>
        <v>10000</v>
      </c>
    </row>
    <row r="119" spans="2:15" s="9" customFormat="1" ht="15.75" x14ac:dyDescent="0.25">
      <c r="B119" s="12" t="s">
        <v>141</v>
      </c>
      <c r="C119" s="37">
        <v>0</v>
      </c>
      <c r="D119" s="37">
        <v>3000</v>
      </c>
      <c r="E119" s="37">
        <v>0</v>
      </c>
      <c r="F119" s="37">
        <v>0</v>
      </c>
      <c r="G119" s="37">
        <v>0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231">
        <f t="shared" si="24"/>
        <v>3000</v>
      </c>
    </row>
    <row r="120" spans="2:15" s="9" customFormat="1" ht="15.75" x14ac:dyDescent="0.25">
      <c r="B120" s="234" t="s">
        <v>142</v>
      </c>
      <c r="C120" s="16">
        <f>SUM(C121:C122)</f>
        <v>0</v>
      </c>
      <c r="D120" s="16">
        <f t="shared" ref="D120:N120" si="25">SUM(D121:D122)</f>
        <v>0</v>
      </c>
      <c r="E120" s="16">
        <f t="shared" si="25"/>
        <v>0</v>
      </c>
      <c r="F120" s="16">
        <f t="shared" si="25"/>
        <v>0</v>
      </c>
      <c r="G120" s="16">
        <f t="shared" si="25"/>
        <v>0</v>
      </c>
      <c r="H120" s="16">
        <f t="shared" si="25"/>
        <v>0</v>
      </c>
      <c r="I120" s="16">
        <f t="shared" si="25"/>
        <v>0</v>
      </c>
      <c r="J120" s="16">
        <f t="shared" si="25"/>
        <v>0</v>
      </c>
      <c r="K120" s="16">
        <f t="shared" si="25"/>
        <v>0</v>
      </c>
      <c r="L120" s="16">
        <f t="shared" si="25"/>
        <v>0</v>
      </c>
      <c r="M120" s="16">
        <f t="shared" si="25"/>
        <v>0</v>
      </c>
      <c r="N120" s="16">
        <f t="shared" si="25"/>
        <v>0</v>
      </c>
      <c r="O120" s="235">
        <f t="shared" si="21"/>
        <v>0</v>
      </c>
    </row>
    <row r="121" spans="2:15" s="9" customFormat="1" ht="15.75" x14ac:dyDescent="0.25">
      <c r="B121" s="12" t="s">
        <v>143</v>
      </c>
      <c r="C121" s="37">
        <v>0</v>
      </c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0</v>
      </c>
      <c r="J121" s="37">
        <v>0</v>
      </c>
      <c r="K121" s="37">
        <v>0</v>
      </c>
      <c r="L121" s="37">
        <v>0</v>
      </c>
      <c r="M121" s="37">
        <v>0</v>
      </c>
      <c r="N121" s="37">
        <v>0</v>
      </c>
      <c r="O121" s="231">
        <f t="shared" si="21"/>
        <v>0</v>
      </c>
    </row>
    <row r="122" spans="2:15" s="9" customFormat="1" ht="15.75" x14ac:dyDescent="0.25">
      <c r="B122" s="12" t="s">
        <v>43</v>
      </c>
      <c r="C122" s="37">
        <v>0</v>
      </c>
      <c r="D122" s="37">
        <v>0</v>
      </c>
      <c r="E122" s="37">
        <v>0</v>
      </c>
      <c r="F122" s="37">
        <v>0</v>
      </c>
      <c r="G122" s="37">
        <v>0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  <c r="M122" s="37">
        <v>0</v>
      </c>
      <c r="N122" s="37">
        <v>0</v>
      </c>
      <c r="O122" s="231">
        <f t="shared" si="21"/>
        <v>0</v>
      </c>
    </row>
    <row r="123" spans="2:15" s="9" customFormat="1" ht="15.75" x14ac:dyDescent="0.25">
      <c r="B123" s="234" t="s">
        <v>32</v>
      </c>
      <c r="C123" s="16">
        <f t="shared" ref="C123:N123" si="26">SUM(C124:C125)</f>
        <v>0</v>
      </c>
      <c r="D123" s="16">
        <f t="shared" si="26"/>
        <v>0</v>
      </c>
      <c r="E123" s="16">
        <f t="shared" si="26"/>
        <v>0</v>
      </c>
      <c r="F123" s="16">
        <f t="shared" si="26"/>
        <v>0</v>
      </c>
      <c r="G123" s="16">
        <f t="shared" si="26"/>
        <v>0</v>
      </c>
      <c r="H123" s="16">
        <f t="shared" si="26"/>
        <v>0</v>
      </c>
      <c r="I123" s="16">
        <f t="shared" si="26"/>
        <v>0</v>
      </c>
      <c r="J123" s="16">
        <f t="shared" si="26"/>
        <v>0</v>
      </c>
      <c r="K123" s="16">
        <f t="shared" si="26"/>
        <v>0</v>
      </c>
      <c r="L123" s="16">
        <f t="shared" si="26"/>
        <v>0</v>
      </c>
      <c r="M123" s="16">
        <f t="shared" si="26"/>
        <v>0</v>
      </c>
      <c r="N123" s="16">
        <f t="shared" si="26"/>
        <v>0</v>
      </c>
      <c r="O123" s="235">
        <f t="shared" si="21"/>
        <v>0</v>
      </c>
    </row>
    <row r="124" spans="2:15" s="9" customFormat="1" ht="15.75" x14ac:dyDescent="0.25">
      <c r="B124" s="12" t="s">
        <v>144</v>
      </c>
      <c r="C124" s="37">
        <v>0</v>
      </c>
      <c r="D124" s="37">
        <v>0</v>
      </c>
      <c r="E124" s="37">
        <v>0</v>
      </c>
      <c r="F124" s="37">
        <v>0</v>
      </c>
      <c r="G124" s="37">
        <v>0</v>
      </c>
      <c r="H124" s="37">
        <v>0</v>
      </c>
      <c r="I124" s="37">
        <v>0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231">
        <f t="shared" si="21"/>
        <v>0</v>
      </c>
    </row>
    <row r="125" spans="2:15" s="9" customFormat="1" ht="15.75" x14ac:dyDescent="0.25">
      <c r="B125" s="12" t="s">
        <v>145</v>
      </c>
      <c r="C125" s="37">
        <v>0</v>
      </c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231">
        <f t="shared" si="21"/>
        <v>0</v>
      </c>
    </row>
    <row r="126" spans="2:15" s="9" customFormat="1" ht="15.75" x14ac:dyDescent="0.25">
      <c r="B126" s="234" t="s">
        <v>146</v>
      </c>
      <c r="C126" s="16">
        <f>SUM(C127:C129)</f>
        <v>0</v>
      </c>
      <c r="D126" s="16">
        <f t="shared" ref="D126:N126" si="27">SUM(D127:D129)</f>
        <v>0</v>
      </c>
      <c r="E126" s="16">
        <f t="shared" si="27"/>
        <v>0</v>
      </c>
      <c r="F126" s="16">
        <f t="shared" si="27"/>
        <v>0</v>
      </c>
      <c r="G126" s="16">
        <f t="shared" si="27"/>
        <v>0</v>
      </c>
      <c r="H126" s="16">
        <f t="shared" si="27"/>
        <v>0</v>
      </c>
      <c r="I126" s="16">
        <f t="shared" si="27"/>
        <v>0</v>
      </c>
      <c r="J126" s="16">
        <f t="shared" si="27"/>
        <v>0</v>
      </c>
      <c r="K126" s="16">
        <f t="shared" si="27"/>
        <v>0</v>
      </c>
      <c r="L126" s="16">
        <f t="shared" si="27"/>
        <v>0</v>
      </c>
      <c r="M126" s="16">
        <f t="shared" si="27"/>
        <v>0</v>
      </c>
      <c r="N126" s="16">
        <f t="shared" si="27"/>
        <v>0</v>
      </c>
      <c r="O126" s="235">
        <f t="shared" si="21"/>
        <v>0</v>
      </c>
    </row>
    <row r="127" spans="2:15" s="9" customFormat="1" ht="15.75" x14ac:dyDescent="0.25">
      <c r="B127" s="12" t="s">
        <v>147</v>
      </c>
      <c r="C127" s="37">
        <v>0</v>
      </c>
      <c r="D127" s="37">
        <v>0</v>
      </c>
      <c r="E127" s="37">
        <v>0</v>
      </c>
      <c r="F127" s="37">
        <v>0</v>
      </c>
      <c r="G127" s="37">
        <v>0</v>
      </c>
      <c r="H127" s="37">
        <v>0</v>
      </c>
      <c r="I127" s="37">
        <v>0</v>
      </c>
      <c r="J127" s="37">
        <v>0</v>
      </c>
      <c r="K127" s="37">
        <v>0</v>
      </c>
      <c r="L127" s="37">
        <v>0</v>
      </c>
      <c r="M127" s="37">
        <v>0</v>
      </c>
      <c r="N127" s="37">
        <v>0</v>
      </c>
      <c r="O127" s="231">
        <f t="shared" si="21"/>
        <v>0</v>
      </c>
    </row>
    <row r="128" spans="2:15" s="9" customFormat="1" ht="15.75" x14ac:dyDescent="0.25">
      <c r="B128" s="12" t="s">
        <v>148</v>
      </c>
      <c r="C128" s="37">
        <v>0</v>
      </c>
      <c r="D128" s="37">
        <v>0</v>
      </c>
      <c r="E128" s="37">
        <v>0</v>
      </c>
      <c r="F128" s="37">
        <v>0</v>
      </c>
      <c r="G128" s="37">
        <v>0</v>
      </c>
      <c r="H128" s="37">
        <v>0</v>
      </c>
      <c r="I128" s="37">
        <v>0</v>
      </c>
      <c r="J128" s="37">
        <v>0</v>
      </c>
      <c r="K128" s="37">
        <v>0</v>
      </c>
      <c r="L128" s="37">
        <v>0</v>
      </c>
      <c r="M128" s="37">
        <v>0</v>
      </c>
      <c r="N128" s="37">
        <v>0</v>
      </c>
      <c r="O128" s="231">
        <f t="shared" si="21"/>
        <v>0</v>
      </c>
    </row>
    <row r="129" spans="2:15" s="9" customFormat="1" ht="15.75" x14ac:dyDescent="0.25">
      <c r="B129" s="12" t="s">
        <v>149</v>
      </c>
      <c r="C129" s="37">
        <v>0</v>
      </c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0</v>
      </c>
      <c r="J129" s="37">
        <v>0</v>
      </c>
      <c r="K129" s="37">
        <v>0</v>
      </c>
      <c r="L129" s="37">
        <v>0</v>
      </c>
      <c r="M129" s="37">
        <v>0</v>
      </c>
      <c r="N129" s="37">
        <v>0</v>
      </c>
      <c r="O129" s="231">
        <f t="shared" si="21"/>
        <v>0</v>
      </c>
    </row>
    <row r="130" spans="2:15" s="9" customFormat="1" ht="15.75" x14ac:dyDescent="0.25">
      <c r="B130" s="234" t="s">
        <v>150</v>
      </c>
      <c r="C130" s="16">
        <f>SUM(C131:C132)</f>
        <v>0</v>
      </c>
      <c r="D130" s="16">
        <f t="shared" ref="D130:N130" si="28">SUM(D131:D132)</f>
        <v>2000</v>
      </c>
      <c r="E130" s="16">
        <f t="shared" si="28"/>
        <v>2000</v>
      </c>
      <c r="F130" s="16">
        <f t="shared" si="28"/>
        <v>2000</v>
      </c>
      <c r="G130" s="16">
        <f t="shared" si="28"/>
        <v>2000</v>
      </c>
      <c r="H130" s="16">
        <f t="shared" si="28"/>
        <v>2000</v>
      </c>
      <c r="I130" s="16">
        <f t="shared" si="28"/>
        <v>2000</v>
      </c>
      <c r="J130" s="16">
        <f t="shared" si="28"/>
        <v>2000</v>
      </c>
      <c r="K130" s="16">
        <f t="shared" si="28"/>
        <v>2000</v>
      </c>
      <c r="L130" s="16">
        <f t="shared" si="28"/>
        <v>2000</v>
      </c>
      <c r="M130" s="16">
        <f t="shared" si="28"/>
        <v>2000</v>
      </c>
      <c r="N130" s="16">
        <f t="shared" si="28"/>
        <v>500</v>
      </c>
      <c r="O130" s="235">
        <f t="shared" si="21"/>
        <v>20500</v>
      </c>
    </row>
    <row r="131" spans="2:15" s="9" customFormat="1" ht="15.75" x14ac:dyDescent="0.25">
      <c r="B131" s="12" t="s">
        <v>64</v>
      </c>
      <c r="C131" s="37">
        <v>0</v>
      </c>
      <c r="D131" s="37">
        <v>0</v>
      </c>
      <c r="E131" s="37">
        <v>0</v>
      </c>
      <c r="F131" s="37">
        <v>0</v>
      </c>
      <c r="G131" s="37">
        <v>0</v>
      </c>
      <c r="H131" s="37">
        <v>0</v>
      </c>
      <c r="I131" s="37">
        <v>0</v>
      </c>
      <c r="J131" s="37">
        <v>0</v>
      </c>
      <c r="K131" s="37">
        <v>0</v>
      </c>
      <c r="L131" s="37">
        <v>0</v>
      </c>
      <c r="M131" s="37">
        <v>0</v>
      </c>
      <c r="N131" s="37">
        <v>0</v>
      </c>
      <c r="O131" s="231">
        <f t="shared" si="21"/>
        <v>0</v>
      </c>
    </row>
    <row r="132" spans="2:15" s="9" customFormat="1" ht="15.75" x14ac:dyDescent="0.25">
      <c r="B132" s="12" t="s">
        <v>151</v>
      </c>
      <c r="C132" s="37">
        <v>0</v>
      </c>
      <c r="D132" s="37">
        <v>2000</v>
      </c>
      <c r="E132" s="37">
        <v>2000</v>
      </c>
      <c r="F132" s="37">
        <v>2000</v>
      </c>
      <c r="G132" s="37">
        <v>2000</v>
      </c>
      <c r="H132" s="37">
        <v>2000</v>
      </c>
      <c r="I132" s="37">
        <v>2000</v>
      </c>
      <c r="J132" s="37">
        <v>2000</v>
      </c>
      <c r="K132" s="37">
        <v>2000</v>
      </c>
      <c r="L132" s="37">
        <v>2000</v>
      </c>
      <c r="M132" s="37">
        <v>2000</v>
      </c>
      <c r="N132" s="37">
        <v>500</v>
      </c>
      <c r="O132" s="231">
        <f t="shared" si="21"/>
        <v>20500</v>
      </c>
    </row>
    <row r="133" spans="2:15" s="9" customFormat="1" ht="15.75" x14ac:dyDescent="0.25">
      <c r="B133" s="234" t="s">
        <v>152</v>
      </c>
      <c r="C133" s="16">
        <f>SUM(C134:C138)</f>
        <v>0</v>
      </c>
      <c r="D133" s="16">
        <f t="shared" ref="D133:N133" si="29">SUM(D134:D138)</f>
        <v>0</v>
      </c>
      <c r="E133" s="16">
        <f t="shared" si="29"/>
        <v>0</v>
      </c>
      <c r="F133" s="16">
        <f t="shared" si="29"/>
        <v>0</v>
      </c>
      <c r="G133" s="16">
        <f t="shared" si="29"/>
        <v>0</v>
      </c>
      <c r="H133" s="16">
        <f t="shared" si="29"/>
        <v>0</v>
      </c>
      <c r="I133" s="16">
        <f t="shared" si="29"/>
        <v>0</v>
      </c>
      <c r="J133" s="16">
        <f t="shared" si="29"/>
        <v>0</v>
      </c>
      <c r="K133" s="16">
        <f t="shared" si="29"/>
        <v>0</v>
      </c>
      <c r="L133" s="16">
        <f>SUM(L134:L138)</f>
        <v>0</v>
      </c>
      <c r="M133" s="16">
        <f t="shared" si="29"/>
        <v>0</v>
      </c>
      <c r="N133" s="16">
        <f t="shared" si="29"/>
        <v>0</v>
      </c>
      <c r="O133" s="235">
        <f t="shared" si="21"/>
        <v>0</v>
      </c>
    </row>
    <row r="134" spans="2:15" s="9" customFormat="1" ht="15.75" x14ac:dyDescent="0.25">
      <c r="B134" s="12" t="s">
        <v>153</v>
      </c>
      <c r="C134" s="37">
        <v>0</v>
      </c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0</v>
      </c>
      <c r="J134" s="37">
        <v>0</v>
      </c>
      <c r="K134" s="37">
        <v>0</v>
      </c>
      <c r="L134" s="37">
        <v>0</v>
      </c>
      <c r="M134" s="37">
        <v>0</v>
      </c>
      <c r="N134" s="37">
        <v>0</v>
      </c>
      <c r="O134" s="231">
        <f t="shared" si="21"/>
        <v>0</v>
      </c>
    </row>
    <row r="135" spans="2:15" s="9" customFormat="1" ht="15.75" x14ac:dyDescent="0.25">
      <c r="B135" s="12" t="s">
        <v>154</v>
      </c>
      <c r="C135" s="37">
        <v>0</v>
      </c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v>0</v>
      </c>
      <c r="N135" s="37">
        <v>0</v>
      </c>
      <c r="O135" s="231">
        <f t="shared" si="21"/>
        <v>0</v>
      </c>
    </row>
    <row r="136" spans="2:15" s="9" customFormat="1" ht="15.75" x14ac:dyDescent="0.25">
      <c r="B136" s="12" t="s">
        <v>155</v>
      </c>
      <c r="C136" s="37">
        <v>0</v>
      </c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0</v>
      </c>
      <c r="J136" s="37">
        <v>0</v>
      </c>
      <c r="K136" s="37">
        <v>0</v>
      </c>
      <c r="L136" s="37">
        <v>0</v>
      </c>
      <c r="M136" s="37">
        <v>0</v>
      </c>
      <c r="N136" s="37">
        <v>0</v>
      </c>
      <c r="O136" s="231">
        <f t="shared" si="21"/>
        <v>0</v>
      </c>
    </row>
    <row r="137" spans="2:15" s="9" customFormat="1" ht="15.75" x14ac:dyDescent="0.25">
      <c r="B137" s="12" t="s">
        <v>156</v>
      </c>
      <c r="C137" s="37">
        <v>0</v>
      </c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0</v>
      </c>
      <c r="J137" s="37">
        <v>0</v>
      </c>
      <c r="K137" s="37">
        <v>0</v>
      </c>
      <c r="L137" s="37">
        <v>0</v>
      </c>
      <c r="M137" s="37">
        <v>0</v>
      </c>
      <c r="N137" s="37">
        <v>0</v>
      </c>
      <c r="O137" s="231">
        <f t="shared" si="21"/>
        <v>0</v>
      </c>
    </row>
    <row r="138" spans="2:15" s="9" customFormat="1" ht="15.75" x14ac:dyDescent="0.25">
      <c r="C138" s="272"/>
      <c r="D138" s="272"/>
      <c r="E138" s="272"/>
      <c r="F138" s="272"/>
      <c r="G138" s="272"/>
      <c r="H138" s="272"/>
      <c r="I138" s="272"/>
      <c r="J138" s="272"/>
      <c r="K138" s="272"/>
      <c r="L138" s="272"/>
      <c r="M138" s="272"/>
      <c r="N138" s="272"/>
      <c r="O138" s="231">
        <f t="shared" si="21"/>
        <v>0</v>
      </c>
    </row>
    <row r="139" spans="2:15" s="9" customFormat="1" ht="15.75" x14ac:dyDescent="0.25">
      <c r="C139" s="272"/>
      <c r="D139" s="272"/>
      <c r="E139" s="272"/>
      <c r="F139" s="272"/>
      <c r="G139" s="272"/>
      <c r="H139" s="272"/>
      <c r="I139" s="272"/>
      <c r="J139" s="272"/>
      <c r="K139" s="272"/>
      <c r="L139" s="272"/>
      <c r="M139" s="272"/>
      <c r="N139" s="272"/>
      <c r="O139" s="17"/>
    </row>
    <row r="140" spans="2:15" s="9" customFormat="1" ht="15.75" x14ac:dyDescent="0.25">
      <c r="C140" s="272"/>
      <c r="D140" s="272"/>
      <c r="E140" s="272"/>
      <c r="F140" s="272"/>
      <c r="G140" s="272"/>
      <c r="H140" s="272"/>
      <c r="I140" s="272"/>
      <c r="J140" s="272"/>
      <c r="K140" s="272"/>
      <c r="L140" s="272"/>
      <c r="M140" s="272"/>
      <c r="N140" s="272"/>
      <c r="O140" s="17"/>
    </row>
    <row r="141" spans="2:15" s="9" customFormat="1" ht="15.75" x14ac:dyDescent="0.25">
      <c r="C141" s="272"/>
      <c r="D141" s="272"/>
      <c r="E141" s="272"/>
      <c r="F141" s="272"/>
      <c r="G141" s="272"/>
      <c r="H141" s="272"/>
      <c r="I141" s="272"/>
      <c r="J141" s="272"/>
      <c r="K141" s="272"/>
      <c r="L141" s="272"/>
      <c r="M141" s="272"/>
      <c r="N141" s="272"/>
      <c r="O141" s="17"/>
    </row>
    <row r="142" spans="2:15" s="9" customFormat="1" ht="15.75" x14ac:dyDescent="0.25"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17"/>
    </row>
    <row r="143" spans="2:15" s="9" customFormat="1" ht="15.75" x14ac:dyDescent="0.25"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17"/>
    </row>
    <row r="144" spans="2:15" s="9" customFormat="1" ht="15.75" x14ac:dyDescent="0.25">
      <c r="O144" s="17"/>
    </row>
    <row r="145" spans="15:15" s="9" customFormat="1" ht="15.75" x14ac:dyDescent="0.25">
      <c r="O145" s="17"/>
    </row>
    <row r="146" spans="15:15" s="9" customFormat="1" ht="15.75" x14ac:dyDescent="0.25">
      <c r="O146" s="17"/>
    </row>
    <row r="147" spans="15:15" s="9" customFormat="1" ht="15.75" x14ac:dyDescent="0.25">
      <c r="O147" s="17"/>
    </row>
    <row r="148" spans="15:15" s="9" customFormat="1" ht="15.75" x14ac:dyDescent="0.25">
      <c r="O148" s="17"/>
    </row>
    <row r="149" spans="15:15" s="9" customFormat="1" ht="15.75" x14ac:dyDescent="0.25">
      <c r="O149" s="17"/>
    </row>
    <row r="150" spans="15:15" s="9" customFormat="1" ht="15.75" x14ac:dyDescent="0.25">
      <c r="O150" s="17"/>
    </row>
    <row r="151" spans="15:15" s="9" customFormat="1" ht="15.75" x14ac:dyDescent="0.25">
      <c r="O151" s="17"/>
    </row>
    <row r="152" spans="15:15" s="9" customFormat="1" ht="15.75" x14ac:dyDescent="0.25">
      <c r="O152" s="17"/>
    </row>
    <row r="153" spans="15:15" s="9" customFormat="1" ht="15.75" x14ac:dyDescent="0.25">
      <c r="O153" s="17"/>
    </row>
    <row r="154" spans="15:15" s="9" customFormat="1" ht="15.75" x14ac:dyDescent="0.25">
      <c r="O154" s="17"/>
    </row>
    <row r="155" spans="15:15" s="9" customFormat="1" ht="15.75" x14ac:dyDescent="0.25">
      <c r="O155" s="17"/>
    </row>
    <row r="156" spans="15:15" s="9" customFormat="1" ht="15.75" x14ac:dyDescent="0.25">
      <c r="O156" s="17"/>
    </row>
    <row r="157" spans="15:15" s="9" customFormat="1" ht="15.75" x14ac:dyDescent="0.25">
      <c r="O157" s="17"/>
    </row>
    <row r="158" spans="15:15" s="9" customFormat="1" ht="15.75" x14ac:dyDescent="0.25">
      <c r="O158" s="17"/>
    </row>
    <row r="159" spans="15:15" s="9" customFormat="1" ht="15.75" x14ac:dyDescent="0.25">
      <c r="O159" s="17"/>
    </row>
    <row r="160" spans="15:15" s="9" customFormat="1" ht="15.75" x14ac:dyDescent="0.25">
      <c r="O160" s="17"/>
    </row>
    <row r="161" spans="15:15" s="9" customFormat="1" ht="15.75" x14ac:dyDescent="0.25">
      <c r="O161" s="17"/>
    </row>
    <row r="162" spans="15:15" s="9" customFormat="1" ht="15.75" x14ac:dyDescent="0.25">
      <c r="O162" s="17"/>
    </row>
    <row r="163" spans="15:15" s="9" customFormat="1" ht="15.75" x14ac:dyDescent="0.25">
      <c r="O163" s="17"/>
    </row>
    <row r="164" spans="15:15" s="9" customFormat="1" ht="15.75" x14ac:dyDescent="0.25">
      <c r="O164" s="17"/>
    </row>
    <row r="165" spans="15:15" s="9" customFormat="1" ht="15.75" x14ac:dyDescent="0.25">
      <c r="O165" s="17"/>
    </row>
  </sheetData>
  <sheetProtection formatCells="0" formatColumns="0" formatRows="0" insertColumns="0" insertRows="0" insertHyperlinks="0" deleteColumns="0" deleteRows="0" sort="0" autoFilter="0" pivotTables="0"/>
  <mergeCells count="2">
    <mergeCell ref="C1:O1"/>
    <mergeCell ref="A2:B2"/>
  </mergeCells>
  <pageMargins left="0" right="0" top="0.75" bottom="0.75" header="0.3" footer="0.3"/>
  <pageSetup paperSize="9" scale="42" fitToHeight="0" orientation="landscape" r:id="rId1"/>
  <headerFooter>
    <oddFooter>&amp;L&amp;Bfinancas - previsto x realizad&amp;RPágina &amp;P de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83DE-03E5-4518-9469-5B02F54DE68F}">
  <sheetPr>
    <tabColor theme="9" tint="0.39997558519241921"/>
    <pageSetUpPr fitToPage="1"/>
  </sheetPr>
  <dimension ref="A1:O165"/>
  <sheetViews>
    <sheetView showGridLines="0" zoomScale="55" zoomScaleNormal="55" workbookViewId="0">
      <pane xSplit="2" ySplit="3" topLeftCell="C22" activePane="bottomRight" state="frozen"/>
      <selection pane="topRight"/>
      <selection pane="bottomLeft"/>
      <selection pane="bottomRight" activeCell="J47" sqref="C47:J47"/>
    </sheetView>
  </sheetViews>
  <sheetFormatPr defaultRowHeight="15" customHeight="1" x14ac:dyDescent="0.25"/>
  <cols>
    <col min="1" max="1" width="6.42578125" style="222" customWidth="1"/>
    <col min="2" max="2" width="40.85546875" style="222" bestFit="1" customWidth="1"/>
    <col min="3" max="3" width="20.85546875" style="222" bestFit="1" customWidth="1"/>
    <col min="4" max="4" width="21.5703125" style="222" bestFit="1" customWidth="1"/>
    <col min="5" max="5" width="22.28515625" style="222" customWidth="1"/>
    <col min="6" max="10" width="23.28515625" style="222" bestFit="1" customWidth="1"/>
    <col min="11" max="13" width="22.7109375" style="222" bestFit="1" customWidth="1"/>
    <col min="14" max="14" width="24" style="222" bestFit="1" customWidth="1"/>
    <col min="15" max="15" width="24.85546875" style="224" bestFit="1" customWidth="1"/>
    <col min="16" max="16384" width="9.140625" style="222"/>
  </cols>
  <sheetData>
    <row r="1" spans="1:15" ht="33.75" x14ac:dyDescent="0.25">
      <c r="C1" s="286" t="s">
        <v>258</v>
      </c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5" ht="24.95" customHeight="1" x14ac:dyDescent="0.25">
      <c r="A2" s="287" t="s">
        <v>246</v>
      </c>
      <c r="B2" s="287"/>
      <c r="C2" s="184">
        <f>C47/O$47</f>
        <v>7.7812018489984591E-2</v>
      </c>
      <c r="D2" s="184">
        <f>D47/$O$47</f>
        <v>0.10554699537750385</v>
      </c>
      <c r="E2" s="184">
        <f>E47/$O$47</f>
        <v>7.7812018489984591E-2</v>
      </c>
      <c r="F2" s="184">
        <f t="shared" ref="F2:N2" si="0">F47/$O$47</f>
        <v>7.9866461222393423E-2</v>
      </c>
      <c r="G2" s="184">
        <f t="shared" si="0"/>
        <v>7.7812018489984591E-2</v>
      </c>
      <c r="H2" s="184">
        <f t="shared" si="0"/>
        <v>8.39753466872111E-2</v>
      </c>
      <c r="I2" s="184">
        <f t="shared" si="0"/>
        <v>7.9866461222393423E-2</v>
      </c>
      <c r="J2" s="184">
        <f t="shared" si="0"/>
        <v>8.1407293271700057E-2</v>
      </c>
      <c r="K2" s="184">
        <f t="shared" si="0"/>
        <v>8.1407293271700057E-2</v>
      </c>
      <c r="L2" s="184">
        <f t="shared" si="0"/>
        <v>8.3461736004108888E-2</v>
      </c>
      <c r="M2" s="184">
        <f t="shared" si="0"/>
        <v>9.1679506933744229E-2</v>
      </c>
      <c r="N2" s="184">
        <f t="shared" si="0"/>
        <v>7.9352850539291211E-2</v>
      </c>
    </row>
    <row r="3" spans="1:15" ht="18.75" x14ac:dyDescent="0.25"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4" t="s">
        <v>5</v>
      </c>
    </row>
    <row r="4" spans="1:15" ht="18.75" x14ac:dyDescent="0.25">
      <c r="B4" s="225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2"/>
    </row>
    <row r="5" spans="1:15" ht="15.75" x14ac:dyDescent="0.25">
      <c r="B5" s="191" t="s">
        <v>29</v>
      </c>
      <c r="C5" s="192">
        <f>C6</f>
        <v>-7575</v>
      </c>
      <c r="D5" s="192">
        <f t="shared" ref="D5:N5" si="1">C5+D6</f>
        <v>-17850</v>
      </c>
      <c r="E5" s="192">
        <f t="shared" si="1"/>
        <v>-25425</v>
      </c>
      <c r="F5" s="192">
        <f t="shared" si="1"/>
        <v>-33200</v>
      </c>
      <c r="G5" s="192">
        <f t="shared" si="1"/>
        <v>-40775</v>
      </c>
      <c r="H5" s="192">
        <f t="shared" si="1"/>
        <v>-48950</v>
      </c>
      <c r="I5" s="192">
        <f t="shared" si="1"/>
        <v>-56725</v>
      </c>
      <c r="J5" s="192">
        <f t="shared" si="1"/>
        <v>-64650</v>
      </c>
      <c r="K5" s="192">
        <f t="shared" si="1"/>
        <v>-72575</v>
      </c>
      <c r="L5" s="192">
        <f t="shared" si="1"/>
        <v>-80700</v>
      </c>
      <c r="M5" s="192">
        <f t="shared" si="1"/>
        <v>-89625</v>
      </c>
      <c r="N5" s="192">
        <f t="shared" si="1"/>
        <v>-97350</v>
      </c>
      <c r="O5" s="193"/>
    </row>
    <row r="6" spans="1:15" ht="15.75" x14ac:dyDescent="0.25">
      <c r="B6" s="191" t="s">
        <v>30</v>
      </c>
      <c r="C6" s="192">
        <f t="shared" ref="C6:J6" si="2">SUM(C8-C47)</f>
        <v>-7575</v>
      </c>
      <c r="D6" s="192">
        <f t="shared" si="2"/>
        <v>-10275</v>
      </c>
      <c r="E6" s="192">
        <f t="shared" si="2"/>
        <v>-7575</v>
      </c>
      <c r="F6" s="192">
        <f t="shared" si="2"/>
        <v>-7775</v>
      </c>
      <c r="G6" s="192">
        <f t="shared" si="2"/>
        <v>-7575</v>
      </c>
      <c r="H6" s="192">
        <f t="shared" si="2"/>
        <v>-8175</v>
      </c>
      <c r="I6" s="192">
        <f t="shared" si="2"/>
        <v>-7775</v>
      </c>
      <c r="J6" s="192">
        <f t="shared" si="2"/>
        <v>-7925</v>
      </c>
      <c r="K6" s="192">
        <f>SUM(K8-K47)</f>
        <v>-7925</v>
      </c>
      <c r="L6" s="192">
        <f>SUM(L8-L47)</f>
        <v>-8125</v>
      </c>
      <c r="M6" s="192">
        <f>SUM(M8-M47)</f>
        <v>-8925</v>
      </c>
      <c r="N6" s="192">
        <f>SUM(N8-N47)</f>
        <v>-7725</v>
      </c>
      <c r="O6" s="193">
        <f>SUM(C6:N6)</f>
        <v>-97350</v>
      </c>
    </row>
    <row r="7" spans="1:15" ht="18.75" x14ac:dyDescent="0.25">
      <c r="B7" s="225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2"/>
    </row>
    <row r="8" spans="1:15" s="9" customFormat="1" ht="15.75" x14ac:dyDescent="0.25">
      <c r="B8" s="194" t="s">
        <v>31</v>
      </c>
      <c r="C8" s="8">
        <f>SUM(C9,C16,C22,C28,C33,C37,C40,C43)</f>
        <v>0</v>
      </c>
      <c r="D8" s="8">
        <f t="shared" ref="D8:N8" si="3">SUM(D9,D16,D22,D28,D33,D37,D40,D43)</f>
        <v>0</v>
      </c>
      <c r="E8" s="8">
        <f t="shared" si="3"/>
        <v>0</v>
      </c>
      <c r="F8" s="8">
        <f t="shared" si="3"/>
        <v>0</v>
      </c>
      <c r="G8" s="8">
        <f t="shared" si="3"/>
        <v>0</v>
      </c>
      <c r="H8" s="8">
        <f t="shared" si="3"/>
        <v>0</v>
      </c>
      <c r="I8" s="8">
        <f t="shared" si="3"/>
        <v>0</v>
      </c>
      <c r="J8" s="8">
        <f t="shared" si="3"/>
        <v>0</v>
      </c>
      <c r="K8" s="8">
        <f t="shared" si="3"/>
        <v>0</v>
      </c>
      <c r="L8" s="8">
        <f t="shared" si="3"/>
        <v>0</v>
      </c>
      <c r="M8" s="8">
        <f t="shared" si="3"/>
        <v>0</v>
      </c>
      <c r="N8" s="8">
        <f t="shared" si="3"/>
        <v>0</v>
      </c>
      <c r="O8" s="226">
        <f>SUM(C8:N8)</f>
        <v>0</v>
      </c>
    </row>
    <row r="9" spans="1:15" s="9" customFormat="1" ht="15.75" hidden="1" x14ac:dyDescent="0.25">
      <c r="B9" s="228" t="s">
        <v>32</v>
      </c>
      <c r="C9" s="229">
        <f>SUM(C10:C15)</f>
        <v>0</v>
      </c>
      <c r="D9" s="229">
        <f>SUM(D10:D15)</f>
        <v>0</v>
      </c>
      <c r="E9" s="229">
        <f>SUM(E10:E15)</f>
        <v>0</v>
      </c>
      <c r="F9" s="229">
        <f t="shared" ref="F9:N9" si="4">SUM(F10:F15)</f>
        <v>0</v>
      </c>
      <c r="G9" s="229">
        <f>SUM(G10:G15)</f>
        <v>0</v>
      </c>
      <c r="H9" s="229">
        <f t="shared" si="4"/>
        <v>0</v>
      </c>
      <c r="I9" s="229">
        <f t="shared" si="4"/>
        <v>0</v>
      </c>
      <c r="J9" s="229">
        <f t="shared" si="4"/>
        <v>0</v>
      </c>
      <c r="K9" s="229">
        <f t="shared" si="4"/>
        <v>0</v>
      </c>
      <c r="L9" s="229">
        <f t="shared" si="4"/>
        <v>0</v>
      </c>
      <c r="M9" s="229">
        <f t="shared" si="4"/>
        <v>0</v>
      </c>
      <c r="N9" s="229">
        <f t="shared" si="4"/>
        <v>0</v>
      </c>
      <c r="O9" s="230">
        <f>SUM(C9:N9)</f>
        <v>0</v>
      </c>
    </row>
    <row r="10" spans="1:15" s="9" customFormat="1" ht="15.75" hidden="1" x14ac:dyDescent="0.25">
      <c r="B10" s="36" t="s">
        <v>33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231">
        <f t="shared" ref="O10:O73" si="5">SUM(C10:N10)</f>
        <v>0</v>
      </c>
    </row>
    <row r="11" spans="1:15" s="9" customFormat="1" ht="15.75" hidden="1" x14ac:dyDescent="0.25">
      <c r="B11" s="36" t="s">
        <v>34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231">
        <f t="shared" si="5"/>
        <v>0</v>
      </c>
    </row>
    <row r="12" spans="1:15" s="9" customFormat="1" ht="15.75" hidden="1" x14ac:dyDescent="0.25">
      <c r="B12" s="36" t="s">
        <v>35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231">
        <f t="shared" si="5"/>
        <v>0</v>
      </c>
    </row>
    <row r="13" spans="1:15" s="9" customFormat="1" ht="15.75" hidden="1" x14ac:dyDescent="0.25">
      <c r="B13" s="36" t="s">
        <v>36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231">
        <f t="shared" si="5"/>
        <v>0</v>
      </c>
    </row>
    <row r="14" spans="1:15" s="9" customFormat="1" ht="15.75" hidden="1" x14ac:dyDescent="0.25">
      <c r="B14" s="36" t="s">
        <v>37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231">
        <f t="shared" si="5"/>
        <v>0</v>
      </c>
    </row>
    <row r="15" spans="1:15" s="9" customFormat="1" ht="15.75" hidden="1" x14ac:dyDescent="0.25">
      <c r="B15" s="36" t="s">
        <v>38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231">
        <f t="shared" si="5"/>
        <v>0</v>
      </c>
    </row>
    <row r="16" spans="1:15" s="9" customFormat="1" ht="15.75" hidden="1" x14ac:dyDescent="0.25">
      <c r="B16" s="228" t="s">
        <v>39</v>
      </c>
      <c r="C16" s="229">
        <f>SUM(C17:C21)</f>
        <v>0</v>
      </c>
      <c r="D16" s="229">
        <f>SUM(D17:D21)</f>
        <v>0</v>
      </c>
      <c r="E16" s="229">
        <f t="shared" ref="E16:L16" si="6">SUM(E17:E21)</f>
        <v>0</v>
      </c>
      <c r="F16" s="229">
        <f t="shared" si="6"/>
        <v>0</v>
      </c>
      <c r="G16" s="229">
        <f>SUM(G17:G21)</f>
        <v>0</v>
      </c>
      <c r="H16" s="229">
        <f t="shared" si="6"/>
        <v>0</v>
      </c>
      <c r="I16" s="229">
        <f t="shared" si="6"/>
        <v>0</v>
      </c>
      <c r="J16" s="229">
        <f t="shared" si="6"/>
        <v>0</v>
      </c>
      <c r="K16" s="229">
        <f t="shared" si="6"/>
        <v>0</v>
      </c>
      <c r="L16" s="229">
        <f t="shared" si="6"/>
        <v>0</v>
      </c>
      <c r="M16" s="229">
        <f>SUM(M17:M21)</f>
        <v>0</v>
      </c>
      <c r="N16" s="229">
        <f>SUM(N17:N21)</f>
        <v>0</v>
      </c>
      <c r="O16" s="230">
        <f>SUM(C16:N16)</f>
        <v>0</v>
      </c>
    </row>
    <row r="17" spans="2:15" s="9" customFormat="1" ht="15.75" hidden="1" x14ac:dyDescent="0.25">
      <c r="B17" s="36" t="s">
        <v>40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231">
        <f t="shared" si="5"/>
        <v>0</v>
      </c>
    </row>
    <row r="18" spans="2:15" s="9" customFormat="1" ht="15.75" hidden="1" x14ac:dyDescent="0.25">
      <c r="B18" s="36" t="s">
        <v>41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231">
        <f t="shared" si="5"/>
        <v>0</v>
      </c>
    </row>
    <row r="19" spans="2:15" s="9" customFormat="1" ht="15.75" hidden="1" x14ac:dyDescent="0.25">
      <c r="B19" s="36" t="s">
        <v>42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231">
        <f t="shared" si="5"/>
        <v>0</v>
      </c>
    </row>
    <row r="20" spans="2:15" s="9" customFormat="1" ht="15.75" hidden="1" x14ac:dyDescent="0.25">
      <c r="B20" s="36" t="s">
        <v>43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231">
        <f t="shared" si="5"/>
        <v>0</v>
      </c>
    </row>
    <row r="21" spans="2:15" s="9" customFormat="1" ht="15.75" hidden="1" x14ac:dyDescent="0.25">
      <c r="B21" s="36" t="s">
        <v>44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231">
        <f t="shared" si="5"/>
        <v>0</v>
      </c>
    </row>
    <row r="22" spans="2:15" s="9" customFormat="1" ht="15.75" x14ac:dyDescent="0.25">
      <c r="B22" s="228" t="s">
        <v>45</v>
      </c>
      <c r="C22" s="229">
        <f>SUM(C23:C27)</f>
        <v>0</v>
      </c>
      <c r="D22" s="229">
        <f t="shared" ref="D22:N22" si="7">SUM(D23:D27)</f>
        <v>0</v>
      </c>
      <c r="E22" s="229">
        <f t="shared" si="7"/>
        <v>0</v>
      </c>
      <c r="F22" s="229">
        <f t="shared" si="7"/>
        <v>0</v>
      </c>
      <c r="G22" s="229">
        <f t="shared" si="7"/>
        <v>0</v>
      </c>
      <c r="H22" s="229">
        <f t="shared" si="7"/>
        <v>0</v>
      </c>
      <c r="I22" s="229">
        <f t="shared" si="7"/>
        <v>0</v>
      </c>
      <c r="J22" s="229">
        <f t="shared" si="7"/>
        <v>0</v>
      </c>
      <c r="K22" s="229">
        <f t="shared" si="7"/>
        <v>0</v>
      </c>
      <c r="L22" s="229">
        <f t="shared" si="7"/>
        <v>0</v>
      </c>
      <c r="M22" s="229">
        <f t="shared" si="7"/>
        <v>0</v>
      </c>
      <c r="N22" s="229">
        <f t="shared" si="7"/>
        <v>0</v>
      </c>
      <c r="O22" s="230">
        <f t="shared" si="5"/>
        <v>0</v>
      </c>
    </row>
    <row r="23" spans="2:15" s="9" customFormat="1" ht="15.75" x14ac:dyDescent="0.25">
      <c r="B23" s="12" t="s">
        <v>46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231">
        <f t="shared" si="5"/>
        <v>0</v>
      </c>
    </row>
    <row r="24" spans="2:15" s="9" customFormat="1" ht="15.75" x14ac:dyDescent="0.25">
      <c r="B24" s="12" t="s">
        <v>47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231">
        <f t="shared" si="5"/>
        <v>0</v>
      </c>
    </row>
    <row r="25" spans="2:15" s="9" customFormat="1" ht="15.75" x14ac:dyDescent="0.25">
      <c r="B25" s="12" t="s">
        <v>48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231">
        <f t="shared" si="5"/>
        <v>0</v>
      </c>
    </row>
    <row r="26" spans="2:15" s="9" customFormat="1" ht="15.75" x14ac:dyDescent="0.25">
      <c r="B26" s="12" t="s">
        <v>49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231">
        <f t="shared" si="5"/>
        <v>0</v>
      </c>
    </row>
    <row r="27" spans="2:15" s="9" customFormat="1" ht="15.75" x14ac:dyDescent="0.25">
      <c r="B27" s="12" t="s">
        <v>50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231">
        <f t="shared" si="5"/>
        <v>0</v>
      </c>
    </row>
    <row r="28" spans="2:15" s="9" customFormat="1" ht="15.75" x14ac:dyDescent="0.25">
      <c r="B28" s="228" t="s">
        <v>51</v>
      </c>
      <c r="C28" s="229">
        <f>SUM(C29:C32)</f>
        <v>0</v>
      </c>
      <c r="D28" s="229">
        <f t="shared" ref="D28:N28" si="8">SUM(D29:D32)</f>
        <v>0</v>
      </c>
      <c r="E28" s="229">
        <f t="shared" si="8"/>
        <v>0</v>
      </c>
      <c r="F28" s="229">
        <f t="shared" si="8"/>
        <v>0</v>
      </c>
      <c r="G28" s="229">
        <f t="shared" si="8"/>
        <v>0</v>
      </c>
      <c r="H28" s="229">
        <f t="shared" si="8"/>
        <v>0</v>
      </c>
      <c r="I28" s="229">
        <f t="shared" si="8"/>
        <v>0</v>
      </c>
      <c r="J28" s="229">
        <f t="shared" si="8"/>
        <v>0</v>
      </c>
      <c r="K28" s="229">
        <f t="shared" si="8"/>
        <v>0</v>
      </c>
      <c r="L28" s="229">
        <f t="shared" si="8"/>
        <v>0</v>
      </c>
      <c r="M28" s="229">
        <f t="shared" si="8"/>
        <v>0</v>
      </c>
      <c r="N28" s="229">
        <f t="shared" si="8"/>
        <v>0</v>
      </c>
      <c r="O28" s="230">
        <f>SUM(C28:N28)</f>
        <v>0</v>
      </c>
    </row>
    <row r="29" spans="2:15" s="9" customFormat="1" ht="15.75" x14ac:dyDescent="0.25">
      <c r="B29" s="12" t="s">
        <v>52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231">
        <f>SUM(C29:N29)</f>
        <v>0</v>
      </c>
    </row>
    <row r="30" spans="2:15" s="9" customFormat="1" ht="15.75" x14ac:dyDescent="0.25">
      <c r="B30" s="12" t="s">
        <v>53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231">
        <f t="shared" si="5"/>
        <v>0</v>
      </c>
    </row>
    <row r="31" spans="2:15" s="9" customFormat="1" ht="15.75" x14ac:dyDescent="0.25">
      <c r="B31" s="12" t="s">
        <v>54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231">
        <f t="shared" si="5"/>
        <v>0</v>
      </c>
    </row>
    <row r="32" spans="2:15" s="9" customFormat="1" ht="15.75" x14ac:dyDescent="0.25">
      <c r="B32" s="12" t="s">
        <v>55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231">
        <f t="shared" si="5"/>
        <v>0</v>
      </c>
    </row>
    <row r="33" spans="2:15" s="9" customFormat="1" ht="15.75" x14ac:dyDescent="0.25">
      <c r="B33" s="228" t="s">
        <v>56</v>
      </c>
      <c r="C33" s="229">
        <f>SUM(C34:C36)</f>
        <v>0</v>
      </c>
      <c r="D33" s="229">
        <f>SUM(D34:D36)</f>
        <v>0</v>
      </c>
      <c r="E33" s="229">
        <f>SUM(E34:E36)</f>
        <v>0</v>
      </c>
      <c r="F33" s="229">
        <f t="shared" ref="F33:N33" si="9">SUM(F34:F36)</f>
        <v>0</v>
      </c>
      <c r="G33" s="229">
        <f t="shared" si="9"/>
        <v>0</v>
      </c>
      <c r="H33" s="229">
        <f t="shared" si="9"/>
        <v>0</v>
      </c>
      <c r="I33" s="229">
        <f>SUM(I34:I36)</f>
        <v>0</v>
      </c>
      <c r="J33" s="229">
        <f t="shared" si="9"/>
        <v>0</v>
      </c>
      <c r="K33" s="229">
        <f t="shared" si="9"/>
        <v>0</v>
      </c>
      <c r="L33" s="229">
        <f t="shared" si="9"/>
        <v>0</v>
      </c>
      <c r="M33" s="229">
        <f t="shared" si="9"/>
        <v>0</v>
      </c>
      <c r="N33" s="229">
        <f t="shared" si="9"/>
        <v>0</v>
      </c>
      <c r="O33" s="230">
        <f t="shared" si="5"/>
        <v>0</v>
      </c>
    </row>
    <row r="34" spans="2:15" s="9" customFormat="1" ht="15.75" x14ac:dyDescent="0.25">
      <c r="B34" s="12" t="s">
        <v>57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231">
        <f t="shared" si="5"/>
        <v>0</v>
      </c>
    </row>
    <row r="35" spans="2:15" s="9" customFormat="1" ht="15.75" x14ac:dyDescent="0.25">
      <c r="B35" s="12" t="s">
        <v>58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231">
        <f t="shared" si="5"/>
        <v>0</v>
      </c>
    </row>
    <row r="36" spans="2:15" s="9" customFormat="1" ht="15.75" x14ac:dyDescent="0.25">
      <c r="B36" s="12" t="s">
        <v>59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231">
        <f t="shared" si="5"/>
        <v>0</v>
      </c>
    </row>
    <row r="37" spans="2:15" s="9" customFormat="1" ht="15.75" x14ac:dyDescent="0.25">
      <c r="B37" s="228" t="s">
        <v>60</v>
      </c>
      <c r="C37" s="229">
        <f>SUM(C38:C39)</f>
        <v>0</v>
      </c>
      <c r="D37" s="229">
        <f t="shared" ref="D37:N37" si="10">SUM(D38:D39)</f>
        <v>0</v>
      </c>
      <c r="E37" s="229">
        <f t="shared" si="10"/>
        <v>0</v>
      </c>
      <c r="F37" s="229">
        <f t="shared" si="10"/>
        <v>0</v>
      </c>
      <c r="G37" s="229">
        <f t="shared" si="10"/>
        <v>0</v>
      </c>
      <c r="H37" s="229">
        <f t="shared" si="10"/>
        <v>0</v>
      </c>
      <c r="I37" s="229">
        <f t="shared" si="10"/>
        <v>0</v>
      </c>
      <c r="J37" s="229">
        <f t="shared" si="10"/>
        <v>0</v>
      </c>
      <c r="K37" s="229">
        <f t="shared" si="10"/>
        <v>0</v>
      </c>
      <c r="L37" s="229">
        <f t="shared" si="10"/>
        <v>0</v>
      </c>
      <c r="M37" s="229">
        <f t="shared" si="10"/>
        <v>0</v>
      </c>
      <c r="N37" s="229">
        <f t="shared" si="10"/>
        <v>0</v>
      </c>
      <c r="O37" s="230">
        <f t="shared" si="5"/>
        <v>0</v>
      </c>
    </row>
    <row r="38" spans="2:15" s="9" customFormat="1" ht="15.75" x14ac:dyDescent="0.25">
      <c r="B38" s="12" t="s">
        <v>61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231">
        <f t="shared" si="5"/>
        <v>0</v>
      </c>
    </row>
    <row r="39" spans="2:15" s="9" customFormat="1" ht="15.75" x14ac:dyDescent="0.25">
      <c r="B39" s="12" t="s">
        <v>62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231">
        <f t="shared" si="5"/>
        <v>0</v>
      </c>
    </row>
    <row r="40" spans="2:15" s="9" customFormat="1" ht="15.75" x14ac:dyDescent="0.25">
      <c r="B40" s="228" t="s">
        <v>63</v>
      </c>
      <c r="C40" s="229">
        <f>SUM(C41:C42)</f>
        <v>0</v>
      </c>
      <c r="D40" s="229">
        <f t="shared" ref="D40:N40" si="11">SUM(D41:D42)</f>
        <v>0</v>
      </c>
      <c r="E40" s="229">
        <f t="shared" si="11"/>
        <v>0</v>
      </c>
      <c r="F40" s="229">
        <f t="shared" si="11"/>
        <v>0</v>
      </c>
      <c r="G40" s="229">
        <f t="shared" si="11"/>
        <v>0</v>
      </c>
      <c r="H40" s="229">
        <f t="shared" si="11"/>
        <v>0</v>
      </c>
      <c r="I40" s="229">
        <f t="shared" si="11"/>
        <v>0</v>
      </c>
      <c r="J40" s="229">
        <f t="shared" si="11"/>
        <v>0</v>
      </c>
      <c r="K40" s="229">
        <f t="shared" si="11"/>
        <v>0</v>
      </c>
      <c r="L40" s="229">
        <f t="shared" si="11"/>
        <v>0</v>
      </c>
      <c r="M40" s="229">
        <f t="shared" si="11"/>
        <v>0</v>
      </c>
      <c r="N40" s="229">
        <f t="shared" si="11"/>
        <v>0</v>
      </c>
      <c r="O40" s="230">
        <f t="shared" si="5"/>
        <v>0</v>
      </c>
    </row>
    <row r="41" spans="2:15" s="9" customFormat="1" ht="15.75" x14ac:dyDescent="0.25">
      <c r="B41" s="12" t="s">
        <v>64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231">
        <f t="shared" si="5"/>
        <v>0</v>
      </c>
    </row>
    <row r="42" spans="2:15" s="9" customFormat="1" ht="15.75" x14ac:dyDescent="0.25">
      <c r="B42" s="12" t="s">
        <v>65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231">
        <f t="shared" si="5"/>
        <v>0</v>
      </c>
    </row>
    <row r="43" spans="2:15" s="9" customFormat="1" ht="15.75" x14ac:dyDescent="0.25">
      <c r="B43" s="228" t="s">
        <v>66</v>
      </c>
      <c r="C43" s="229">
        <f t="shared" ref="C43:N43" si="12">SUM(C44:C46)</f>
        <v>0</v>
      </c>
      <c r="D43" s="229">
        <f t="shared" si="12"/>
        <v>0</v>
      </c>
      <c r="E43" s="229">
        <f t="shared" si="12"/>
        <v>0</v>
      </c>
      <c r="F43" s="229">
        <f t="shared" si="12"/>
        <v>0</v>
      </c>
      <c r="G43" s="229">
        <f t="shared" si="12"/>
        <v>0</v>
      </c>
      <c r="H43" s="229">
        <f t="shared" si="12"/>
        <v>0</v>
      </c>
      <c r="I43" s="229">
        <f t="shared" si="12"/>
        <v>0</v>
      </c>
      <c r="J43" s="229">
        <f t="shared" si="12"/>
        <v>0</v>
      </c>
      <c r="K43" s="229">
        <f t="shared" si="12"/>
        <v>0</v>
      </c>
      <c r="L43" s="229">
        <f t="shared" si="12"/>
        <v>0</v>
      </c>
      <c r="M43" s="229">
        <f t="shared" si="12"/>
        <v>0</v>
      </c>
      <c r="N43" s="229">
        <f t="shared" si="12"/>
        <v>0</v>
      </c>
      <c r="O43" s="230">
        <f t="shared" si="5"/>
        <v>0</v>
      </c>
    </row>
    <row r="44" spans="2:15" s="9" customFormat="1" ht="15.75" x14ac:dyDescent="0.25">
      <c r="B44" s="47" t="s">
        <v>247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232">
        <f t="shared" si="5"/>
        <v>0</v>
      </c>
    </row>
    <row r="45" spans="2:15" s="9" customFormat="1" ht="15.75" x14ac:dyDescent="0.25">
      <c r="B45" s="12" t="s">
        <v>68</v>
      </c>
      <c r="C45" s="37">
        <v>0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231">
        <f t="shared" si="5"/>
        <v>0</v>
      </c>
    </row>
    <row r="46" spans="2:15" s="9" customFormat="1" ht="15.75" x14ac:dyDescent="0.25">
      <c r="B46" s="12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231">
        <f t="shared" si="5"/>
        <v>0</v>
      </c>
    </row>
    <row r="47" spans="2:15" s="9" customFormat="1" ht="15.75" x14ac:dyDescent="0.25">
      <c r="B47" s="195" t="s">
        <v>69</v>
      </c>
      <c r="C47" s="14">
        <f t="shared" ref="C47:K47" si="13">SUM(C48,C50,C53,C75,C99,C105,C116,C120,C123,C126,C130,C133)</f>
        <v>7575</v>
      </c>
      <c r="D47" s="14">
        <f t="shared" si="13"/>
        <v>10275</v>
      </c>
      <c r="E47" s="14">
        <f t="shared" si="13"/>
        <v>7575</v>
      </c>
      <c r="F47" s="14">
        <f t="shared" si="13"/>
        <v>7775</v>
      </c>
      <c r="G47" s="14">
        <f t="shared" si="13"/>
        <v>7575</v>
      </c>
      <c r="H47" s="14">
        <f t="shared" si="13"/>
        <v>8175</v>
      </c>
      <c r="I47" s="14">
        <f t="shared" si="13"/>
        <v>7775</v>
      </c>
      <c r="J47" s="14">
        <f t="shared" si="13"/>
        <v>7925</v>
      </c>
      <c r="K47" s="14">
        <f t="shared" si="13"/>
        <v>7925</v>
      </c>
      <c r="L47" s="14">
        <f>SUM(L48,L50,L53,L75,L99,L105,L116,L120,L123,L126,L130,L133)</f>
        <v>8125</v>
      </c>
      <c r="M47" s="14">
        <f>SUM(M48,M50,M53,M75,M99,M105,M116,M120,M123,M126,M130,M133)</f>
        <v>8925</v>
      </c>
      <c r="N47" s="14">
        <f>SUM(N48,N50,N53,N75,N99,N105,N116,N120,N123,N126,N130,N133)</f>
        <v>7725</v>
      </c>
      <c r="O47" s="233">
        <f t="shared" si="5"/>
        <v>97350</v>
      </c>
    </row>
    <row r="48" spans="2:15" s="9" customFormat="1" ht="15.75" x14ac:dyDescent="0.25">
      <c r="B48" s="234" t="s">
        <v>70</v>
      </c>
      <c r="C48" s="38">
        <f>SUM(C49)</f>
        <v>0</v>
      </c>
      <c r="D48" s="38">
        <f t="shared" ref="D48:N48" si="14">SUM(D49)</f>
        <v>0</v>
      </c>
      <c r="E48" s="38">
        <f t="shared" si="14"/>
        <v>0</v>
      </c>
      <c r="F48" s="38">
        <f t="shared" si="14"/>
        <v>0</v>
      </c>
      <c r="G48" s="38">
        <f t="shared" si="14"/>
        <v>0</v>
      </c>
      <c r="H48" s="38">
        <f t="shared" si="14"/>
        <v>0</v>
      </c>
      <c r="I48" s="38">
        <f t="shared" si="14"/>
        <v>0</v>
      </c>
      <c r="J48" s="38">
        <f t="shared" si="14"/>
        <v>0</v>
      </c>
      <c r="K48" s="38">
        <f t="shared" si="14"/>
        <v>0</v>
      </c>
      <c r="L48" s="38">
        <f t="shared" si="14"/>
        <v>0</v>
      </c>
      <c r="M48" s="38">
        <f t="shared" si="14"/>
        <v>0</v>
      </c>
      <c r="N48" s="38">
        <f t="shared" si="14"/>
        <v>0</v>
      </c>
      <c r="O48" s="235">
        <f t="shared" si="5"/>
        <v>0</v>
      </c>
    </row>
    <row r="49" spans="2:15" s="9" customFormat="1" ht="15.75" x14ac:dyDescent="0.25">
      <c r="B49" s="12" t="s">
        <v>71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231">
        <f t="shared" si="5"/>
        <v>0</v>
      </c>
    </row>
    <row r="50" spans="2:15" s="9" customFormat="1" ht="15.75" x14ac:dyDescent="0.25">
      <c r="B50" s="234" t="s">
        <v>72</v>
      </c>
      <c r="C50" s="38">
        <f t="shared" ref="C50:N50" si="15">SUM(C51:C52)</f>
        <v>0</v>
      </c>
      <c r="D50" s="38">
        <f t="shared" si="15"/>
        <v>0</v>
      </c>
      <c r="E50" s="38">
        <f t="shared" si="15"/>
        <v>0</v>
      </c>
      <c r="F50" s="38">
        <f t="shared" si="15"/>
        <v>0</v>
      </c>
      <c r="G50" s="38">
        <f t="shared" si="15"/>
        <v>0</v>
      </c>
      <c r="H50" s="38">
        <f t="shared" si="15"/>
        <v>0</v>
      </c>
      <c r="I50" s="38">
        <f t="shared" si="15"/>
        <v>0</v>
      </c>
      <c r="J50" s="38">
        <f t="shared" si="15"/>
        <v>0</v>
      </c>
      <c r="K50" s="38">
        <f t="shared" si="15"/>
        <v>0</v>
      </c>
      <c r="L50" s="38">
        <f t="shared" si="15"/>
        <v>0</v>
      </c>
      <c r="M50" s="38">
        <f t="shared" si="15"/>
        <v>0</v>
      </c>
      <c r="N50" s="38">
        <f t="shared" si="15"/>
        <v>0</v>
      </c>
      <c r="O50" s="235">
        <f t="shared" si="5"/>
        <v>0</v>
      </c>
    </row>
    <row r="51" spans="2:15" s="9" customFormat="1" ht="15.75" x14ac:dyDescent="0.25">
      <c r="B51" s="12" t="s">
        <v>73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231">
        <f t="shared" si="5"/>
        <v>0</v>
      </c>
    </row>
    <row r="52" spans="2:15" s="9" customFormat="1" ht="15.75" x14ac:dyDescent="0.25">
      <c r="B52" s="12" t="s">
        <v>74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231">
        <f t="shared" si="5"/>
        <v>0</v>
      </c>
    </row>
    <row r="53" spans="2:15" s="9" customFormat="1" ht="15.75" x14ac:dyDescent="0.25">
      <c r="B53" s="234" t="s">
        <v>75</v>
      </c>
      <c r="C53" s="38">
        <f>SUM(C54:C74)</f>
        <v>7300</v>
      </c>
      <c r="D53" s="38">
        <f t="shared" ref="D53:N53" si="16">SUM(D54:D74)</f>
        <v>7300</v>
      </c>
      <c r="E53" s="38">
        <f t="shared" si="16"/>
        <v>7300</v>
      </c>
      <c r="F53" s="38">
        <f t="shared" si="16"/>
        <v>7300</v>
      </c>
      <c r="G53" s="38">
        <f t="shared" si="16"/>
        <v>7300</v>
      </c>
      <c r="H53" s="38">
        <f t="shared" si="16"/>
        <v>7300</v>
      </c>
      <c r="I53" s="38">
        <f t="shared" si="16"/>
        <v>7300</v>
      </c>
      <c r="J53" s="38">
        <f t="shared" si="16"/>
        <v>7300</v>
      </c>
      <c r="K53" s="38">
        <f t="shared" si="16"/>
        <v>7300</v>
      </c>
      <c r="L53" s="38">
        <f t="shared" si="16"/>
        <v>7300</v>
      </c>
      <c r="M53" s="38">
        <f t="shared" si="16"/>
        <v>7300</v>
      </c>
      <c r="N53" s="38">
        <f t="shared" si="16"/>
        <v>7300</v>
      </c>
      <c r="O53" s="235">
        <f>SUM(C53:N53)</f>
        <v>87600</v>
      </c>
    </row>
    <row r="54" spans="2:15" s="9" customFormat="1" ht="15.75" x14ac:dyDescent="0.25">
      <c r="B54" s="12" t="s">
        <v>76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231">
        <f t="shared" si="5"/>
        <v>0</v>
      </c>
    </row>
    <row r="55" spans="2:15" s="9" customFormat="1" ht="15.75" x14ac:dyDescent="0.25">
      <c r="B55" s="12" t="s">
        <v>77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231">
        <f t="shared" si="5"/>
        <v>0</v>
      </c>
    </row>
    <row r="56" spans="2:15" s="9" customFormat="1" ht="15.75" x14ac:dyDescent="0.25">
      <c r="B56" s="12" t="s">
        <v>78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231">
        <f t="shared" si="5"/>
        <v>0</v>
      </c>
    </row>
    <row r="57" spans="2:15" s="9" customFormat="1" ht="15.75" x14ac:dyDescent="0.25">
      <c r="B57" s="12" t="s">
        <v>79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231">
        <f t="shared" si="5"/>
        <v>0</v>
      </c>
    </row>
    <row r="58" spans="2:15" s="9" customFormat="1" ht="15.75" x14ac:dyDescent="0.25">
      <c r="B58" s="12" t="s">
        <v>80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231">
        <f t="shared" si="5"/>
        <v>0</v>
      </c>
    </row>
    <row r="59" spans="2:15" s="9" customFormat="1" ht="15.75" x14ac:dyDescent="0.25">
      <c r="B59" s="12" t="s">
        <v>81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231">
        <f t="shared" si="5"/>
        <v>0</v>
      </c>
    </row>
    <row r="60" spans="2:15" s="9" customFormat="1" ht="15.75" x14ac:dyDescent="0.25">
      <c r="B60" s="12" t="s">
        <v>82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231">
        <f t="shared" si="5"/>
        <v>0</v>
      </c>
    </row>
    <row r="61" spans="2:15" s="9" customFormat="1" ht="15.75" x14ac:dyDescent="0.25">
      <c r="B61" s="12" t="s">
        <v>83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231">
        <f t="shared" si="5"/>
        <v>0</v>
      </c>
    </row>
    <row r="62" spans="2:15" s="9" customFormat="1" ht="15.75" x14ac:dyDescent="0.25">
      <c r="B62" s="12" t="s">
        <v>84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231">
        <f t="shared" si="5"/>
        <v>0</v>
      </c>
    </row>
    <row r="63" spans="2:15" s="9" customFormat="1" ht="15.75" x14ac:dyDescent="0.25">
      <c r="B63" s="12" t="s">
        <v>85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231">
        <f t="shared" si="5"/>
        <v>0</v>
      </c>
    </row>
    <row r="64" spans="2:15" s="9" customFormat="1" ht="15.75" x14ac:dyDescent="0.25">
      <c r="B64" s="12" t="s">
        <v>86</v>
      </c>
      <c r="C64" s="37">
        <v>300</v>
      </c>
      <c r="D64" s="37">
        <v>300</v>
      </c>
      <c r="E64" s="37">
        <v>300</v>
      </c>
      <c r="F64" s="37">
        <v>300</v>
      </c>
      <c r="G64" s="37">
        <v>300</v>
      </c>
      <c r="H64" s="37">
        <v>300</v>
      </c>
      <c r="I64" s="37">
        <v>300</v>
      </c>
      <c r="J64" s="37">
        <v>300</v>
      </c>
      <c r="K64" s="37">
        <v>300</v>
      </c>
      <c r="L64" s="37">
        <v>300</v>
      </c>
      <c r="M64" s="37">
        <v>300</v>
      </c>
      <c r="N64" s="37">
        <v>300</v>
      </c>
      <c r="O64" s="231">
        <f t="shared" si="5"/>
        <v>3600</v>
      </c>
    </row>
    <row r="65" spans="2:15" s="9" customFormat="1" ht="15.75" x14ac:dyDescent="0.25">
      <c r="B65" s="12" t="s">
        <v>87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231">
        <f t="shared" si="5"/>
        <v>0</v>
      </c>
    </row>
    <row r="66" spans="2:15" s="9" customFormat="1" ht="15.75" x14ac:dyDescent="0.25">
      <c r="B66" s="12" t="s">
        <v>88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231">
        <f t="shared" si="5"/>
        <v>0</v>
      </c>
    </row>
    <row r="67" spans="2:15" s="9" customFormat="1" ht="15.75" x14ac:dyDescent="0.25">
      <c r="B67" s="12" t="s">
        <v>89</v>
      </c>
      <c r="C67" s="37">
        <v>7000</v>
      </c>
      <c r="D67" s="37">
        <v>7000</v>
      </c>
      <c r="E67" s="37">
        <v>7000</v>
      </c>
      <c r="F67" s="37">
        <v>7000</v>
      </c>
      <c r="G67" s="37">
        <v>7000</v>
      </c>
      <c r="H67" s="37">
        <v>7000</v>
      </c>
      <c r="I67" s="37">
        <v>7000</v>
      </c>
      <c r="J67" s="37">
        <v>7000</v>
      </c>
      <c r="K67" s="37">
        <v>7000</v>
      </c>
      <c r="L67" s="37">
        <v>7000</v>
      </c>
      <c r="M67" s="37">
        <v>7000</v>
      </c>
      <c r="N67" s="37">
        <v>7000</v>
      </c>
      <c r="O67" s="231">
        <f t="shared" si="5"/>
        <v>84000</v>
      </c>
    </row>
    <row r="68" spans="2:15" s="9" customFormat="1" ht="15.75" x14ac:dyDescent="0.25">
      <c r="B68" s="12" t="s">
        <v>90</v>
      </c>
      <c r="C68" s="37">
        <v>0</v>
      </c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231">
        <f>SUM(C68:N68)</f>
        <v>0</v>
      </c>
    </row>
    <row r="69" spans="2:15" s="9" customFormat="1" ht="15.75" x14ac:dyDescent="0.25">
      <c r="B69" s="12" t="s">
        <v>91</v>
      </c>
      <c r="C69" s="37">
        <v>0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231">
        <f t="shared" si="5"/>
        <v>0</v>
      </c>
    </row>
    <row r="70" spans="2:15" s="9" customFormat="1" ht="15.75" x14ac:dyDescent="0.25">
      <c r="B70" s="12" t="s">
        <v>92</v>
      </c>
      <c r="C70" s="37">
        <v>0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231">
        <f t="shared" si="5"/>
        <v>0</v>
      </c>
    </row>
    <row r="71" spans="2:15" s="9" customFormat="1" ht="15.75" x14ac:dyDescent="0.25">
      <c r="B71" s="12" t="s">
        <v>93</v>
      </c>
      <c r="C71" s="37">
        <v>0</v>
      </c>
      <c r="D71" s="37">
        <v>0</v>
      </c>
      <c r="E71" s="37">
        <v>0</v>
      </c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231">
        <f t="shared" si="5"/>
        <v>0</v>
      </c>
    </row>
    <row r="72" spans="2:15" s="9" customFormat="1" ht="15.75" x14ac:dyDescent="0.25">
      <c r="B72" s="12" t="s">
        <v>94</v>
      </c>
      <c r="C72" s="37">
        <v>0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231">
        <f t="shared" si="5"/>
        <v>0</v>
      </c>
    </row>
    <row r="73" spans="2:15" s="9" customFormat="1" ht="15.75" x14ac:dyDescent="0.25">
      <c r="B73" s="12" t="s">
        <v>95</v>
      </c>
      <c r="C73" s="37">
        <v>0</v>
      </c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231">
        <f t="shared" si="5"/>
        <v>0</v>
      </c>
    </row>
    <row r="74" spans="2:15" s="9" customFormat="1" ht="15.75" x14ac:dyDescent="0.25">
      <c r="B74" s="12" t="s">
        <v>96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231">
        <f>SUM(C74:N74)</f>
        <v>0</v>
      </c>
    </row>
    <row r="75" spans="2:15" s="9" customFormat="1" ht="15.75" x14ac:dyDescent="0.25">
      <c r="B75" s="234" t="s">
        <v>97</v>
      </c>
      <c r="C75" s="38">
        <f t="shared" ref="C75:M75" si="17">SUM(C76:C98)</f>
        <v>275</v>
      </c>
      <c r="D75" s="38">
        <f t="shared" si="17"/>
        <v>2975</v>
      </c>
      <c r="E75" s="38">
        <f t="shared" si="17"/>
        <v>275</v>
      </c>
      <c r="F75" s="38">
        <f t="shared" si="17"/>
        <v>475</v>
      </c>
      <c r="G75" s="38">
        <f t="shared" si="17"/>
        <v>275</v>
      </c>
      <c r="H75" s="38">
        <f t="shared" si="17"/>
        <v>875</v>
      </c>
      <c r="I75" s="38">
        <f t="shared" si="17"/>
        <v>475</v>
      </c>
      <c r="J75" s="38">
        <f t="shared" si="17"/>
        <v>625</v>
      </c>
      <c r="K75" s="38">
        <f t="shared" si="17"/>
        <v>625</v>
      </c>
      <c r="L75" s="38">
        <f t="shared" si="17"/>
        <v>825</v>
      </c>
      <c r="M75" s="38">
        <f t="shared" si="17"/>
        <v>1625</v>
      </c>
      <c r="N75" s="38">
        <f>SUM(N76:N98)</f>
        <v>425</v>
      </c>
      <c r="O75" s="235">
        <f>SUM(C75:N75)</f>
        <v>9750</v>
      </c>
    </row>
    <row r="76" spans="2:15" s="9" customFormat="1" ht="15.75" x14ac:dyDescent="0.25">
      <c r="B76" s="12" t="s">
        <v>98</v>
      </c>
      <c r="C76" s="37">
        <v>0</v>
      </c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0</v>
      </c>
      <c r="J76" s="37">
        <v>0</v>
      </c>
      <c r="K76" s="37">
        <v>0</v>
      </c>
      <c r="L76" s="37">
        <v>0</v>
      </c>
      <c r="M76" s="37">
        <v>0</v>
      </c>
      <c r="N76" s="37">
        <v>0</v>
      </c>
      <c r="O76" s="231">
        <f t="shared" ref="O76:O138" si="18">SUM(C76:N76)</f>
        <v>0</v>
      </c>
    </row>
    <row r="77" spans="2:15" s="9" customFormat="1" ht="15.75" x14ac:dyDescent="0.25">
      <c r="B77" s="12" t="s">
        <v>99</v>
      </c>
      <c r="C77" s="37">
        <v>0</v>
      </c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231">
        <f t="shared" si="18"/>
        <v>0</v>
      </c>
    </row>
    <row r="78" spans="2:15" s="9" customFormat="1" ht="15.75" x14ac:dyDescent="0.25">
      <c r="B78" s="12" t="s">
        <v>100</v>
      </c>
      <c r="C78" s="37">
        <v>0</v>
      </c>
      <c r="D78" s="37">
        <v>0</v>
      </c>
      <c r="E78" s="37">
        <v>0</v>
      </c>
      <c r="F78" s="37">
        <v>0</v>
      </c>
      <c r="G78" s="37">
        <v>0</v>
      </c>
      <c r="H78" s="37">
        <v>0</v>
      </c>
      <c r="I78" s="37">
        <v>0</v>
      </c>
      <c r="J78" s="37">
        <v>0</v>
      </c>
      <c r="K78" s="37">
        <v>0</v>
      </c>
      <c r="L78" s="37">
        <v>0</v>
      </c>
      <c r="M78" s="37">
        <v>0</v>
      </c>
      <c r="N78" s="37">
        <v>0</v>
      </c>
      <c r="O78" s="231">
        <f t="shared" si="18"/>
        <v>0</v>
      </c>
    </row>
    <row r="79" spans="2:15" s="9" customFormat="1" ht="15.75" x14ac:dyDescent="0.25">
      <c r="B79" s="12" t="s">
        <v>101</v>
      </c>
      <c r="C79" s="37">
        <v>0</v>
      </c>
      <c r="D79" s="37">
        <v>0</v>
      </c>
      <c r="E79" s="37">
        <v>0</v>
      </c>
      <c r="F79" s="37">
        <v>0</v>
      </c>
      <c r="G79" s="37">
        <v>0</v>
      </c>
      <c r="H79" s="37">
        <v>0</v>
      </c>
      <c r="I79" s="37">
        <v>0</v>
      </c>
      <c r="J79" s="37">
        <v>0</v>
      </c>
      <c r="K79" s="37">
        <v>0</v>
      </c>
      <c r="L79" s="37">
        <v>0</v>
      </c>
      <c r="M79" s="37">
        <v>0</v>
      </c>
      <c r="N79" s="37">
        <v>0</v>
      </c>
      <c r="O79" s="231">
        <f t="shared" si="18"/>
        <v>0</v>
      </c>
    </row>
    <row r="80" spans="2:15" s="9" customFormat="1" ht="15.75" x14ac:dyDescent="0.25">
      <c r="B80" s="12" t="s">
        <v>102</v>
      </c>
      <c r="C80" s="37">
        <v>75</v>
      </c>
      <c r="D80" s="37">
        <v>75</v>
      </c>
      <c r="E80" s="37">
        <v>75</v>
      </c>
      <c r="F80" s="37">
        <v>75</v>
      </c>
      <c r="G80" s="37">
        <v>75</v>
      </c>
      <c r="H80" s="37">
        <v>75</v>
      </c>
      <c r="I80" s="37">
        <v>75</v>
      </c>
      <c r="J80" s="37">
        <v>75</v>
      </c>
      <c r="K80" s="37">
        <v>75</v>
      </c>
      <c r="L80" s="37">
        <v>75</v>
      </c>
      <c r="M80" s="37">
        <v>75</v>
      </c>
      <c r="N80" s="37">
        <v>75</v>
      </c>
      <c r="O80" s="231">
        <f t="shared" si="18"/>
        <v>900</v>
      </c>
    </row>
    <row r="81" spans="2:15" s="9" customFormat="1" ht="15.75" x14ac:dyDescent="0.25">
      <c r="B81" s="12" t="s">
        <v>103</v>
      </c>
      <c r="C81" s="37">
        <v>200</v>
      </c>
      <c r="D81" s="37">
        <v>0</v>
      </c>
      <c r="E81" s="37">
        <v>0</v>
      </c>
      <c r="F81" s="37">
        <v>200</v>
      </c>
      <c r="G81" s="37">
        <v>0</v>
      </c>
      <c r="H81" s="37">
        <v>0</v>
      </c>
      <c r="I81" s="37">
        <v>200</v>
      </c>
      <c r="J81" s="37">
        <v>0</v>
      </c>
      <c r="K81" s="37">
        <v>0</v>
      </c>
      <c r="L81" s="37">
        <v>200</v>
      </c>
      <c r="M81" s="37">
        <v>0</v>
      </c>
      <c r="N81" s="37">
        <v>0</v>
      </c>
      <c r="O81" s="231">
        <f t="shared" si="18"/>
        <v>800</v>
      </c>
    </row>
    <row r="82" spans="2:15" s="9" customFormat="1" ht="15.75" x14ac:dyDescent="0.25">
      <c r="B82" s="12" t="s">
        <v>104</v>
      </c>
      <c r="C82" s="37">
        <v>0</v>
      </c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0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231">
        <f t="shared" si="18"/>
        <v>0</v>
      </c>
    </row>
    <row r="83" spans="2:15" s="9" customFormat="1" ht="15.75" x14ac:dyDescent="0.25">
      <c r="B83" s="12" t="s">
        <v>105</v>
      </c>
      <c r="C83" s="37">
        <v>0</v>
      </c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0</v>
      </c>
      <c r="J83" s="37">
        <v>0</v>
      </c>
      <c r="K83" s="37">
        <v>0</v>
      </c>
      <c r="L83" s="37">
        <v>0</v>
      </c>
      <c r="M83" s="37">
        <v>0</v>
      </c>
      <c r="N83" s="37">
        <v>0</v>
      </c>
      <c r="O83" s="231">
        <f t="shared" si="18"/>
        <v>0</v>
      </c>
    </row>
    <row r="84" spans="2:15" s="9" customFormat="1" ht="15.75" x14ac:dyDescent="0.25">
      <c r="B84" s="12" t="s">
        <v>106</v>
      </c>
      <c r="C84" s="37">
        <v>0</v>
      </c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0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231">
        <f t="shared" si="18"/>
        <v>0</v>
      </c>
    </row>
    <row r="85" spans="2:15" s="9" customFormat="1" ht="15.75" x14ac:dyDescent="0.25">
      <c r="B85" s="12" t="s">
        <v>107</v>
      </c>
      <c r="C85" s="37">
        <v>0</v>
      </c>
      <c r="D85" s="37">
        <v>0</v>
      </c>
      <c r="E85" s="37">
        <v>0</v>
      </c>
      <c r="F85" s="37">
        <v>0</v>
      </c>
      <c r="G85" s="37">
        <v>0</v>
      </c>
      <c r="H85" s="37">
        <v>0</v>
      </c>
      <c r="I85" s="37">
        <v>0</v>
      </c>
      <c r="J85" s="37">
        <v>0</v>
      </c>
      <c r="K85" s="37">
        <v>0</v>
      </c>
      <c r="L85" s="37">
        <v>0</v>
      </c>
      <c r="M85" s="37">
        <v>0</v>
      </c>
      <c r="N85" s="37">
        <v>0</v>
      </c>
      <c r="O85" s="231">
        <f t="shared" si="18"/>
        <v>0</v>
      </c>
    </row>
    <row r="86" spans="2:15" s="9" customFormat="1" ht="15.75" x14ac:dyDescent="0.25">
      <c r="B86" s="12" t="s">
        <v>108</v>
      </c>
      <c r="C86" s="37">
        <v>0</v>
      </c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231">
        <f t="shared" si="18"/>
        <v>0</v>
      </c>
    </row>
    <row r="87" spans="2:15" s="9" customFormat="1" ht="15.75" x14ac:dyDescent="0.25">
      <c r="B87" s="12" t="s">
        <v>109</v>
      </c>
      <c r="C87" s="37">
        <v>0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231">
        <f t="shared" si="18"/>
        <v>0</v>
      </c>
    </row>
    <row r="88" spans="2:15" s="9" customFormat="1" ht="15.75" x14ac:dyDescent="0.25">
      <c r="B88" s="12" t="s">
        <v>110</v>
      </c>
      <c r="C88" s="37">
        <v>0</v>
      </c>
      <c r="D88" s="37">
        <v>0</v>
      </c>
      <c r="E88" s="37">
        <v>0</v>
      </c>
      <c r="F88" s="37">
        <v>0</v>
      </c>
      <c r="G88" s="37">
        <v>0</v>
      </c>
      <c r="H88" s="37">
        <v>0</v>
      </c>
      <c r="I88" s="37">
        <v>0</v>
      </c>
      <c r="J88" s="37">
        <v>0</v>
      </c>
      <c r="K88" s="37">
        <v>0</v>
      </c>
      <c r="L88" s="37">
        <v>0</v>
      </c>
      <c r="M88" s="37">
        <v>0</v>
      </c>
      <c r="N88" s="37">
        <v>0</v>
      </c>
      <c r="O88" s="231">
        <f t="shared" si="18"/>
        <v>0</v>
      </c>
    </row>
    <row r="89" spans="2:15" s="9" customFormat="1" ht="15.75" x14ac:dyDescent="0.25">
      <c r="B89" s="12" t="s">
        <v>111</v>
      </c>
      <c r="C89" s="37">
        <v>0</v>
      </c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0</v>
      </c>
      <c r="J89" s="37">
        <v>0</v>
      </c>
      <c r="K89" s="37">
        <v>0</v>
      </c>
      <c r="L89" s="37">
        <v>0</v>
      </c>
      <c r="M89" s="37">
        <v>0</v>
      </c>
      <c r="N89" s="37">
        <v>0</v>
      </c>
      <c r="O89" s="231">
        <f t="shared" si="18"/>
        <v>0</v>
      </c>
    </row>
    <row r="90" spans="2:15" s="9" customFormat="1" ht="15.75" x14ac:dyDescent="0.25">
      <c r="B90" s="12" t="s">
        <v>112</v>
      </c>
      <c r="C90" s="37">
        <v>0</v>
      </c>
      <c r="D90" s="37">
        <v>0</v>
      </c>
      <c r="E90" s="37">
        <v>0</v>
      </c>
      <c r="F90" s="37">
        <v>0</v>
      </c>
      <c r="G90" s="37">
        <v>0</v>
      </c>
      <c r="H90" s="37">
        <v>0</v>
      </c>
      <c r="I90" s="37">
        <v>0</v>
      </c>
      <c r="J90" s="37">
        <v>0</v>
      </c>
      <c r="K90" s="37">
        <v>0</v>
      </c>
      <c r="L90" s="37">
        <v>0</v>
      </c>
      <c r="M90" s="37">
        <v>0</v>
      </c>
      <c r="N90" s="37">
        <v>0</v>
      </c>
      <c r="O90" s="231">
        <f t="shared" si="18"/>
        <v>0</v>
      </c>
    </row>
    <row r="91" spans="2:15" s="9" customFormat="1" ht="15.75" x14ac:dyDescent="0.25">
      <c r="B91" s="12" t="s">
        <v>113</v>
      </c>
      <c r="C91" s="37">
        <v>0</v>
      </c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231">
        <f t="shared" si="18"/>
        <v>0</v>
      </c>
    </row>
    <row r="92" spans="2:15" s="9" customFormat="1" ht="15.75" x14ac:dyDescent="0.25">
      <c r="B92" s="12" t="s">
        <v>114</v>
      </c>
      <c r="C92" s="37">
        <v>0</v>
      </c>
      <c r="D92" s="37">
        <v>0</v>
      </c>
      <c r="E92" s="37">
        <v>0</v>
      </c>
      <c r="F92" s="37">
        <v>0</v>
      </c>
      <c r="G92" s="37">
        <v>0</v>
      </c>
      <c r="H92" s="37">
        <v>0</v>
      </c>
      <c r="I92" s="37">
        <v>0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231">
        <f t="shared" si="18"/>
        <v>0</v>
      </c>
    </row>
    <row r="93" spans="2:15" s="9" customFormat="1" ht="15.75" x14ac:dyDescent="0.25">
      <c r="B93" s="12" t="s">
        <v>115</v>
      </c>
      <c r="C93" s="37">
        <v>0</v>
      </c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0</v>
      </c>
      <c r="J93" s="37">
        <v>0</v>
      </c>
      <c r="K93" s="37">
        <v>0</v>
      </c>
      <c r="L93" s="37">
        <v>0</v>
      </c>
      <c r="M93" s="37">
        <v>0</v>
      </c>
      <c r="N93" s="37">
        <v>0</v>
      </c>
      <c r="O93" s="231">
        <f t="shared" si="18"/>
        <v>0</v>
      </c>
    </row>
    <row r="94" spans="2:15" s="9" customFormat="1" ht="15.75" x14ac:dyDescent="0.25">
      <c r="B94" s="12" t="s">
        <v>116</v>
      </c>
      <c r="C94" s="37">
        <v>0</v>
      </c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0</v>
      </c>
      <c r="J94" s="37">
        <v>0</v>
      </c>
      <c r="K94" s="37">
        <v>0</v>
      </c>
      <c r="L94" s="37">
        <v>0</v>
      </c>
      <c r="M94" s="37">
        <v>0</v>
      </c>
      <c r="N94" s="37">
        <v>0</v>
      </c>
      <c r="O94" s="231">
        <f t="shared" si="18"/>
        <v>0</v>
      </c>
    </row>
    <row r="95" spans="2:15" s="9" customFormat="1" ht="15.75" x14ac:dyDescent="0.25">
      <c r="B95" s="12" t="s">
        <v>117</v>
      </c>
      <c r="C95" s="37">
        <v>0</v>
      </c>
      <c r="D95" s="37">
        <v>2840</v>
      </c>
      <c r="E95" s="37">
        <v>140</v>
      </c>
      <c r="F95" s="37">
        <v>140</v>
      </c>
      <c r="G95" s="37">
        <v>140</v>
      </c>
      <c r="H95" s="37">
        <v>140</v>
      </c>
      <c r="I95" s="37">
        <v>140</v>
      </c>
      <c r="J95" s="37">
        <v>140</v>
      </c>
      <c r="K95" s="37">
        <v>140</v>
      </c>
      <c r="L95" s="37">
        <v>140</v>
      </c>
      <c r="M95" s="37">
        <v>140</v>
      </c>
      <c r="N95" s="37">
        <v>0</v>
      </c>
      <c r="O95" s="231">
        <f t="shared" si="18"/>
        <v>4100</v>
      </c>
    </row>
    <row r="96" spans="2:15" s="9" customFormat="1" ht="15.75" x14ac:dyDescent="0.25">
      <c r="B96" s="12" t="s">
        <v>118</v>
      </c>
      <c r="C96" s="37">
        <v>0</v>
      </c>
      <c r="D96" s="37">
        <v>0</v>
      </c>
      <c r="E96" s="37">
        <v>0</v>
      </c>
      <c r="F96" s="37">
        <v>0</v>
      </c>
      <c r="G96" s="37">
        <v>0</v>
      </c>
      <c r="H96" s="37">
        <v>0</v>
      </c>
      <c r="I96" s="37">
        <v>0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231">
        <f t="shared" si="18"/>
        <v>0</v>
      </c>
    </row>
    <row r="97" spans="2:15" s="9" customFormat="1" ht="15.75" x14ac:dyDescent="0.25">
      <c r="B97" s="12" t="s">
        <v>119</v>
      </c>
      <c r="C97" s="37">
        <v>0</v>
      </c>
      <c r="D97" s="37">
        <v>60</v>
      </c>
      <c r="E97" s="37">
        <v>60</v>
      </c>
      <c r="F97" s="37">
        <v>60</v>
      </c>
      <c r="G97" s="37">
        <v>60</v>
      </c>
      <c r="H97" s="37">
        <v>60</v>
      </c>
      <c r="I97" s="37">
        <v>60</v>
      </c>
      <c r="J97" s="37">
        <v>60</v>
      </c>
      <c r="K97" s="37">
        <v>60</v>
      </c>
      <c r="L97" s="37">
        <v>60</v>
      </c>
      <c r="M97" s="37">
        <v>60</v>
      </c>
      <c r="N97" s="37"/>
      <c r="O97" s="231">
        <f t="shared" si="18"/>
        <v>600</v>
      </c>
    </row>
    <row r="98" spans="2:15" s="9" customFormat="1" ht="15.75" x14ac:dyDescent="0.25">
      <c r="B98" s="12" t="s">
        <v>120</v>
      </c>
      <c r="C98" s="37">
        <v>0</v>
      </c>
      <c r="D98" s="37">
        <v>0</v>
      </c>
      <c r="E98" s="37">
        <v>0</v>
      </c>
      <c r="F98" s="37">
        <v>0</v>
      </c>
      <c r="G98" s="37">
        <v>0</v>
      </c>
      <c r="H98" s="37">
        <v>600</v>
      </c>
      <c r="I98" s="37">
        <v>0</v>
      </c>
      <c r="J98" s="37">
        <v>350</v>
      </c>
      <c r="K98" s="37">
        <v>350</v>
      </c>
      <c r="L98" s="37">
        <v>350</v>
      </c>
      <c r="M98" s="37">
        <v>1350</v>
      </c>
      <c r="N98" s="37">
        <v>350</v>
      </c>
      <c r="O98" s="231">
        <f t="shared" si="18"/>
        <v>3350</v>
      </c>
    </row>
    <row r="99" spans="2:15" s="9" customFormat="1" ht="15.75" x14ac:dyDescent="0.25">
      <c r="B99" s="234" t="s">
        <v>121</v>
      </c>
      <c r="C99" s="38">
        <f>SUM(C100:C104)</f>
        <v>0</v>
      </c>
      <c r="D99" s="38">
        <f t="shared" ref="D99:N99" si="19">SUM(D100:D104)</f>
        <v>0</v>
      </c>
      <c r="E99" s="38">
        <f t="shared" si="19"/>
        <v>0</v>
      </c>
      <c r="F99" s="38">
        <f t="shared" si="19"/>
        <v>0</v>
      </c>
      <c r="G99" s="38">
        <f t="shared" si="19"/>
        <v>0</v>
      </c>
      <c r="H99" s="38">
        <f t="shared" si="19"/>
        <v>0</v>
      </c>
      <c r="I99" s="38">
        <f t="shared" si="19"/>
        <v>0</v>
      </c>
      <c r="J99" s="38">
        <f t="shared" si="19"/>
        <v>0</v>
      </c>
      <c r="K99" s="38">
        <f t="shared" si="19"/>
        <v>0</v>
      </c>
      <c r="L99" s="38">
        <f t="shared" si="19"/>
        <v>0</v>
      </c>
      <c r="M99" s="38">
        <f t="shared" si="19"/>
        <v>0</v>
      </c>
      <c r="N99" s="38">
        <f t="shared" si="19"/>
        <v>0</v>
      </c>
      <c r="O99" s="235">
        <f>SUM(C99:N99)</f>
        <v>0</v>
      </c>
    </row>
    <row r="100" spans="2:15" s="9" customFormat="1" ht="15.75" x14ac:dyDescent="0.25">
      <c r="B100" s="36" t="s">
        <v>122</v>
      </c>
      <c r="C100" s="37">
        <v>0</v>
      </c>
      <c r="D100" s="37">
        <v>0</v>
      </c>
      <c r="E100" s="37">
        <v>0</v>
      </c>
      <c r="F100" s="37">
        <v>0</v>
      </c>
      <c r="G100" s="37">
        <v>0</v>
      </c>
      <c r="H100" s="37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231">
        <f t="shared" si="18"/>
        <v>0</v>
      </c>
    </row>
    <row r="101" spans="2:15" s="9" customFormat="1" ht="15.75" x14ac:dyDescent="0.25">
      <c r="B101" s="36" t="s">
        <v>123</v>
      </c>
      <c r="C101" s="37">
        <v>0</v>
      </c>
      <c r="D101" s="37">
        <v>0</v>
      </c>
      <c r="E101" s="37">
        <v>0</v>
      </c>
      <c r="F101" s="37">
        <v>0</v>
      </c>
      <c r="G101" s="37">
        <v>0</v>
      </c>
      <c r="H101" s="37">
        <v>0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231">
        <f t="shared" si="18"/>
        <v>0</v>
      </c>
    </row>
    <row r="102" spans="2:15" s="9" customFormat="1" ht="15.75" x14ac:dyDescent="0.25">
      <c r="B102" s="36" t="s">
        <v>124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>
        <v>0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231">
        <f t="shared" si="18"/>
        <v>0</v>
      </c>
    </row>
    <row r="103" spans="2:15" s="9" customFormat="1" ht="15.75" x14ac:dyDescent="0.25">
      <c r="B103" s="12" t="s">
        <v>125</v>
      </c>
      <c r="C103" s="37">
        <v>0</v>
      </c>
      <c r="D103" s="37">
        <v>0</v>
      </c>
      <c r="E103" s="37">
        <v>0</v>
      </c>
      <c r="F103" s="37">
        <v>0</v>
      </c>
      <c r="G103" s="37">
        <v>0</v>
      </c>
      <c r="H103" s="37">
        <v>0</v>
      </c>
      <c r="I103" s="37">
        <v>0</v>
      </c>
      <c r="J103" s="37">
        <v>0</v>
      </c>
      <c r="K103" s="37">
        <v>0</v>
      </c>
      <c r="L103" s="37">
        <v>0</v>
      </c>
      <c r="M103" s="37">
        <v>0</v>
      </c>
      <c r="N103" s="37">
        <v>0</v>
      </c>
      <c r="O103" s="231">
        <f t="shared" si="18"/>
        <v>0</v>
      </c>
    </row>
    <row r="104" spans="2:15" s="9" customFormat="1" ht="15.75" x14ac:dyDescent="0.25">
      <c r="B104" s="12" t="s">
        <v>126</v>
      </c>
      <c r="C104" s="37">
        <v>0</v>
      </c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231">
        <f t="shared" si="18"/>
        <v>0</v>
      </c>
    </row>
    <row r="105" spans="2:15" s="9" customFormat="1" ht="15.75" x14ac:dyDescent="0.25">
      <c r="B105" s="234" t="s">
        <v>127</v>
      </c>
      <c r="C105" s="38">
        <f>SUM(C106:C115)</f>
        <v>0</v>
      </c>
      <c r="D105" s="38">
        <f t="shared" ref="D105:N105" si="20">SUM(D106:D115)</f>
        <v>0</v>
      </c>
      <c r="E105" s="38">
        <f t="shared" si="20"/>
        <v>0</v>
      </c>
      <c r="F105" s="38">
        <f t="shared" si="20"/>
        <v>0</v>
      </c>
      <c r="G105" s="38">
        <f t="shared" si="20"/>
        <v>0</v>
      </c>
      <c r="H105" s="38">
        <f t="shared" si="20"/>
        <v>0</v>
      </c>
      <c r="I105" s="38">
        <f t="shared" si="20"/>
        <v>0</v>
      </c>
      <c r="J105" s="38">
        <f t="shared" si="20"/>
        <v>0</v>
      </c>
      <c r="K105" s="38">
        <f t="shared" si="20"/>
        <v>0</v>
      </c>
      <c r="L105" s="38">
        <f t="shared" si="20"/>
        <v>0</v>
      </c>
      <c r="M105" s="38">
        <f t="shared" si="20"/>
        <v>0</v>
      </c>
      <c r="N105" s="38">
        <f t="shared" si="20"/>
        <v>0</v>
      </c>
      <c r="O105" s="235">
        <f t="shared" si="18"/>
        <v>0</v>
      </c>
    </row>
    <row r="106" spans="2:15" s="9" customFormat="1" ht="15.75" x14ac:dyDescent="0.25">
      <c r="B106" s="12" t="s">
        <v>128</v>
      </c>
      <c r="C106" s="37">
        <v>0</v>
      </c>
      <c r="D106" s="37">
        <v>0</v>
      </c>
      <c r="E106" s="37">
        <v>0</v>
      </c>
      <c r="F106" s="37">
        <v>0</v>
      </c>
      <c r="G106" s="37">
        <v>0</v>
      </c>
      <c r="H106" s="37">
        <v>0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231">
        <f t="shared" si="18"/>
        <v>0</v>
      </c>
    </row>
    <row r="107" spans="2:15" s="9" customFormat="1" ht="15.75" x14ac:dyDescent="0.25">
      <c r="B107" s="12" t="s">
        <v>129</v>
      </c>
      <c r="C107" s="37">
        <v>0</v>
      </c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0</v>
      </c>
      <c r="J107" s="37">
        <v>0</v>
      </c>
      <c r="K107" s="37">
        <v>0</v>
      </c>
      <c r="L107" s="37">
        <v>0</v>
      </c>
      <c r="M107" s="37">
        <v>0</v>
      </c>
      <c r="N107" s="37">
        <v>0</v>
      </c>
      <c r="O107" s="231">
        <f t="shared" si="18"/>
        <v>0</v>
      </c>
    </row>
    <row r="108" spans="2:15" s="9" customFormat="1" ht="15.75" x14ac:dyDescent="0.25">
      <c r="B108" s="12" t="s">
        <v>130</v>
      </c>
      <c r="C108" s="37">
        <v>0</v>
      </c>
      <c r="D108" s="37">
        <v>0</v>
      </c>
      <c r="E108" s="37">
        <v>0</v>
      </c>
      <c r="F108" s="37">
        <v>0</v>
      </c>
      <c r="G108" s="37">
        <v>0</v>
      </c>
      <c r="H108" s="37">
        <v>0</v>
      </c>
      <c r="I108" s="37">
        <v>0</v>
      </c>
      <c r="J108" s="37">
        <v>0</v>
      </c>
      <c r="K108" s="37">
        <v>0</v>
      </c>
      <c r="L108" s="37">
        <v>0</v>
      </c>
      <c r="M108" s="37">
        <v>0</v>
      </c>
      <c r="N108" s="37">
        <v>0</v>
      </c>
      <c r="O108" s="231">
        <f t="shared" si="18"/>
        <v>0</v>
      </c>
    </row>
    <row r="109" spans="2:15" s="9" customFormat="1" ht="15.75" x14ac:dyDescent="0.25">
      <c r="B109" s="12" t="s">
        <v>131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231">
        <f t="shared" si="18"/>
        <v>0</v>
      </c>
    </row>
    <row r="110" spans="2:15" s="9" customFormat="1" ht="15.75" x14ac:dyDescent="0.25">
      <c r="B110" s="12" t="s">
        <v>132</v>
      </c>
      <c r="C110" s="37">
        <v>0</v>
      </c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0</v>
      </c>
      <c r="J110" s="37">
        <v>0</v>
      </c>
      <c r="K110" s="37">
        <v>0</v>
      </c>
      <c r="L110" s="37">
        <v>0</v>
      </c>
      <c r="M110" s="37">
        <v>0</v>
      </c>
      <c r="N110" s="37">
        <v>0</v>
      </c>
      <c r="O110" s="231">
        <f t="shared" si="18"/>
        <v>0</v>
      </c>
    </row>
    <row r="111" spans="2:15" s="9" customFormat="1" ht="15.75" x14ac:dyDescent="0.25">
      <c r="B111" s="12" t="s">
        <v>133</v>
      </c>
      <c r="C111" s="37">
        <v>0</v>
      </c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0</v>
      </c>
      <c r="J111" s="37">
        <v>0</v>
      </c>
      <c r="K111" s="37">
        <v>0</v>
      </c>
      <c r="L111" s="37">
        <v>0</v>
      </c>
      <c r="M111" s="37">
        <v>0</v>
      </c>
      <c r="N111" s="37">
        <v>0</v>
      </c>
      <c r="O111" s="231">
        <f t="shared" si="18"/>
        <v>0</v>
      </c>
    </row>
    <row r="112" spans="2:15" s="9" customFormat="1" ht="15.75" x14ac:dyDescent="0.25">
      <c r="B112" s="12" t="s">
        <v>134</v>
      </c>
      <c r="C112" s="37">
        <v>0</v>
      </c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231">
        <f t="shared" si="18"/>
        <v>0</v>
      </c>
    </row>
    <row r="113" spans="2:15" s="9" customFormat="1" ht="15.75" x14ac:dyDescent="0.25">
      <c r="B113" s="12" t="s">
        <v>135</v>
      </c>
      <c r="C113" s="37">
        <v>0</v>
      </c>
      <c r="D113" s="37">
        <v>0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231">
        <f t="shared" si="18"/>
        <v>0</v>
      </c>
    </row>
    <row r="114" spans="2:15" s="9" customFormat="1" ht="15.75" x14ac:dyDescent="0.25">
      <c r="B114" s="12" t="s">
        <v>136</v>
      </c>
      <c r="C114" s="37">
        <v>0</v>
      </c>
      <c r="D114" s="37">
        <v>0</v>
      </c>
      <c r="E114" s="37">
        <v>0</v>
      </c>
      <c r="F114" s="37">
        <v>0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231">
        <f t="shared" si="18"/>
        <v>0</v>
      </c>
    </row>
    <row r="115" spans="2:15" s="9" customFormat="1" ht="15.75" x14ac:dyDescent="0.25">
      <c r="B115" s="12" t="s">
        <v>137</v>
      </c>
      <c r="C115" s="37">
        <v>0</v>
      </c>
      <c r="D115" s="37">
        <v>0</v>
      </c>
      <c r="E115" s="37">
        <v>0</v>
      </c>
      <c r="F115" s="37">
        <v>0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231">
        <f t="shared" si="18"/>
        <v>0</v>
      </c>
    </row>
    <row r="116" spans="2:15" s="9" customFormat="1" ht="15.75" x14ac:dyDescent="0.25">
      <c r="B116" s="234" t="s">
        <v>138</v>
      </c>
      <c r="C116" s="16">
        <f>SUM(C117:C119)</f>
        <v>0</v>
      </c>
      <c r="D116" s="16">
        <f t="shared" ref="D116:N116" si="21">SUM(D117:D119)</f>
        <v>0</v>
      </c>
      <c r="E116" s="16">
        <f t="shared" si="21"/>
        <v>0</v>
      </c>
      <c r="F116" s="16">
        <f t="shared" si="21"/>
        <v>0</v>
      </c>
      <c r="G116" s="16">
        <f t="shared" si="21"/>
        <v>0</v>
      </c>
      <c r="H116" s="16">
        <f t="shared" si="21"/>
        <v>0</v>
      </c>
      <c r="I116" s="16">
        <f t="shared" si="21"/>
        <v>0</v>
      </c>
      <c r="J116" s="16">
        <f t="shared" si="21"/>
        <v>0</v>
      </c>
      <c r="K116" s="16">
        <f t="shared" si="21"/>
        <v>0</v>
      </c>
      <c r="L116" s="16">
        <f t="shared" si="21"/>
        <v>0</v>
      </c>
      <c r="M116" s="16">
        <f t="shared" si="21"/>
        <v>0</v>
      </c>
      <c r="N116" s="16">
        <f t="shared" si="21"/>
        <v>0</v>
      </c>
      <c r="O116" s="235">
        <f t="shared" si="18"/>
        <v>0</v>
      </c>
    </row>
    <row r="117" spans="2:15" s="9" customFormat="1" ht="15.75" x14ac:dyDescent="0.25">
      <c r="B117" s="12" t="s">
        <v>139</v>
      </c>
      <c r="C117" s="37">
        <v>0</v>
      </c>
      <c r="D117" s="37">
        <v>0</v>
      </c>
      <c r="E117" s="37">
        <v>0</v>
      </c>
      <c r="F117" s="37">
        <v>0</v>
      </c>
      <c r="G117" s="37">
        <v>0</v>
      </c>
      <c r="H117" s="37">
        <v>0</v>
      </c>
      <c r="I117" s="37">
        <v>0</v>
      </c>
      <c r="J117" s="37">
        <v>0</v>
      </c>
      <c r="K117" s="37">
        <v>0</v>
      </c>
      <c r="L117" s="37">
        <v>0</v>
      </c>
      <c r="M117" s="37">
        <v>0</v>
      </c>
      <c r="N117" s="37">
        <v>0</v>
      </c>
      <c r="O117" s="231">
        <f t="shared" si="18"/>
        <v>0</v>
      </c>
    </row>
    <row r="118" spans="2:15" s="9" customFormat="1" ht="15.75" x14ac:dyDescent="0.25">
      <c r="B118" s="12" t="s">
        <v>140</v>
      </c>
      <c r="C118" s="37">
        <v>0</v>
      </c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231">
        <f t="shared" si="18"/>
        <v>0</v>
      </c>
    </row>
    <row r="119" spans="2:15" s="9" customFormat="1" ht="15.75" x14ac:dyDescent="0.25">
      <c r="B119" s="12" t="s">
        <v>141</v>
      </c>
      <c r="C119" s="37">
        <v>0</v>
      </c>
      <c r="D119" s="37">
        <v>0</v>
      </c>
      <c r="E119" s="37">
        <v>0</v>
      </c>
      <c r="F119" s="37">
        <v>0</v>
      </c>
      <c r="G119" s="37">
        <v>0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231">
        <f t="shared" si="18"/>
        <v>0</v>
      </c>
    </row>
    <row r="120" spans="2:15" s="9" customFormat="1" ht="15.75" x14ac:dyDescent="0.25">
      <c r="B120" s="234" t="s">
        <v>142</v>
      </c>
      <c r="C120" s="16">
        <f>SUM(C121:C122)</f>
        <v>0</v>
      </c>
      <c r="D120" s="16">
        <f t="shared" ref="D120:N120" si="22">SUM(D121:D122)</f>
        <v>0</v>
      </c>
      <c r="E120" s="16">
        <f t="shared" si="22"/>
        <v>0</v>
      </c>
      <c r="F120" s="16">
        <f t="shared" si="22"/>
        <v>0</v>
      </c>
      <c r="G120" s="16">
        <f t="shared" si="22"/>
        <v>0</v>
      </c>
      <c r="H120" s="16">
        <f t="shared" si="22"/>
        <v>0</v>
      </c>
      <c r="I120" s="16">
        <f t="shared" si="22"/>
        <v>0</v>
      </c>
      <c r="J120" s="16">
        <f t="shared" si="22"/>
        <v>0</v>
      </c>
      <c r="K120" s="16">
        <f t="shared" si="22"/>
        <v>0</v>
      </c>
      <c r="L120" s="16">
        <f t="shared" si="22"/>
        <v>0</v>
      </c>
      <c r="M120" s="16">
        <f t="shared" si="22"/>
        <v>0</v>
      </c>
      <c r="N120" s="16">
        <f t="shared" si="22"/>
        <v>0</v>
      </c>
      <c r="O120" s="235">
        <f t="shared" si="18"/>
        <v>0</v>
      </c>
    </row>
    <row r="121" spans="2:15" s="9" customFormat="1" ht="15.75" x14ac:dyDescent="0.25">
      <c r="B121" s="12" t="s">
        <v>143</v>
      </c>
      <c r="C121" s="37">
        <v>0</v>
      </c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0</v>
      </c>
      <c r="J121" s="37">
        <v>0</v>
      </c>
      <c r="K121" s="37">
        <v>0</v>
      </c>
      <c r="L121" s="37">
        <v>0</v>
      </c>
      <c r="M121" s="37">
        <v>0</v>
      </c>
      <c r="N121" s="37">
        <v>0</v>
      </c>
      <c r="O121" s="231">
        <f t="shared" si="18"/>
        <v>0</v>
      </c>
    </row>
    <row r="122" spans="2:15" s="9" customFormat="1" ht="15.75" x14ac:dyDescent="0.25">
      <c r="B122" s="12" t="s">
        <v>43</v>
      </c>
      <c r="C122" s="37">
        <v>0</v>
      </c>
      <c r="D122" s="37">
        <v>0</v>
      </c>
      <c r="E122" s="37">
        <v>0</v>
      </c>
      <c r="F122" s="37">
        <v>0</v>
      </c>
      <c r="G122" s="37">
        <v>0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  <c r="M122" s="37">
        <v>0</v>
      </c>
      <c r="N122" s="37">
        <v>0</v>
      </c>
      <c r="O122" s="231">
        <f t="shared" si="18"/>
        <v>0</v>
      </c>
    </row>
    <row r="123" spans="2:15" s="9" customFormat="1" ht="15.75" x14ac:dyDescent="0.25">
      <c r="B123" s="234" t="s">
        <v>32</v>
      </c>
      <c r="C123" s="16">
        <f t="shared" ref="C123:N123" si="23">SUM(C124:C125)</f>
        <v>0</v>
      </c>
      <c r="D123" s="16">
        <f t="shared" si="23"/>
        <v>0</v>
      </c>
      <c r="E123" s="16">
        <f t="shared" si="23"/>
        <v>0</v>
      </c>
      <c r="F123" s="16">
        <f t="shared" si="23"/>
        <v>0</v>
      </c>
      <c r="G123" s="16">
        <f t="shared" si="23"/>
        <v>0</v>
      </c>
      <c r="H123" s="16">
        <f t="shared" si="23"/>
        <v>0</v>
      </c>
      <c r="I123" s="16">
        <f t="shared" si="23"/>
        <v>0</v>
      </c>
      <c r="J123" s="16">
        <f t="shared" si="23"/>
        <v>0</v>
      </c>
      <c r="K123" s="16">
        <f t="shared" si="23"/>
        <v>0</v>
      </c>
      <c r="L123" s="16">
        <f t="shared" si="23"/>
        <v>0</v>
      </c>
      <c r="M123" s="16">
        <f t="shared" si="23"/>
        <v>0</v>
      </c>
      <c r="N123" s="16">
        <f t="shared" si="23"/>
        <v>0</v>
      </c>
      <c r="O123" s="235">
        <f t="shared" si="18"/>
        <v>0</v>
      </c>
    </row>
    <row r="124" spans="2:15" s="9" customFormat="1" ht="15.75" x14ac:dyDescent="0.25">
      <c r="B124" s="12" t="s">
        <v>144</v>
      </c>
      <c r="C124" s="37">
        <v>0</v>
      </c>
      <c r="D124" s="37">
        <v>0</v>
      </c>
      <c r="E124" s="37">
        <v>0</v>
      </c>
      <c r="F124" s="37">
        <v>0</v>
      </c>
      <c r="G124" s="37">
        <v>0</v>
      </c>
      <c r="H124" s="37">
        <v>0</v>
      </c>
      <c r="I124" s="37">
        <v>0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231">
        <f t="shared" si="18"/>
        <v>0</v>
      </c>
    </row>
    <row r="125" spans="2:15" s="9" customFormat="1" ht="15.75" x14ac:dyDescent="0.25">
      <c r="B125" s="12" t="s">
        <v>145</v>
      </c>
      <c r="C125" s="37">
        <v>0</v>
      </c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231">
        <f t="shared" si="18"/>
        <v>0</v>
      </c>
    </row>
    <row r="126" spans="2:15" s="9" customFormat="1" ht="15.75" x14ac:dyDescent="0.25">
      <c r="B126" s="234" t="s">
        <v>146</v>
      </c>
      <c r="C126" s="16">
        <f>SUM(C127:C129)</f>
        <v>0</v>
      </c>
      <c r="D126" s="16">
        <f t="shared" ref="D126:N126" si="24">SUM(D127:D129)</f>
        <v>0</v>
      </c>
      <c r="E126" s="16">
        <f t="shared" si="24"/>
        <v>0</v>
      </c>
      <c r="F126" s="16">
        <f t="shared" si="24"/>
        <v>0</v>
      </c>
      <c r="G126" s="16">
        <f t="shared" si="24"/>
        <v>0</v>
      </c>
      <c r="H126" s="16">
        <f t="shared" si="24"/>
        <v>0</v>
      </c>
      <c r="I126" s="16">
        <f t="shared" si="24"/>
        <v>0</v>
      </c>
      <c r="J126" s="16">
        <f t="shared" si="24"/>
        <v>0</v>
      </c>
      <c r="K126" s="16">
        <f t="shared" si="24"/>
        <v>0</v>
      </c>
      <c r="L126" s="16">
        <f t="shared" si="24"/>
        <v>0</v>
      </c>
      <c r="M126" s="16">
        <f t="shared" si="24"/>
        <v>0</v>
      </c>
      <c r="N126" s="16">
        <f t="shared" si="24"/>
        <v>0</v>
      </c>
      <c r="O126" s="235">
        <f t="shared" si="18"/>
        <v>0</v>
      </c>
    </row>
    <row r="127" spans="2:15" s="9" customFormat="1" ht="15.75" x14ac:dyDescent="0.25">
      <c r="B127" s="12" t="s">
        <v>147</v>
      </c>
      <c r="C127" s="37">
        <v>0</v>
      </c>
      <c r="D127" s="37">
        <v>0</v>
      </c>
      <c r="E127" s="37">
        <v>0</v>
      </c>
      <c r="F127" s="37">
        <v>0</v>
      </c>
      <c r="G127" s="37">
        <v>0</v>
      </c>
      <c r="H127" s="37">
        <v>0</v>
      </c>
      <c r="I127" s="37">
        <v>0</v>
      </c>
      <c r="J127" s="37">
        <v>0</v>
      </c>
      <c r="K127" s="37">
        <v>0</v>
      </c>
      <c r="L127" s="37">
        <v>0</v>
      </c>
      <c r="M127" s="37">
        <v>0</v>
      </c>
      <c r="N127" s="37">
        <v>0</v>
      </c>
      <c r="O127" s="231">
        <f t="shared" si="18"/>
        <v>0</v>
      </c>
    </row>
    <row r="128" spans="2:15" s="9" customFormat="1" ht="15.75" x14ac:dyDescent="0.25">
      <c r="B128" s="12" t="s">
        <v>148</v>
      </c>
      <c r="C128" s="37">
        <v>0</v>
      </c>
      <c r="D128" s="37">
        <v>0</v>
      </c>
      <c r="E128" s="37">
        <v>0</v>
      </c>
      <c r="F128" s="37">
        <v>0</v>
      </c>
      <c r="G128" s="37">
        <v>0</v>
      </c>
      <c r="H128" s="37">
        <v>0</v>
      </c>
      <c r="I128" s="37">
        <v>0</v>
      </c>
      <c r="J128" s="37">
        <v>0</v>
      </c>
      <c r="K128" s="37">
        <v>0</v>
      </c>
      <c r="L128" s="37">
        <v>0</v>
      </c>
      <c r="M128" s="37">
        <v>0</v>
      </c>
      <c r="N128" s="37">
        <v>0</v>
      </c>
      <c r="O128" s="231">
        <f t="shared" si="18"/>
        <v>0</v>
      </c>
    </row>
    <row r="129" spans="2:15" s="9" customFormat="1" ht="15.75" x14ac:dyDescent="0.25">
      <c r="B129" s="12" t="s">
        <v>149</v>
      </c>
      <c r="C129" s="37">
        <v>0</v>
      </c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0</v>
      </c>
      <c r="J129" s="37">
        <v>0</v>
      </c>
      <c r="K129" s="37">
        <v>0</v>
      </c>
      <c r="L129" s="37">
        <v>0</v>
      </c>
      <c r="M129" s="37">
        <v>0</v>
      </c>
      <c r="N129" s="37">
        <v>0</v>
      </c>
      <c r="O129" s="231">
        <f t="shared" si="18"/>
        <v>0</v>
      </c>
    </row>
    <row r="130" spans="2:15" s="9" customFormat="1" ht="15.75" x14ac:dyDescent="0.25">
      <c r="B130" s="234" t="s">
        <v>150</v>
      </c>
      <c r="C130" s="16">
        <f>SUM(C131:C132)</f>
        <v>0</v>
      </c>
      <c r="D130" s="16">
        <f t="shared" ref="D130:N130" si="25">SUM(D131:D132)</f>
        <v>0</v>
      </c>
      <c r="E130" s="16">
        <f t="shared" si="25"/>
        <v>0</v>
      </c>
      <c r="F130" s="16">
        <f t="shared" si="25"/>
        <v>0</v>
      </c>
      <c r="G130" s="16">
        <f t="shared" si="25"/>
        <v>0</v>
      </c>
      <c r="H130" s="16">
        <f t="shared" si="25"/>
        <v>0</v>
      </c>
      <c r="I130" s="16">
        <f t="shared" si="25"/>
        <v>0</v>
      </c>
      <c r="J130" s="16">
        <f t="shared" si="25"/>
        <v>0</v>
      </c>
      <c r="K130" s="16">
        <f t="shared" si="25"/>
        <v>0</v>
      </c>
      <c r="L130" s="16">
        <f t="shared" si="25"/>
        <v>0</v>
      </c>
      <c r="M130" s="16">
        <f t="shared" si="25"/>
        <v>0</v>
      </c>
      <c r="N130" s="16">
        <f t="shared" si="25"/>
        <v>0</v>
      </c>
      <c r="O130" s="235">
        <f t="shared" si="18"/>
        <v>0</v>
      </c>
    </row>
    <row r="131" spans="2:15" s="9" customFormat="1" ht="15.75" x14ac:dyDescent="0.25">
      <c r="B131" s="12" t="s">
        <v>64</v>
      </c>
      <c r="C131" s="37">
        <v>0</v>
      </c>
      <c r="D131" s="37">
        <v>0</v>
      </c>
      <c r="E131" s="37">
        <v>0</v>
      </c>
      <c r="F131" s="37">
        <v>0</v>
      </c>
      <c r="G131" s="37">
        <v>0</v>
      </c>
      <c r="H131" s="37">
        <v>0</v>
      </c>
      <c r="I131" s="37">
        <v>0</v>
      </c>
      <c r="J131" s="37">
        <v>0</v>
      </c>
      <c r="K131" s="37">
        <v>0</v>
      </c>
      <c r="L131" s="37">
        <v>0</v>
      </c>
      <c r="M131" s="37">
        <v>0</v>
      </c>
      <c r="N131" s="37">
        <v>0</v>
      </c>
      <c r="O131" s="231">
        <f t="shared" si="18"/>
        <v>0</v>
      </c>
    </row>
    <row r="132" spans="2:15" s="9" customFormat="1" ht="15.75" x14ac:dyDescent="0.25">
      <c r="B132" s="12" t="s">
        <v>151</v>
      </c>
      <c r="C132" s="37">
        <v>0</v>
      </c>
      <c r="D132" s="37">
        <v>0</v>
      </c>
      <c r="E132" s="37">
        <v>0</v>
      </c>
      <c r="F132" s="37">
        <v>0</v>
      </c>
      <c r="G132" s="37">
        <v>0</v>
      </c>
      <c r="H132" s="37">
        <v>0</v>
      </c>
      <c r="I132" s="37">
        <v>0</v>
      </c>
      <c r="J132" s="37">
        <v>0</v>
      </c>
      <c r="K132" s="37">
        <v>0</v>
      </c>
      <c r="L132" s="37">
        <v>0</v>
      </c>
      <c r="M132" s="37">
        <v>0</v>
      </c>
      <c r="N132" s="37">
        <v>0</v>
      </c>
      <c r="O132" s="231">
        <f t="shared" si="18"/>
        <v>0</v>
      </c>
    </row>
    <row r="133" spans="2:15" s="9" customFormat="1" ht="15.75" x14ac:dyDescent="0.25">
      <c r="B133" s="234" t="s">
        <v>152</v>
      </c>
      <c r="C133" s="16">
        <f>SUM(C134:C138)</f>
        <v>0</v>
      </c>
      <c r="D133" s="16">
        <f t="shared" ref="D133:N133" si="26">SUM(D134:D138)</f>
        <v>0</v>
      </c>
      <c r="E133" s="16">
        <f t="shared" si="26"/>
        <v>0</v>
      </c>
      <c r="F133" s="16">
        <f t="shared" si="26"/>
        <v>0</v>
      </c>
      <c r="G133" s="16">
        <f t="shared" si="26"/>
        <v>0</v>
      </c>
      <c r="H133" s="16">
        <f t="shared" si="26"/>
        <v>0</v>
      </c>
      <c r="I133" s="16">
        <f t="shared" si="26"/>
        <v>0</v>
      </c>
      <c r="J133" s="16">
        <f t="shared" si="26"/>
        <v>0</v>
      </c>
      <c r="K133" s="16">
        <f t="shared" si="26"/>
        <v>0</v>
      </c>
      <c r="L133" s="16">
        <f>SUM(L134:L138)</f>
        <v>0</v>
      </c>
      <c r="M133" s="16">
        <f t="shared" si="26"/>
        <v>0</v>
      </c>
      <c r="N133" s="16">
        <f t="shared" si="26"/>
        <v>0</v>
      </c>
      <c r="O133" s="235">
        <f t="shared" si="18"/>
        <v>0</v>
      </c>
    </row>
    <row r="134" spans="2:15" s="9" customFormat="1" ht="15.75" x14ac:dyDescent="0.25">
      <c r="B134" s="12" t="s">
        <v>153</v>
      </c>
      <c r="C134" s="37">
        <v>0</v>
      </c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0</v>
      </c>
      <c r="J134" s="37">
        <v>0</v>
      </c>
      <c r="K134" s="37">
        <v>0</v>
      </c>
      <c r="L134" s="37">
        <v>0</v>
      </c>
      <c r="M134" s="37">
        <v>0</v>
      </c>
      <c r="N134" s="37">
        <v>0</v>
      </c>
      <c r="O134" s="231">
        <f t="shared" si="18"/>
        <v>0</v>
      </c>
    </row>
    <row r="135" spans="2:15" s="9" customFormat="1" ht="15.75" x14ac:dyDescent="0.25">
      <c r="B135" s="12" t="s">
        <v>154</v>
      </c>
      <c r="C135" s="37">
        <v>0</v>
      </c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v>0</v>
      </c>
      <c r="N135" s="37">
        <v>0</v>
      </c>
      <c r="O135" s="231">
        <f t="shared" si="18"/>
        <v>0</v>
      </c>
    </row>
    <row r="136" spans="2:15" s="9" customFormat="1" ht="15.75" x14ac:dyDescent="0.25">
      <c r="B136" s="12" t="s">
        <v>155</v>
      </c>
      <c r="C136" s="37">
        <v>0</v>
      </c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0</v>
      </c>
      <c r="J136" s="37">
        <v>0</v>
      </c>
      <c r="K136" s="37">
        <v>0</v>
      </c>
      <c r="L136" s="37">
        <v>0</v>
      </c>
      <c r="M136" s="37">
        <v>0</v>
      </c>
      <c r="N136" s="37">
        <v>0</v>
      </c>
      <c r="O136" s="231">
        <f t="shared" si="18"/>
        <v>0</v>
      </c>
    </row>
    <row r="137" spans="2:15" s="9" customFormat="1" ht="15.75" x14ac:dyDescent="0.25">
      <c r="B137" s="12" t="s">
        <v>156</v>
      </c>
      <c r="C137" s="37">
        <v>0</v>
      </c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0</v>
      </c>
      <c r="J137" s="37">
        <v>0</v>
      </c>
      <c r="K137" s="37">
        <v>0</v>
      </c>
      <c r="L137" s="37">
        <v>0</v>
      </c>
      <c r="M137" s="37">
        <v>0</v>
      </c>
      <c r="N137" s="37">
        <v>0</v>
      </c>
      <c r="O137" s="231">
        <f t="shared" si="18"/>
        <v>0</v>
      </c>
    </row>
    <row r="138" spans="2:15" s="9" customFormat="1" ht="15.75" x14ac:dyDescent="0.25">
      <c r="C138" s="272"/>
      <c r="D138" s="272"/>
      <c r="E138" s="272"/>
      <c r="F138" s="272"/>
      <c r="G138" s="272"/>
      <c r="H138" s="272"/>
      <c r="I138" s="272"/>
      <c r="J138" s="272"/>
      <c r="K138" s="272"/>
      <c r="L138" s="272"/>
      <c r="M138" s="272"/>
      <c r="N138" s="272"/>
      <c r="O138" s="231">
        <f t="shared" si="18"/>
        <v>0</v>
      </c>
    </row>
    <row r="139" spans="2:15" s="9" customFormat="1" ht="15.75" x14ac:dyDescent="0.25">
      <c r="C139" s="272"/>
      <c r="D139" s="272"/>
      <c r="E139" s="272"/>
      <c r="F139" s="272"/>
      <c r="G139" s="272"/>
      <c r="H139" s="272"/>
      <c r="I139" s="272"/>
      <c r="J139" s="272"/>
      <c r="K139" s="272"/>
      <c r="L139" s="272"/>
      <c r="M139" s="272"/>
      <c r="N139" s="272"/>
      <c r="O139" s="17"/>
    </row>
    <row r="140" spans="2:15" s="9" customFormat="1" ht="15.75" x14ac:dyDescent="0.25">
      <c r="C140" s="272"/>
      <c r="D140" s="272"/>
      <c r="E140" s="272"/>
      <c r="F140" s="272"/>
      <c r="G140" s="272"/>
      <c r="H140" s="272"/>
      <c r="I140" s="272"/>
      <c r="J140" s="272"/>
      <c r="K140" s="272"/>
      <c r="L140" s="272"/>
      <c r="M140" s="272"/>
      <c r="N140" s="272"/>
      <c r="O140" s="17"/>
    </row>
    <row r="141" spans="2:15" s="9" customFormat="1" ht="15.75" x14ac:dyDescent="0.25">
      <c r="C141" s="272"/>
      <c r="D141" s="272"/>
      <c r="E141" s="272"/>
      <c r="F141" s="272"/>
      <c r="G141" s="272"/>
      <c r="H141" s="272"/>
      <c r="I141" s="272"/>
      <c r="J141" s="272"/>
      <c r="K141" s="272"/>
      <c r="L141" s="272"/>
      <c r="M141" s="272"/>
      <c r="N141" s="272"/>
      <c r="O141" s="17"/>
    </row>
    <row r="142" spans="2:15" s="9" customFormat="1" ht="15.75" x14ac:dyDescent="0.25"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17"/>
    </row>
    <row r="143" spans="2:15" s="9" customFormat="1" ht="15.75" x14ac:dyDescent="0.25"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17"/>
    </row>
    <row r="144" spans="2:15" s="9" customFormat="1" ht="15.75" x14ac:dyDescent="0.25">
      <c r="O144" s="17"/>
    </row>
    <row r="145" spans="15:15" s="9" customFormat="1" ht="15.75" x14ac:dyDescent="0.25">
      <c r="O145" s="17"/>
    </row>
    <row r="146" spans="15:15" s="9" customFormat="1" ht="15.75" x14ac:dyDescent="0.25">
      <c r="O146" s="17"/>
    </row>
    <row r="147" spans="15:15" s="9" customFormat="1" ht="15.75" x14ac:dyDescent="0.25">
      <c r="O147" s="17"/>
    </row>
    <row r="148" spans="15:15" s="9" customFormat="1" ht="15.75" x14ac:dyDescent="0.25">
      <c r="O148" s="17"/>
    </row>
    <row r="149" spans="15:15" s="9" customFormat="1" ht="15.75" x14ac:dyDescent="0.25">
      <c r="O149" s="17"/>
    </row>
    <row r="150" spans="15:15" s="9" customFormat="1" ht="15.75" x14ac:dyDescent="0.25">
      <c r="O150" s="17"/>
    </row>
    <row r="151" spans="15:15" s="9" customFormat="1" ht="15.75" x14ac:dyDescent="0.25">
      <c r="O151" s="17"/>
    </row>
    <row r="152" spans="15:15" s="9" customFormat="1" ht="15.75" x14ac:dyDescent="0.25">
      <c r="O152" s="17"/>
    </row>
    <row r="153" spans="15:15" s="9" customFormat="1" ht="15.75" x14ac:dyDescent="0.25">
      <c r="O153" s="17"/>
    </row>
    <row r="154" spans="15:15" s="9" customFormat="1" ht="15.75" x14ac:dyDescent="0.25">
      <c r="O154" s="17"/>
    </row>
    <row r="155" spans="15:15" s="9" customFormat="1" ht="15.75" x14ac:dyDescent="0.25">
      <c r="O155" s="17"/>
    </row>
    <row r="156" spans="15:15" s="9" customFormat="1" ht="15.75" x14ac:dyDescent="0.25">
      <c r="O156" s="17"/>
    </row>
    <row r="157" spans="15:15" s="9" customFormat="1" ht="15.75" x14ac:dyDescent="0.25">
      <c r="O157" s="17"/>
    </row>
    <row r="158" spans="15:15" s="9" customFormat="1" ht="15.75" x14ac:dyDescent="0.25">
      <c r="O158" s="17"/>
    </row>
    <row r="159" spans="15:15" s="9" customFormat="1" ht="15.75" x14ac:dyDescent="0.25">
      <c r="O159" s="17"/>
    </row>
    <row r="160" spans="15:15" s="9" customFormat="1" ht="15.75" x14ac:dyDescent="0.25">
      <c r="O160" s="17"/>
    </row>
    <row r="161" spans="15:15" s="9" customFormat="1" ht="15.75" x14ac:dyDescent="0.25">
      <c r="O161" s="17"/>
    </row>
    <row r="162" spans="15:15" s="9" customFormat="1" ht="15.75" x14ac:dyDescent="0.25">
      <c r="O162" s="17"/>
    </row>
    <row r="163" spans="15:15" s="9" customFormat="1" ht="15.75" x14ac:dyDescent="0.25">
      <c r="O163" s="17"/>
    </row>
    <row r="164" spans="15:15" s="9" customFormat="1" ht="15.75" x14ac:dyDescent="0.25">
      <c r="O164" s="17"/>
    </row>
    <row r="165" spans="15:15" s="9" customFormat="1" ht="15.75" x14ac:dyDescent="0.25">
      <c r="O165" s="17"/>
    </row>
  </sheetData>
  <sheetProtection formatCells="0" formatColumns="0" formatRows="0" insertColumns="0" insertRows="0" insertHyperlinks="0" deleteColumns="0" deleteRows="0" sort="0" autoFilter="0" pivotTables="0"/>
  <mergeCells count="2">
    <mergeCell ref="C1:O1"/>
    <mergeCell ref="A2:B2"/>
  </mergeCells>
  <pageMargins left="0" right="0" top="0.75" bottom="0.75" header="0.3" footer="0.3"/>
  <pageSetup paperSize="9" scale="41" fitToHeight="0" orientation="landscape" r:id="rId1"/>
  <headerFooter>
    <oddFooter>&amp;L&amp;Bfinancas - previsto x realizad&amp;RPágina &amp;P de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F85D-C544-4D06-9C50-F74B4F6BACF2}">
  <sheetPr>
    <tabColor theme="9" tint="0.39997558519241921"/>
    <pageSetUpPr fitToPage="1"/>
  </sheetPr>
  <dimension ref="A1:O165"/>
  <sheetViews>
    <sheetView showGridLines="0" tabSelected="1" zoomScale="55" zoomScaleNormal="55" workbookViewId="0">
      <pane xSplit="2" ySplit="3" topLeftCell="C31" activePane="bottomRight" state="frozen"/>
      <selection pane="topRight"/>
      <selection pane="bottomLeft"/>
      <selection pane="bottomRight" activeCell="J47" sqref="C47:J47"/>
    </sheetView>
  </sheetViews>
  <sheetFormatPr defaultRowHeight="15" customHeight="1" x14ac:dyDescent="0.25"/>
  <cols>
    <col min="1" max="1" width="6.42578125" customWidth="1"/>
    <col min="2" max="2" width="40.85546875" bestFit="1" customWidth="1"/>
    <col min="3" max="3" width="21.5703125" bestFit="1" customWidth="1"/>
    <col min="4" max="5" width="22.7109375" bestFit="1" customWidth="1"/>
    <col min="6" max="8" width="23.28515625" bestFit="1" customWidth="1"/>
    <col min="9" max="9" width="22.7109375" bestFit="1" customWidth="1"/>
    <col min="10" max="12" width="23.28515625" bestFit="1" customWidth="1"/>
    <col min="13" max="14" width="22.7109375" bestFit="1" customWidth="1"/>
    <col min="15" max="15" width="24.85546875" style="1" bestFit="1" customWidth="1"/>
  </cols>
  <sheetData>
    <row r="1" spans="1:15" ht="68.25" customHeight="1" x14ac:dyDescent="0.25">
      <c r="C1" s="286" t="s">
        <v>259</v>
      </c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5" ht="24.95" customHeight="1" x14ac:dyDescent="0.25">
      <c r="A2" s="287" t="s">
        <v>246</v>
      </c>
      <c r="B2" s="287"/>
      <c r="C2" s="273" t="s">
        <v>260</v>
      </c>
      <c r="D2" s="184">
        <f>D47/$O$47</f>
        <v>8.7459634015069967E-2</v>
      </c>
      <c r="E2" s="184">
        <f>E47/$O$47</f>
        <v>8.5306781485468247E-2</v>
      </c>
      <c r="F2" s="184">
        <f t="shared" ref="F2:N2" si="0">F47/$O$47</f>
        <v>8.3153928955866527E-2</v>
      </c>
      <c r="G2" s="184">
        <f t="shared" si="0"/>
        <v>8.2615715823466093E-2</v>
      </c>
      <c r="H2" s="184">
        <f t="shared" si="0"/>
        <v>8.207750269106566E-2</v>
      </c>
      <c r="I2" s="184">
        <f t="shared" si="0"/>
        <v>8.7997847147470401E-2</v>
      </c>
      <c r="J2" s="184">
        <f t="shared" si="0"/>
        <v>8.4768568353067814E-2</v>
      </c>
      <c r="K2" s="184">
        <f t="shared" si="0"/>
        <v>8.207750269106566E-2</v>
      </c>
      <c r="L2" s="184">
        <f t="shared" si="0"/>
        <v>8.207750269106566E-2</v>
      </c>
      <c r="M2" s="184">
        <f t="shared" si="0"/>
        <v>8.207750269106566E-2</v>
      </c>
      <c r="N2" s="184">
        <f t="shared" si="0"/>
        <v>8.207750269106566E-2</v>
      </c>
    </row>
    <row r="3" spans="1:15" ht="22.5" x14ac:dyDescent="0.25">
      <c r="B3" s="2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4" t="s">
        <v>5</v>
      </c>
    </row>
    <row r="4" spans="1:15" ht="22.5" x14ac:dyDescent="0.25">
      <c r="B4" s="31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2"/>
    </row>
    <row r="5" spans="1:15" ht="19.5" x14ac:dyDescent="0.25">
      <c r="B5" s="33" t="s">
        <v>29</v>
      </c>
      <c r="C5" s="243">
        <f>C6</f>
        <v>-7275</v>
      </c>
      <c r="D5" s="243">
        <f t="shared" ref="D5:N5" si="1">C5+D6</f>
        <v>-15400</v>
      </c>
      <c r="E5" s="243">
        <f t="shared" si="1"/>
        <v>-23325</v>
      </c>
      <c r="F5" s="243">
        <f t="shared" si="1"/>
        <v>-31050</v>
      </c>
      <c r="G5" s="243">
        <f t="shared" si="1"/>
        <v>-38725</v>
      </c>
      <c r="H5" s="243">
        <f t="shared" si="1"/>
        <v>-46350</v>
      </c>
      <c r="I5" s="243">
        <f t="shared" si="1"/>
        <v>-54525</v>
      </c>
      <c r="J5" s="243">
        <f t="shared" si="1"/>
        <v>-62400</v>
      </c>
      <c r="K5" s="243">
        <f t="shared" si="1"/>
        <v>-70025</v>
      </c>
      <c r="L5" s="243">
        <f t="shared" si="1"/>
        <v>-77650</v>
      </c>
      <c r="M5" s="243">
        <f t="shared" si="1"/>
        <v>-85275</v>
      </c>
      <c r="N5" s="243">
        <f t="shared" si="1"/>
        <v>-92900</v>
      </c>
      <c r="O5" s="245"/>
    </row>
    <row r="6" spans="1:15" ht="19.5" x14ac:dyDescent="0.25">
      <c r="B6" s="33" t="s">
        <v>30</v>
      </c>
      <c r="C6" s="243">
        <f t="shared" ref="C6:N6" si="2">SUM(C8-C47)</f>
        <v>-7275</v>
      </c>
      <c r="D6" s="243">
        <f t="shared" si="2"/>
        <v>-8125</v>
      </c>
      <c r="E6" s="243">
        <f t="shared" si="2"/>
        <v>-7925</v>
      </c>
      <c r="F6" s="243">
        <f t="shared" si="2"/>
        <v>-7725</v>
      </c>
      <c r="G6" s="243">
        <f t="shared" si="2"/>
        <v>-7675</v>
      </c>
      <c r="H6" s="243">
        <f t="shared" si="2"/>
        <v>-7625</v>
      </c>
      <c r="I6" s="243">
        <f t="shared" si="2"/>
        <v>-8175</v>
      </c>
      <c r="J6" s="243">
        <f t="shared" si="2"/>
        <v>-7875</v>
      </c>
      <c r="K6" s="243">
        <f t="shared" si="2"/>
        <v>-7625</v>
      </c>
      <c r="L6" s="243">
        <f t="shared" si="2"/>
        <v>-7625</v>
      </c>
      <c r="M6" s="243">
        <f t="shared" si="2"/>
        <v>-7625</v>
      </c>
      <c r="N6" s="243">
        <f t="shared" si="2"/>
        <v>-7625</v>
      </c>
      <c r="O6" s="245">
        <f>SUM(C6:N6)</f>
        <v>-92900</v>
      </c>
    </row>
    <row r="7" spans="1:15" ht="22.5" x14ac:dyDescent="0.25">
      <c r="B7" s="31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46"/>
    </row>
    <row r="8" spans="1:15" s="9" customFormat="1" ht="19.5" x14ac:dyDescent="0.25">
      <c r="B8" s="18" t="s">
        <v>31</v>
      </c>
      <c r="C8" s="49">
        <f>SUM(C9,C16,C22,C28,C33,C37,C40,C43)</f>
        <v>0</v>
      </c>
      <c r="D8" s="49">
        <f t="shared" ref="D8:N8" si="3">SUM(D9,D16,D22,D28,D33,D37,D40,D43)</f>
        <v>0</v>
      </c>
      <c r="E8" s="49">
        <f t="shared" si="3"/>
        <v>0</v>
      </c>
      <c r="F8" s="49">
        <f t="shared" si="3"/>
        <v>0</v>
      </c>
      <c r="G8" s="49">
        <f t="shared" si="3"/>
        <v>0</v>
      </c>
      <c r="H8" s="49">
        <f t="shared" si="3"/>
        <v>0</v>
      </c>
      <c r="I8" s="49">
        <f t="shared" si="3"/>
        <v>0</v>
      </c>
      <c r="J8" s="49">
        <f t="shared" si="3"/>
        <v>0</v>
      </c>
      <c r="K8" s="49">
        <f t="shared" si="3"/>
        <v>0</v>
      </c>
      <c r="L8" s="49">
        <f t="shared" si="3"/>
        <v>0</v>
      </c>
      <c r="M8" s="49">
        <f t="shared" si="3"/>
        <v>0</v>
      </c>
      <c r="N8" s="49">
        <f t="shared" si="3"/>
        <v>0</v>
      </c>
      <c r="O8" s="50">
        <f>SUM(C8:N8)</f>
        <v>0</v>
      </c>
    </row>
    <row r="9" spans="1:15" s="42" customFormat="1" ht="19.5" hidden="1" x14ac:dyDescent="0.4">
      <c r="B9" s="10" t="s">
        <v>32</v>
      </c>
      <c r="C9" s="40">
        <f>SUM(C10:C15)</f>
        <v>0</v>
      </c>
      <c r="D9" s="40">
        <f>SUM(D10:D15)</f>
        <v>0</v>
      </c>
      <c r="E9" s="40">
        <f>SUM(E10:E15)</f>
        <v>0</v>
      </c>
      <c r="F9" s="40">
        <f t="shared" ref="F9:N9" si="4">SUM(F10:F15)</f>
        <v>0</v>
      </c>
      <c r="G9" s="40">
        <f>SUM(G10:G15)</f>
        <v>0</v>
      </c>
      <c r="H9" s="40">
        <f t="shared" si="4"/>
        <v>0</v>
      </c>
      <c r="I9" s="40">
        <f t="shared" si="4"/>
        <v>0</v>
      </c>
      <c r="J9" s="40">
        <f t="shared" si="4"/>
        <v>0</v>
      </c>
      <c r="K9" s="40">
        <f t="shared" si="4"/>
        <v>0</v>
      </c>
      <c r="L9" s="40">
        <f t="shared" si="4"/>
        <v>0</v>
      </c>
      <c r="M9" s="40">
        <f t="shared" si="4"/>
        <v>0</v>
      </c>
      <c r="N9" s="40">
        <f t="shared" si="4"/>
        <v>0</v>
      </c>
      <c r="O9" s="41">
        <f>SUM(C9:N9)</f>
        <v>0</v>
      </c>
    </row>
    <row r="10" spans="1:15" s="9" customFormat="1" ht="15.75" hidden="1" x14ac:dyDescent="0.25">
      <c r="B10" s="36" t="s">
        <v>33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5">
        <f t="shared" ref="O10:O73" si="5">SUM(C10:N10)</f>
        <v>0</v>
      </c>
    </row>
    <row r="11" spans="1:15" s="9" customFormat="1" ht="15.75" hidden="1" x14ac:dyDescent="0.25">
      <c r="B11" s="36" t="s">
        <v>34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5">
        <f t="shared" si="5"/>
        <v>0</v>
      </c>
    </row>
    <row r="12" spans="1:15" s="9" customFormat="1" ht="15.75" hidden="1" x14ac:dyDescent="0.25">
      <c r="B12" s="36" t="s">
        <v>35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5">
        <f t="shared" si="5"/>
        <v>0</v>
      </c>
    </row>
    <row r="13" spans="1:15" s="9" customFormat="1" ht="15.75" hidden="1" x14ac:dyDescent="0.25">
      <c r="B13" s="36" t="s">
        <v>36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5">
        <f t="shared" si="5"/>
        <v>0</v>
      </c>
    </row>
    <row r="14" spans="1:15" s="9" customFormat="1" ht="15.75" hidden="1" x14ac:dyDescent="0.25">
      <c r="B14" s="36" t="s">
        <v>37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5">
        <f t="shared" si="5"/>
        <v>0</v>
      </c>
    </row>
    <row r="15" spans="1:15" s="9" customFormat="1" ht="15.75" hidden="1" x14ac:dyDescent="0.25">
      <c r="B15" s="36" t="s">
        <v>38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5">
        <f t="shared" si="5"/>
        <v>0</v>
      </c>
    </row>
    <row r="16" spans="1:15" s="42" customFormat="1" ht="19.5" hidden="1" x14ac:dyDescent="0.4">
      <c r="B16" s="10" t="s">
        <v>39</v>
      </c>
      <c r="C16" s="40">
        <f>SUM(C17:C21)</f>
        <v>0</v>
      </c>
      <c r="D16" s="40">
        <f>SUM(D17:D21)</f>
        <v>0</v>
      </c>
      <c r="E16" s="40">
        <f t="shared" ref="E16:L16" si="6">SUM(E17:E21)</f>
        <v>0</v>
      </c>
      <c r="F16" s="40">
        <f t="shared" si="6"/>
        <v>0</v>
      </c>
      <c r="G16" s="40">
        <f>SUM(G17:G21)</f>
        <v>0</v>
      </c>
      <c r="H16" s="40">
        <f t="shared" si="6"/>
        <v>0</v>
      </c>
      <c r="I16" s="40">
        <f t="shared" si="6"/>
        <v>0</v>
      </c>
      <c r="J16" s="40">
        <f t="shared" si="6"/>
        <v>0</v>
      </c>
      <c r="K16" s="40">
        <f t="shared" si="6"/>
        <v>0</v>
      </c>
      <c r="L16" s="40">
        <f t="shared" si="6"/>
        <v>0</v>
      </c>
      <c r="M16" s="40">
        <f>SUM(M17:M21)</f>
        <v>0</v>
      </c>
      <c r="N16" s="40">
        <f>SUM(N17:N21)</f>
        <v>0</v>
      </c>
      <c r="O16" s="41">
        <f>SUM(C16:N16)</f>
        <v>0</v>
      </c>
    </row>
    <row r="17" spans="2:15" s="9" customFormat="1" ht="15.75" hidden="1" x14ac:dyDescent="0.25">
      <c r="B17" s="36" t="s">
        <v>40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5">
        <f t="shared" si="5"/>
        <v>0</v>
      </c>
    </row>
    <row r="18" spans="2:15" s="9" customFormat="1" ht="15.75" hidden="1" x14ac:dyDescent="0.25">
      <c r="B18" s="36" t="s">
        <v>41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5">
        <f t="shared" si="5"/>
        <v>0</v>
      </c>
    </row>
    <row r="19" spans="2:15" s="9" customFormat="1" ht="15.75" hidden="1" x14ac:dyDescent="0.25">
      <c r="B19" s="36" t="s">
        <v>42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5">
        <f t="shared" si="5"/>
        <v>0</v>
      </c>
    </row>
    <row r="20" spans="2:15" s="9" customFormat="1" ht="15.75" hidden="1" x14ac:dyDescent="0.25">
      <c r="B20" s="36" t="s">
        <v>43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5">
        <f t="shared" si="5"/>
        <v>0</v>
      </c>
    </row>
    <row r="21" spans="2:15" s="9" customFormat="1" ht="15.75" hidden="1" x14ac:dyDescent="0.25">
      <c r="B21" s="36" t="s">
        <v>44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5">
        <f t="shared" si="5"/>
        <v>0</v>
      </c>
    </row>
    <row r="22" spans="2:15" s="42" customFormat="1" ht="19.5" x14ac:dyDescent="0.4">
      <c r="B22" s="10" t="s">
        <v>45</v>
      </c>
      <c r="C22" s="40">
        <f>SUM(C23:C27)</f>
        <v>0</v>
      </c>
      <c r="D22" s="40">
        <f t="shared" ref="D22:N22" si="7">SUM(D23:D27)</f>
        <v>0</v>
      </c>
      <c r="E22" s="40">
        <f t="shared" si="7"/>
        <v>0</v>
      </c>
      <c r="F22" s="40">
        <f t="shared" si="7"/>
        <v>0</v>
      </c>
      <c r="G22" s="40">
        <f t="shared" si="7"/>
        <v>0</v>
      </c>
      <c r="H22" s="40">
        <f t="shared" si="7"/>
        <v>0</v>
      </c>
      <c r="I22" s="40">
        <f t="shared" si="7"/>
        <v>0</v>
      </c>
      <c r="J22" s="40">
        <f t="shared" si="7"/>
        <v>0</v>
      </c>
      <c r="K22" s="40">
        <f t="shared" si="7"/>
        <v>0</v>
      </c>
      <c r="L22" s="40">
        <f t="shared" si="7"/>
        <v>0</v>
      </c>
      <c r="M22" s="40">
        <f t="shared" si="7"/>
        <v>0</v>
      </c>
      <c r="N22" s="40">
        <f t="shared" si="7"/>
        <v>0</v>
      </c>
      <c r="O22" s="41">
        <f t="shared" si="5"/>
        <v>0</v>
      </c>
    </row>
    <row r="23" spans="2:15" s="9" customFormat="1" ht="15.75" x14ac:dyDescent="0.25">
      <c r="B23" s="12" t="s">
        <v>46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5">
        <f t="shared" si="5"/>
        <v>0</v>
      </c>
    </row>
    <row r="24" spans="2:15" s="9" customFormat="1" ht="15.75" x14ac:dyDescent="0.25">
      <c r="B24" s="12" t="s">
        <v>47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5">
        <f t="shared" si="5"/>
        <v>0</v>
      </c>
    </row>
    <row r="25" spans="2:15" s="9" customFormat="1" ht="15.75" x14ac:dyDescent="0.25">
      <c r="B25" s="12" t="s">
        <v>48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5">
        <f t="shared" si="5"/>
        <v>0</v>
      </c>
    </row>
    <row r="26" spans="2:15" s="9" customFormat="1" ht="15.75" x14ac:dyDescent="0.25">
      <c r="B26" s="12" t="s">
        <v>49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5">
        <f t="shared" si="5"/>
        <v>0</v>
      </c>
    </row>
    <row r="27" spans="2:15" s="9" customFormat="1" ht="15.75" x14ac:dyDescent="0.25">
      <c r="B27" s="12" t="s">
        <v>50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5">
        <f t="shared" si="5"/>
        <v>0</v>
      </c>
    </row>
    <row r="28" spans="2:15" s="42" customFormat="1" ht="19.5" x14ac:dyDescent="0.4">
      <c r="B28" s="10" t="s">
        <v>51</v>
      </c>
      <c r="C28" s="40">
        <f>SUM(C29:C32)</f>
        <v>0</v>
      </c>
      <c r="D28" s="40">
        <f t="shared" ref="D28:N28" si="8">SUM(D29:D32)</f>
        <v>0</v>
      </c>
      <c r="E28" s="40">
        <f t="shared" si="8"/>
        <v>0</v>
      </c>
      <c r="F28" s="40">
        <f t="shared" si="8"/>
        <v>0</v>
      </c>
      <c r="G28" s="40">
        <f t="shared" si="8"/>
        <v>0</v>
      </c>
      <c r="H28" s="40">
        <f t="shared" si="8"/>
        <v>0</v>
      </c>
      <c r="I28" s="40">
        <f t="shared" si="8"/>
        <v>0</v>
      </c>
      <c r="J28" s="40">
        <f t="shared" si="8"/>
        <v>0</v>
      </c>
      <c r="K28" s="40">
        <f t="shared" si="8"/>
        <v>0</v>
      </c>
      <c r="L28" s="40">
        <f t="shared" si="8"/>
        <v>0</v>
      </c>
      <c r="M28" s="40">
        <f t="shared" si="8"/>
        <v>0</v>
      </c>
      <c r="N28" s="40">
        <f t="shared" si="8"/>
        <v>0</v>
      </c>
      <c r="O28" s="41">
        <f>SUM(C28:N28)</f>
        <v>0</v>
      </c>
    </row>
    <row r="29" spans="2:15" s="9" customFormat="1" ht="15.75" x14ac:dyDescent="0.25">
      <c r="B29" s="12" t="s">
        <v>52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5">
        <f>SUM(C29:N29)</f>
        <v>0</v>
      </c>
    </row>
    <row r="30" spans="2:15" s="9" customFormat="1" ht="15.75" x14ac:dyDescent="0.25">
      <c r="B30" s="12" t="s">
        <v>53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5">
        <f t="shared" si="5"/>
        <v>0</v>
      </c>
    </row>
    <row r="31" spans="2:15" s="9" customFormat="1" ht="15.75" x14ac:dyDescent="0.25">
      <c r="B31" s="12" t="s">
        <v>54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5">
        <f t="shared" si="5"/>
        <v>0</v>
      </c>
    </row>
    <row r="32" spans="2:15" s="9" customFormat="1" ht="15.75" x14ac:dyDescent="0.25">
      <c r="B32" s="12" t="s">
        <v>55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5">
        <f t="shared" si="5"/>
        <v>0</v>
      </c>
    </row>
    <row r="33" spans="2:15" s="42" customFormat="1" ht="19.5" x14ac:dyDescent="0.4">
      <c r="B33" s="10" t="s">
        <v>56</v>
      </c>
      <c r="C33" s="40">
        <f>SUM(C34:C36)</f>
        <v>0</v>
      </c>
      <c r="D33" s="40">
        <f>SUM(D34:D36)</f>
        <v>0</v>
      </c>
      <c r="E33" s="40">
        <f>SUM(E34:E36)</f>
        <v>0</v>
      </c>
      <c r="F33" s="40">
        <f t="shared" ref="F33:N33" si="9">SUM(F34:F36)</f>
        <v>0</v>
      </c>
      <c r="G33" s="40">
        <f t="shared" si="9"/>
        <v>0</v>
      </c>
      <c r="H33" s="40">
        <f t="shared" si="9"/>
        <v>0</v>
      </c>
      <c r="I33" s="40">
        <f>SUM(I34:I36)</f>
        <v>0</v>
      </c>
      <c r="J33" s="40">
        <f t="shared" si="9"/>
        <v>0</v>
      </c>
      <c r="K33" s="40">
        <f t="shared" si="9"/>
        <v>0</v>
      </c>
      <c r="L33" s="40">
        <f t="shared" si="9"/>
        <v>0</v>
      </c>
      <c r="M33" s="40">
        <f t="shared" si="9"/>
        <v>0</v>
      </c>
      <c r="N33" s="40">
        <f t="shared" si="9"/>
        <v>0</v>
      </c>
      <c r="O33" s="41">
        <f t="shared" si="5"/>
        <v>0</v>
      </c>
    </row>
    <row r="34" spans="2:15" s="9" customFormat="1" ht="15.75" x14ac:dyDescent="0.25">
      <c r="B34" s="12" t="s">
        <v>57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5">
        <f t="shared" si="5"/>
        <v>0</v>
      </c>
    </row>
    <row r="35" spans="2:15" s="9" customFormat="1" ht="15.75" x14ac:dyDescent="0.25">
      <c r="B35" s="12" t="s">
        <v>58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5">
        <f t="shared" si="5"/>
        <v>0</v>
      </c>
    </row>
    <row r="36" spans="2:15" s="9" customFormat="1" ht="15.75" x14ac:dyDescent="0.25">
      <c r="B36" s="12" t="s">
        <v>59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5">
        <f t="shared" si="5"/>
        <v>0</v>
      </c>
    </row>
    <row r="37" spans="2:15" s="42" customFormat="1" ht="19.5" x14ac:dyDescent="0.4">
      <c r="B37" s="10" t="s">
        <v>60</v>
      </c>
      <c r="C37" s="40">
        <f>SUM(C38:C39)</f>
        <v>0</v>
      </c>
      <c r="D37" s="40">
        <f t="shared" ref="D37:N37" si="10">SUM(D38:D39)</f>
        <v>0</v>
      </c>
      <c r="E37" s="40">
        <f t="shared" si="10"/>
        <v>0</v>
      </c>
      <c r="F37" s="40">
        <f t="shared" si="10"/>
        <v>0</v>
      </c>
      <c r="G37" s="40">
        <f t="shared" si="10"/>
        <v>0</v>
      </c>
      <c r="H37" s="40">
        <f t="shared" si="10"/>
        <v>0</v>
      </c>
      <c r="I37" s="40">
        <f t="shared" si="10"/>
        <v>0</v>
      </c>
      <c r="J37" s="40">
        <f t="shared" si="10"/>
        <v>0</v>
      </c>
      <c r="K37" s="40">
        <f t="shared" si="10"/>
        <v>0</v>
      </c>
      <c r="L37" s="40">
        <f t="shared" si="10"/>
        <v>0</v>
      </c>
      <c r="M37" s="40">
        <f t="shared" si="10"/>
        <v>0</v>
      </c>
      <c r="N37" s="40">
        <f t="shared" si="10"/>
        <v>0</v>
      </c>
      <c r="O37" s="41">
        <f t="shared" si="5"/>
        <v>0</v>
      </c>
    </row>
    <row r="38" spans="2:15" s="9" customFormat="1" ht="15.75" x14ac:dyDescent="0.25">
      <c r="B38" s="12" t="s">
        <v>61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5">
        <f t="shared" si="5"/>
        <v>0</v>
      </c>
    </row>
    <row r="39" spans="2:15" s="9" customFormat="1" ht="15.75" x14ac:dyDescent="0.25">
      <c r="B39" s="12" t="s">
        <v>62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5">
        <f t="shared" si="5"/>
        <v>0</v>
      </c>
    </row>
    <row r="40" spans="2:15" s="42" customFormat="1" ht="19.5" x14ac:dyDescent="0.4">
      <c r="B40" s="10" t="s">
        <v>63</v>
      </c>
      <c r="C40" s="40">
        <f>SUM(C41:C42)</f>
        <v>0</v>
      </c>
      <c r="D40" s="40">
        <f t="shared" ref="D40:N40" si="11">SUM(D41:D42)</f>
        <v>0</v>
      </c>
      <c r="E40" s="40">
        <f t="shared" si="11"/>
        <v>0</v>
      </c>
      <c r="F40" s="40">
        <f t="shared" si="11"/>
        <v>0</v>
      </c>
      <c r="G40" s="40">
        <f t="shared" si="11"/>
        <v>0</v>
      </c>
      <c r="H40" s="40">
        <f t="shared" si="11"/>
        <v>0</v>
      </c>
      <c r="I40" s="40">
        <f t="shared" si="11"/>
        <v>0</v>
      </c>
      <c r="J40" s="40">
        <f t="shared" si="11"/>
        <v>0</v>
      </c>
      <c r="K40" s="40">
        <f t="shared" si="11"/>
        <v>0</v>
      </c>
      <c r="L40" s="40">
        <f t="shared" si="11"/>
        <v>0</v>
      </c>
      <c r="M40" s="40">
        <f t="shared" si="11"/>
        <v>0</v>
      </c>
      <c r="N40" s="40">
        <f t="shared" si="11"/>
        <v>0</v>
      </c>
      <c r="O40" s="41">
        <f t="shared" si="5"/>
        <v>0</v>
      </c>
    </row>
    <row r="41" spans="2:15" s="9" customFormat="1" ht="15.75" x14ac:dyDescent="0.25">
      <c r="B41" s="12" t="s">
        <v>64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5">
        <f t="shared" si="5"/>
        <v>0</v>
      </c>
    </row>
    <row r="42" spans="2:15" s="9" customFormat="1" ht="15.75" x14ac:dyDescent="0.25">
      <c r="B42" s="12" t="s">
        <v>65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5">
        <f t="shared" si="5"/>
        <v>0</v>
      </c>
    </row>
    <row r="43" spans="2:15" s="42" customFormat="1" ht="19.5" x14ac:dyDescent="0.4">
      <c r="B43" s="10" t="s">
        <v>66</v>
      </c>
      <c r="C43" s="40">
        <f t="shared" ref="C43:N43" si="12">SUM(C44:C46)</f>
        <v>0</v>
      </c>
      <c r="D43" s="40">
        <f t="shared" si="12"/>
        <v>0</v>
      </c>
      <c r="E43" s="40">
        <f t="shared" si="12"/>
        <v>0</v>
      </c>
      <c r="F43" s="40">
        <f t="shared" si="12"/>
        <v>0</v>
      </c>
      <c r="G43" s="40">
        <f t="shared" si="12"/>
        <v>0</v>
      </c>
      <c r="H43" s="40">
        <f t="shared" si="12"/>
        <v>0</v>
      </c>
      <c r="I43" s="40">
        <f t="shared" si="12"/>
        <v>0</v>
      </c>
      <c r="J43" s="40">
        <f t="shared" si="12"/>
        <v>0</v>
      </c>
      <c r="K43" s="40">
        <f t="shared" si="12"/>
        <v>0</v>
      </c>
      <c r="L43" s="40">
        <f t="shared" si="12"/>
        <v>0</v>
      </c>
      <c r="M43" s="40">
        <f t="shared" si="12"/>
        <v>0</v>
      </c>
      <c r="N43" s="40">
        <f t="shared" si="12"/>
        <v>0</v>
      </c>
      <c r="O43" s="41">
        <f t="shared" si="5"/>
        <v>0</v>
      </c>
    </row>
    <row r="44" spans="2:15" s="9" customFormat="1" ht="15.75" x14ac:dyDescent="0.25">
      <c r="B44" s="47" t="s">
        <v>247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5">
        <f t="shared" si="5"/>
        <v>0</v>
      </c>
    </row>
    <row r="45" spans="2:15" s="9" customFormat="1" ht="15.75" x14ac:dyDescent="0.25">
      <c r="B45" s="12" t="s">
        <v>68</v>
      </c>
      <c r="C45" s="37">
        <v>0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5">
        <f t="shared" si="5"/>
        <v>0</v>
      </c>
    </row>
    <row r="46" spans="2:15" s="9" customFormat="1" ht="15.75" x14ac:dyDescent="0.25">
      <c r="B46" s="12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5">
        <f t="shared" si="5"/>
        <v>0</v>
      </c>
    </row>
    <row r="47" spans="2:15" s="9" customFormat="1" ht="19.5" x14ac:dyDescent="0.25">
      <c r="B47" s="19" t="s">
        <v>69</v>
      </c>
      <c r="C47" s="48">
        <f t="shared" ref="C47:N47" si="13">SUM(C48,C50,C53,C75,C99,C105,C116,C120,C123,C126,C130,C133)</f>
        <v>7275</v>
      </c>
      <c r="D47" s="48">
        <f t="shared" si="13"/>
        <v>8125</v>
      </c>
      <c r="E47" s="48">
        <f t="shared" si="13"/>
        <v>7925</v>
      </c>
      <c r="F47" s="48">
        <f t="shared" si="13"/>
        <v>7725</v>
      </c>
      <c r="G47" s="48">
        <f t="shared" si="13"/>
        <v>7675</v>
      </c>
      <c r="H47" s="48">
        <f t="shared" si="13"/>
        <v>7625</v>
      </c>
      <c r="I47" s="48">
        <f t="shared" si="13"/>
        <v>8175</v>
      </c>
      <c r="J47" s="48">
        <f t="shared" si="13"/>
        <v>7875</v>
      </c>
      <c r="K47" s="48">
        <f t="shared" si="13"/>
        <v>7625</v>
      </c>
      <c r="L47" s="48">
        <f t="shared" si="13"/>
        <v>7625</v>
      </c>
      <c r="M47" s="48">
        <f t="shared" si="13"/>
        <v>7625</v>
      </c>
      <c r="N47" s="48">
        <f t="shared" si="13"/>
        <v>7625</v>
      </c>
      <c r="O47" s="6">
        <f t="shared" si="5"/>
        <v>92900</v>
      </c>
    </row>
    <row r="48" spans="2:15" s="42" customFormat="1" ht="19.5" x14ac:dyDescent="0.4">
      <c r="B48" s="15" t="s">
        <v>70</v>
      </c>
      <c r="C48" s="43">
        <f>SUM(C49)</f>
        <v>0</v>
      </c>
      <c r="D48" s="43">
        <f t="shared" ref="D48:N48" si="14">SUM(D49)</f>
        <v>0</v>
      </c>
      <c r="E48" s="43">
        <f t="shared" si="14"/>
        <v>0</v>
      </c>
      <c r="F48" s="43">
        <f t="shared" si="14"/>
        <v>0</v>
      </c>
      <c r="G48" s="43">
        <f t="shared" si="14"/>
        <v>0</v>
      </c>
      <c r="H48" s="43">
        <f t="shared" si="14"/>
        <v>0</v>
      </c>
      <c r="I48" s="43">
        <f t="shared" si="14"/>
        <v>0</v>
      </c>
      <c r="J48" s="43">
        <f t="shared" si="14"/>
        <v>0</v>
      </c>
      <c r="K48" s="43">
        <f t="shared" si="14"/>
        <v>0</v>
      </c>
      <c r="L48" s="43">
        <f t="shared" si="14"/>
        <v>0</v>
      </c>
      <c r="M48" s="43">
        <f t="shared" si="14"/>
        <v>0</v>
      </c>
      <c r="N48" s="43">
        <f t="shared" si="14"/>
        <v>0</v>
      </c>
      <c r="O48" s="44">
        <f t="shared" si="5"/>
        <v>0</v>
      </c>
    </row>
    <row r="49" spans="2:15" s="9" customFormat="1" ht="15.75" x14ac:dyDescent="0.25">
      <c r="B49" s="12" t="s">
        <v>71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5">
        <f t="shared" si="5"/>
        <v>0</v>
      </c>
    </row>
    <row r="50" spans="2:15" s="42" customFormat="1" ht="19.5" x14ac:dyDescent="0.4">
      <c r="B50" s="15" t="s">
        <v>72</v>
      </c>
      <c r="C50" s="43">
        <f t="shared" ref="C50:N50" si="15">SUM(C51:C52)</f>
        <v>0</v>
      </c>
      <c r="D50" s="43">
        <f t="shared" si="15"/>
        <v>0</v>
      </c>
      <c r="E50" s="43">
        <f t="shared" si="15"/>
        <v>0</v>
      </c>
      <c r="F50" s="43">
        <f t="shared" si="15"/>
        <v>0</v>
      </c>
      <c r="G50" s="43">
        <f t="shared" si="15"/>
        <v>0</v>
      </c>
      <c r="H50" s="43">
        <f t="shared" si="15"/>
        <v>0</v>
      </c>
      <c r="I50" s="43">
        <f t="shared" si="15"/>
        <v>0</v>
      </c>
      <c r="J50" s="43">
        <f t="shared" si="15"/>
        <v>0</v>
      </c>
      <c r="K50" s="43">
        <f t="shared" si="15"/>
        <v>0</v>
      </c>
      <c r="L50" s="43">
        <f t="shared" si="15"/>
        <v>0</v>
      </c>
      <c r="M50" s="43">
        <f t="shared" si="15"/>
        <v>0</v>
      </c>
      <c r="N50" s="43">
        <f t="shared" si="15"/>
        <v>0</v>
      </c>
      <c r="O50" s="44">
        <f t="shared" si="5"/>
        <v>0</v>
      </c>
    </row>
    <row r="51" spans="2:15" s="9" customFormat="1" ht="15.75" x14ac:dyDescent="0.25">
      <c r="B51" s="12" t="s">
        <v>73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5">
        <f t="shared" si="5"/>
        <v>0</v>
      </c>
    </row>
    <row r="52" spans="2:15" s="9" customFormat="1" ht="15.75" x14ac:dyDescent="0.25">
      <c r="B52" s="12" t="s">
        <v>74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5">
        <f t="shared" si="5"/>
        <v>0</v>
      </c>
    </row>
    <row r="53" spans="2:15" s="42" customFormat="1" ht="19.5" x14ac:dyDescent="0.4">
      <c r="B53" s="15" t="s">
        <v>75</v>
      </c>
      <c r="C53" s="43">
        <f>SUM(C54:C74)</f>
        <v>7200</v>
      </c>
      <c r="D53" s="43">
        <f t="shared" ref="D53:N53" si="16">SUM(D54:D74)</f>
        <v>7300</v>
      </c>
      <c r="E53" s="43">
        <f t="shared" si="16"/>
        <v>7300</v>
      </c>
      <c r="F53" s="43">
        <f t="shared" si="16"/>
        <v>7300</v>
      </c>
      <c r="G53" s="43">
        <f t="shared" si="16"/>
        <v>7300</v>
      </c>
      <c r="H53" s="43">
        <f t="shared" si="16"/>
        <v>7300</v>
      </c>
      <c r="I53" s="43">
        <f t="shared" si="16"/>
        <v>7300</v>
      </c>
      <c r="J53" s="43">
        <f t="shared" si="16"/>
        <v>7300</v>
      </c>
      <c r="K53" s="43">
        <f t="shared" si="16"/>
        <v>7300</v>
      </c>
      <c r="L53" s="43">
        <f t="shared" si="16"/>
        <v>7300</v>
      </c>
      <c r="M53" s="43">
        <f t="shared" si="16"/>
        <v>7300</v>
      </c>
      <c r="N53" s="43">
        <f t="shared" si="16"/>
        <v>7300</v>
      </c>
      <c r="O53" s="44">
        <f>SUM(C53:N53)</f>
        <v>87500</v>
      </c>
    </row>
    <row r="54" spans="2:15" s="9" customFormat="1" ht="15.75" x14ac:dyDescent="0.25">
      <c r="B54" s="12" t="s">
        <v>76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5">
        <f t="shared" si="5"/>
        <v>0</v>
      </c>
    </row>
    <row r="55" spans="2:15" s="9" customFormat="1" ht="15.75" x14ac:dyDescent="0.25">
      <c r="B55" s="12" t="s">
        <v>77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5">
        <f t="shared" si="5"/>
        <v>0</v>
      </c>
    </row>
    <row r="56" spans="2:15" s="9" customFormat="1" ht="15.75" x14ac:dyDescent="0.25">
      <c r="B56" s="12" t="s">
        <v>78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5">
        <f t="shared" si="5"/>
        <v>0</v>
      </c>
    </row>
    <row r="57" spans="2:15" s="9" customFormat="1" ht="15.75" x14ac:dyDescent="0.25">
      <c r="B57" s="12" t="s">
        <v>79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5">
        <f t="shared" si="5"/>
        <v>0</v>
      </c>
    </row>
    <row r="58" spans="2:15" s="9" customFormat="1" ht="15.75" x14ac:dyDescent="0.25">
      <c r="B58" s="12" t="s">
        <v>80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5">
        <f t="shared" si="5"/>
        <v>0</v>
      </c>
    </row>
    <row r="59" spans="2:15" s="9" customFormat="1" ht="15.75" x14ac:dyDescent="0.25">
      <c r="B59" s="12" t="s">
        <v>81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5">
        <f t="shared" si="5"/>
        <v>0</v>
      </c>
    </row>
    <row r="60" spans="2:15" s="9" customFormat="1" ht="15.75" x14ac:dyDescent="0.25">
      <c r="B60" s="12" t="s">
        <v>82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5">
        <f t="shared" si="5"/>
        <v>0</v>
      </c>
    </row>
    <row r="61" spans="2:15" s="9" customFormat="1" ht="15.75" x14ac:dyDescent="0.25">
      <c r="B61" s="12" t="s">
        <v>83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5">
        <f t="shared" si="5"/>
        <v>0</v>
      </c>
    </row>
    <row r="62" spans="2:15" s="9" customFormat="1" ht="15.75" x14ac:dyDescent="0.25">
      <c r="B62" s="12" t="s">
        <v>84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5">
        <f t="shared" si="5"/>
        <v>0</v>
      </c>
    </row>
    <row r="63" spans="2:15" s="9" customFormat="1" ht="15.75" x14ac:dyDescent="0.25">
      <c r="B63" s="12" t="s">
        <v>85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5">
        <f t="shared" si="5"/>
        <v>0</v>
      </c>
    </row>
    <row r="64" spans="2:15" s="9" customFormat="1" ht="15.75" x14ac:dyDescent="0.25">
      <c r="B64" s="12" t="s">
        <v>86</v>
      </c>
      <c r="C64" s="37">
        <v>400</v>
      </c>
      <c r="D64" s="37">
        <v>400</v>
      </c>
      <c r="E64" s="37">
        <v>400</v>
      </c>
      <c r="F64" s="37">
        <v>400</v>
      </c>
      <c r="G64" s="37">
        <v>400</v>
      </c>
      <c r="H64" s="37">
        <v>400</v>
      </c>
      <c r="I64" s="37">
        <v>400</v>
      </c>
      <c r="J64" s="37">
        <v>400</v>
      </c>
      <c r="K64" s="37">
        <v>400</v>
      </c>
      <c r="L64" s="37">
        <v>400</v>
      </c>
      <c r="M64" s="37">
        <v>400</v>
      </c>
      <c r="N64" s="37">
        <v>400</v>
      </c>
      <c r="O64" s="5">
        <f t="shared" si="5"/>
        <v>4800</v>
      </c>
    </row>
    <row r="65" spans="2:15" s="9" customFormat="1" ht="15.75" x14ac:dyDescent="0.25">
      <c r="B65" s="12" t="s">
        <v>87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5">
        <f t="shared" si="5"/>
        <v>0</v>
      </c>
    </row>
    <row r="66" spans="2:15" s="9" customFormat="1" ht="15.75" x14ac:dyDescent="0.25">
      <c r="B66" s="12" t="s">
        <v>88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5">
        <f t="shared" si="5"/>
        <v>0</v>
      </c>
    </row>
    <row r="67" spans="2:15" s="9" customFormat="1" ht="15.75" x14ac:dyDescent="0.25">
      <c r="B67" s="12" t="s">
        <v>89</v>
      </c>
      <c r="C67" s="37">
        <v>6800</v>
      </c>
      <c r="D67" s="37">
        <v>6800</v>
      </c>
      <c r="E67" s="37">
        <v>6800</v>
      </c>
      <c r="F67" s="37">
        <v>6800</v>
      </c>
      <c r="G67" s="37">
        <v>6800</v>
      </c>
      <c r="H67" s="37">
        <v>6800</v>
      </c>
      <c r="I67" s="37">
        <v>6800</v>
      </c>
      <c r="J67" s="37">
        <v>6800</v>
      </c>
      <c r="K67" s="37">
        <v>6800</v>
      </c>
      <c r="L67" s="37">
        <v>6800</v>
      </c>
      <c r="M67" s="37">
        <v>6800</v>
      </c>
      <c r="N67" s="37">
        <v>6800</v>
      </c>
      <c r="O67" s="5">
        <f t="shared" si="5"/>
        <v>81600</v>
      </c>
    </row>
    <row r="68" spans="2:15" s="9" customFormat="1" ht="15.75" x14ac:dyDescent="0.25">
      <c r="B68" s="12" t="s">
        <v>90</v>
      </c>
      <c r="C68" s="37">
        <v>0</v>
      </c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5">
        <f>SUM(C68:N68)</f>
        <v>0</v>
      </c>
    </row>
    <row r="69" spans="2:15" s="9" customFormat="1" ht="15.75" x14ac:dyDescent="0.25">
      <c r="B69" s="12" t="s">
        <v>91</v>
      </c>
      <c r="C69" s="37">
        <v>0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5">
        <f t="shared" si="5"/>
        <v>0</v>
      </c>
    </row>
    <row r="70" spans="2:15" s="9" customFormat="1" ht="15.75" x14ac:dyDescent="0.25">
      <c r="B70" s="12" t="s">
        <v>92</v>
      </c>
      <c r="C70" s="37">
        <v>0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5">
        <f t="shared" si="5"/>
        <v>0</v>
      </c>
    </row>
    <row r="71" spans="2:15" s="9" customFormat="1" ht="15.75" x14ac:dyDescent="0.25">
      <c r="B71" s="12" t="s">
        <v>93</v>
      </c>
      <c r="C71" s="37">
        <v>0</v>
      </c>
      <c r="D71" s="37">
        <v>0</v>
      </c>
      <c r="E71" s="37">
        <v>0</v>
      </c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5">
        <f t="shared" si="5"/>
        <v>0</v>
      </c>
    </row>
    <row r="72" spans="2:15" s="9" customFormat="1" ht="15.75" x14ac:dyDescent="0.25">
      <c r="B72" s="12" t="s">
        <v>94</v>
      </c>
      <c r="C72" s="37">
        <v>0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5">
        <f t="shared" si="5"/>
        <v>0</v>
      </c>
    </row>
    <row r="73" spans="2:15" s="9" customFormat="1" ht="15.75" x14ac:dyDescent="0.25">
      <c r="B73" s="12" t="s">
        <v>95</v>
      </c>
      <c r="C73" s="37">
        <v>0</v>
      </c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5">
        <f t="shared" si="5"/>
        <v>0</v>
      </c>
    </row>
    <row r="74" spans="2:15" s="9" customFormat="1" ht="15.75" x14ac:dyDescent="0.25">
      <c r="B74" s="12" t="s">
        <v>96</v>
      </c>
      <c r="C74" s="37">
        <v>0</v>
      </c>
      <c r="D74" s="37">
        <v>100</v>
      </c>
      <c r="E74" s="37">
        <v>100</v>
      </c>
      <c r="F74" s="37">
        <v>100</v>
      </c>
      <c r="G74" s="37">
        <v>100</v>
      </c>
      <c r="H74" s="37">
        <v>100</v>
      </c>
      <c r="I74" s="37">
        <v>100</v>
      </c>
      <c r="J74" s="37">
        <v>100</v>
      </c>
      <c r="K74" s="37">
        <v>100</v>
      </c>
      <c r="L74" s="37">
        <v>100</v>
      </c>
      <c r="M74" s="37">
        <v>100</v>
      </c>
      <c r="N74" s="37">
        <v>100</v>
      </c>
      <c r="O74" s="5">
        <f>SUM(C74:N74)</f>
        <v>1100</v>
      </c>
    </row>
    <row r="75" spans="2:15" s="9" customFormat="1" ht="19.5" x14ac:dyDescent="0.25">
      <c r="B75" s="15" t="s">
        <v>97</v>
      </c>
      <c r="C75" s="38">
        <f t="shared" ref="C75:N75" si="17">SUM(C76:C98)</f>
        <v>75</v>
      </c>
      <c r="D75" s="38">
        <f t="shared" si="17"/>
        <v>575</v>
      </c>
      <c r="E75" s="38">
        <f t="shared" si="17"/>
        <v>325</v>
      </c>
      <c r="F75" s="38">
        <f t="shared" si="17"/>
        <v>75</v>
      </c>
      <c r="G75" s="38">
        <f t="shared" si="17"/>
        <v>75</v>
      </c>
      <c r="H75" s="38">
        <f t="shared" si="17"/>
        <v>75</v>
      </c>
      <c r="I75" s="38">
        <f t="shared" si="17"/>
        <v>575</v>
      </c>
      <c r="J75" s="38">
        <f t="shared" si="17"/>
        <v>325</v>
      </c>
      <c r="K75" s="38">
        <f t="shared" si="17"/>
        <v>75</v>
      </c>
      <c r="L75" s="38">
        <f t="shared" si="17"/>
        <v>75</v>
      </c>
      <c r="M75" s="38">
        <f t="shared" si="17"/>
        <v>75</v>
      </c>
      <c r="N75" s="38">
        <f t="shared" si="17"/>
        <v>75</v>
      </c>
      <c r="O75" s="7">
        <f>SUM(C75:N75)</f>
        <v>2400</v>
      </c>
    </row>
    <row r="76" spans="2:15" s="9" customFormat="1" ht="15.75" x14ac:dyDescent="0.25">
      <c r="B76" s="12" t="s">
        <v>98</v>
      </c>
      <c r="C76" s="37">
        <v>0</v>
      </c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0</v>
      </c>
      <c r="J76" s="37">
        <v>0</v>
      </c>
      <c r="K76" s="37">
        <v>0</v>
      </c>
      <c r="L76" s="37">
        <v>0</v>
      </c>
      <c r="M76" s="37">
        <v>0</v>
      </c>
      <c r="N76" s="37">
        <v>0</v>
      </c>
      <c r="O76" s="5">
        <f t="shared" ref="O76:O138" si="18">SUM(C76:N76)</f>
        <v>0</v>
      </c>
    </row>
    <row r="77" spans="2:15" s="9" customFormat="1" ht="15.75" x14ac:dyDescent="0.25">
      <c r="B77" s="12" t="s">
        <v>99</v>
      </c>
      <c r="C77" s="37">
        <v>0</v>
      </c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5">
        <f t="shared" si="18"/>
        <v>0</v>
      </c>
    </row>
    <row r="78" spans="2:15" s="9" customFormat="1" ht="15.75" x14ac:dyDescent="0.25">
      <c r="B78" s="12" t="s">
        <v>100</v>
      </c>
      <c r="C78" s="37">
        <v>0</v>
      </c>
      <c r="D78" s="37">
        <v>0</v>
      </c>
      <c r="E78" s="37">
        <v>0</v>
      </c>
      <c r="F78" s="37">
        <v>0</v>
      </c>
      <c r="G78" s="37">
        <v>0</v>
      </c>
      <c r="H78" s="37">
        <v>0</v>
      </c>
      <c r="I78" s="37">
        <v>0</v>
      </c>
      <c r="J78" s="37">
        <v>0</v>
      </c>
      <c r="K78" s="37">
        <v>0</v>
      </c>
      <c r="L78" s="37">
        <v>0</v>
      </c>
      <c r="M78" s="37">
        <v>0</v>
      </c>
      <c r="N78" s="37">
        <v>0</v>
      </c>
      <c r="O78" s="5">
        <f t="shared" si="18"/>
        <v>0</v>
      </c>
    </row>
    <row r="79" spans="2:15" s="9" customFormat="1" ht="15.75" x14ac:dyDescent="0.25">
      <c r="B79" s="12" t="s">
        <v>101</v>
      </c>
      <c r="C79" s="37">
        <v>0</v>
      </c>
      <c r="D79" s="37">
        <v>0</v>
      </c>
      <c r="E79" s="37">
        <v>0</v>
      </c>
      <c r="F79" s="37">
        <v>0</v>
      </c>
      <c r="G79" s="37">
        <v>0</v>
      </c>
      <c r="H79" s="37">
        <v>0</v>
      </c>
      <c r="I79" s="37">
        <v>0</v>
      </c>
      <c r="J79" s="37">
        <v>0</v>
      </c>
      <c r="K79" s="37">
        <v>0</v>
      </c>
      <c r="L79" s="37">
        <v>0</v>
      </c>
      <c r="M79" s="37">
        <v>0</v>
      </c>
      <c r="N79" s="37">
        <v>0</v>
      </c>
      <c r="O79" s="5">
        <f t="shared" si="18"/>
        <v>0</v>
      </c>
    </row>
    <row r="80" spans="2:15" s="9" customFormat="1" ht="15.75" x14ac:dyDescent="0.25">
      <c r="B80" s="12" t="s">
        <v>102</v>
      </c>
      <c r="C80" s="37">
        <v>75</v>
      </c>
      <c r="D80" s="37">
        <v>75</v>
      </c>
      <c r="E80" s="37">
        <v>75</v>
      </c>
      <c r="F80" s="37">
        <v>75</v>
      </c>
      <c r="G80" s="37">
        <v>75</v>
      </c>
      <c r="H80" s="37">
        <v>75</v>
      </c>
      <c r="I80" s="37">
        <v>75</v>
      </c>
      <c r="J80" s="37">
        <v>75</v>
      </c>
      <c r="K80" s="37">
        <v>75</v>
      </c>
      <c r="L80" s="37">
        <v>75</v>
      </c>
      <c r="M80" s="37">
        <v>75</v>
      </c>
      <c r="N80" s="37">
        <v>75</v>
      </c>
      <c r="O80" s="5">
        <f t="shared" si="18"/>
        <v>900</v>
      </c>
    </row>
    <row r="81" spans="2:15" s="9" customFormat="1" ht="15.75" x14ac:dyDescent="0.25">
      <c r="B81" s="12" t="s">
        <v>103</v>
      </c>
      <c r="C81" s="37">
        <v>0</v>
      </c>
      <c r="D81" s="37">
        <v>0</v>
      </c>
      <c r="E81" s="37">
        <v>0</v>
      </c>
      <c r="F81" s="37">
        <v>0</v>
      </c>
      <c r="G81" s="37">
        <v>0</v>
      </c>
      <c r="H81" s="37">
        <v>0</v>
      </c>
      <c r="I81" s="37">
        <v>0</v>
      </c>
      <c r="J81" s="37">
        <v>0</v>
      </c>
      <c r="K81" s="37">
        <v>0</v>
      </c>
      <c r="L81" s="37">
        <v>0</v>
      </c>
      <c r="M81" s="37">
        <v>0</v>
      </c>
      <c r="N81" s="37">
        <v>0</v>
      </c>
      <c r="O81" s="5">
        <f t="shared" si="18"/>
        <v>0</v>
      </c>
    </row>
    <row r="82" spans="2:15" s="9" customFormat="1" ht="15.75" x14ac:dyDescent="0.25">
      <c r="B82" s="12" t="s">
        <v>104</v>
      </c>
      <c r="C82" s="37">
        <v>0</v>
      </c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0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5">
        <f t="shared" si="18"/>
        <v>0</v>
      </c>
    </row>
    <row r="83" spans="2:15" s="9" customFormat="1" ht="15.75" x14ac:dyDescent="0.25">
      <c r="B83" s="12" t="s">
        <v>105</v>
      </c>
      <c r="C83" s="37">
        <v>0</v>
      </c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0</v>
      </c>
      <c r="J83" s="37">
        <v>0</v>
      </c>
      <c r="K83" s="37">
        <v>0</v>
      </c>
      <c r="L83" s="37">
        <v>0</v>
      </c>
      <c r="M83" s="37">
        <v>0</v>
      </c>
      <c r="N83" s="37">
        <v>0</v>
      </c>
      <c r="O83" s="5">
        <f t="shared" si="18"/>
        <v>0</v>
      </c>
    </row>
    <row r="84" spans="2:15" s="9" customFormat="1" ht="15.75" x14ac:dyDescent="0.25">
      <c r="B84" s="12" t="s">
        <v>106</v>
      </c>
      <c r="C84" s="37">
        <v>0</v>
      </c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0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5">
        <f t="shared" si="18"/>
        <v>0</v>
      </c>
    </row>
    <row r="85" spans="2:15" s="9" customFormat="1" ht="15.75" x14ac:dyDescent="0.25">
      <c r="B85" s="12" t="s">
        <v>107</v>
      </c>
      <c r="C85" s="37">
        <v>0</v>
      </c>
      <c r="D85" s="37">
        <v>0</v>
      </c>
      <c r="E85" s="37">
        <v>0</v>
      </c>
      <c r="F85" s="37">
        <v>0</v>
      </c>
      <c r="G85" s="37">
        <v>0</v>
      </c>
      <c r="H85" s="37">
        <v>0</v>
      </c>
      <c r="I85" s="37">
        <v>0</v>
      </c>
      <c r="J85" s="37">
        <v>0</v>
      </c>
      <c r="K85" s="37">
        <v>0</v>
      </c>
      <c r="L85" s="37">
        <v>0</v>
      </c>
      <c r="M85" s="37">
        <v>0</v>
      </c>
      <c r="N85" s="37">
        <v>0</v>
      </c>
      <c r="O85" s="5">
        <f t="shared" si="18"/>
        <v>0</v>
      </c>
    </row>
    <row r="86" spans="2:15" s="9" customFormat="1" ht="15.75" x14ac:dyDescent="0.25">
      <c r="B86" s="12" t="s">
        <v>108</v>
      </c>
      <c r="C86" s="37">
        <v>0</v>
      </c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5">
        <f t="shared" si="18"/>
        <v>0</v>
      </c>
    </row>
    <row r="87" spans="2:15" s="9" customFormat="1" ht="15.75" x14ac:dyDescent="0.25">
      <c r="B87" s="12" t="s">
        <v>109</v>
      </c>
      <c r="C87" s="37">
        <v>0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5">
        <f t="shared" si="18"/>
        <v>0</v>
      </c>
    </row>
    <row r="88" spans="2:15" s="9" customFormat="1" ht="15.75" x14ac:dyDescent="0.25">
      <c r="B88" s="12" t="s">
        <v>110</v>
      </c>
      <c r="C88" s="37">
        <v>0</v>
      </c>
      <c r="D88" s="37">
        <v>0</v>
      </c>
      <c r="E88" s="37">
        <v>0</v>
      </c>
      <c r="F88" s="37">
        <v>0</v>
      </c>
      <c r="G88" s="37">
        <v>0</v>
      </c>
      <c r="H88" s="37">
        <v>0</v>
      </c>
      <c r="I88" s="37">
        <v>0</v>
      </c>
      <c r="J88" s="37">
        <v>0</v>
      </c>
      <c r="K88" s="37">
        <v>0</v>
      </c>
      <c r="L88" s="37">
        <v>0</v>
      </c>
      <c r="M88" s="37">
        <v>0</v>
      </c>
      <c r="N88" s="37">
        <v>0</v>
      </c>
      <c r="O88" s="5">
        <f t="shared" si="18"/>
        <v>0</v>
      </c>
    </row>
    <row r="89" spans="2:15" s="9" customFormat="1" ht="15.75" x14ac:dyDescent="0.25">
      <c r="B89" s="12" t="s">
        <v>111</v>
      </c>
      <c r="C89" s="37">
        <v>0</v>
      </c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0</v>
      </c>
      <c r="J89" s="37">
        <v>0</v>
      </c>
      <c r="K89" s="37">
        <v>0</v>
      </c>
      <c r="L89" s="37">
        <v>0</v>
      </c>
      <c r="M89" s="37">
        <v>0</v>
      </c>
      <c r="N89" s="37">
        <v>0</v>
      </c>
      <c r="O89" s="5">
        <f t="shared" si="18"/>
        <v>0</v>
      </c>
    </row>
    <row r="90" spans="2:15" s="9" customFormat="1" ht="15.75" x14ac:dyDescent="0.25">
      <c r="B90" s="12" t="s">
        <v>112</v>
      </c>
      <c r="C90" s="37">
        <v>0</v>
      </c>
      <c r="D90" s="37">
        <v>0</v>
      </c>
      <c r="E90" s="37">
        <v>0</v>
      </c>
      <c r="F90" s="37">
        <v>0</v>
      </c>
      <c r="G90" s="37">
        <v>0</v>
      </c>
      <c r="H90" s="37">
        <v>0</v>
      </c>
      <c r="I90" s="37">
        <v>0</v>
      </c>
      <c r="J90" s="37">
        <v>0</v>
      </c>
      <c r="K90" s="37">
        <v>0</v>
      </c>
      <c r="L90" s="37">
        <v>0</v>
      </c>
      <c r="M90" s="37">
        <v>0</v>
      </c>
      <c r="N90" s="37">
        <v>0</v>
      </c>
      <c r="O90" s="5">
        <f t="shared" si="18"/>
        <v>0</v>
      </c>
    </row>
    <row r="91" spans="2:15" s="9" customFormat="1" ht="15.75" x14ac:dyDescent="0.25">
      <c r="B91" s="12" t="s">
        <v>113</v>
      </c>
      <c r="C91" s="37">
        <v>0</v>
      </c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5">
        <f t="shared" si="18"/>
        <v>0</v>
      </c>
    </row>
    <row r="92" spans="2:15" s="9" customFormat="1" ht="15.75" x14ac:dyDescent="0.25">
      <c r="B92" s="12" t="s">
        <v>114</v>
      </c>
      <c r="C92" s="37">
        <v>0</v>
      </c>
      <c r="D92" s="37">
        <v>0</v>
      </c>
      <c r="E92" s="37">
        <v>0</v>
      </c>
      <c r="F92" s="37">
        <v>0</v>
      </c>
      <c r="G92" s="37">
        <v>0</v>
      </c>
      <c r="H92" s="37">
        <v>0</v>
      </c>
      <c r="I92" s="37">
        <v>0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5">
        <f t="shared" si="18"/>
        <v>0</v>
      </c>
    </row>
    <row r="93" spans="2:15" s="9" customFormat="1" ht="15.75" x14ac:dyDescent="0.25">
      <c r="B93" s="12" t="s">
        <v>115</v>
      </c>
      <c r="C93" s="37">
        <v>0</v>
      </c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0</v>
      </c>
      <c r="J93" s="37">
        <v>0</v>
      </c>
      <c r="K93" s="37">
        <v>0</v>
      </c>
      <c r="L93" s="37">
        <v>0</v>
      </c>
      <c r="M93" s="37">
        <v>0</v>
      </c>
      <c r="N93" s="37">
        <v>0</v>
      </c>
      <c r="O93" s="5">
        <f t="shared" si="18"/>
        <v>0</v>
      </c>
    </row>
    <row r="94" spans="2:15" s="9" customFormat="1" ht="15.75" x14ac:dyDescent="0.25">
      <c r="B94" s="12" t="s">
        <v>116</v>
      </c>
      <c r="C94" s="37">
        <v>0</v>
      </c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0</v>
      </c>
      <c r="J94" s="37">
        <v>0</v>
      </c>
      <c r="K94" s="37">
        <v>0</v>
      </c>
      <c r="L94" s="37">
        <v>0</v>
      </c>
      <c r="M94" s="37">
        <v>0</v>
      </c>
      <c r="N94" s="37">
        <v>0</v>
      </c>
      <c r="O94" s="5">
        <f t="shared" si="18"/>
        <v>0</v>
      </c>
    </row>
    <row r="95" spans="2:15" s="9" customFormat="1" ht="15.75" x14ac:dyDescent="0.25">
      <c r="B95" s="12" t="s">
        <v>117</v>
      </c>
      <c r="C95" s="37">
        <v>0</v>
      </c>
      <c r="D95" s="37">
        <v>500</v>
      </c>
      <c r="E95" s="37">
        <v>250</v>
      </c>
      <c r="F95" s="37">
        <v>0</v>
      </c>
      <c r="G95" s="37">
        <v>0</v>
      </c>
      <c r="H95" s="37">
        <v>0</v>
      </c>
      <c r="I95" s="37">
        <v>500</v>
      </c>
      <c r="J95" s="37">
        <v>250</v>
      </c>
      <c r="K95" s="37">
        <v>0</v>
      </c>
      <c r="L95" s="37">
        <v>0</v>
      </c>
      <c r="M95" s="37">
        <v>0</v>
      </c>
      <c r="N95" s="37">
        <v>0</v>
      </c>
      <c r="O95" s="5">
        <f t="shared" si="18"/>
        <v>1500</v>
      </c>
    </row>
    <row r="96" spans="2:15" s="9" customFormat="1" ht="15.75" x14ac:dyDescent="0.25">
      <c r="B96" s="12" t="s">
        <v>118</v>
      </c>
      <c r="C96" s="37">
        <v>0</v>
      </c>
      <c r="D96" s="37">
        <v>0</v>
      </c>
      <c r="E96" s="37">
        <v>0</v>
      </c>
      <c r="F96" s="37">
        <v>0</v>
      </c>
      <c r="G96" s="37">
        <v>0</v>
      </c>
      <c r="H96" s="37">
        <v>0</v>
      </c>
      <c r="I96" s="37">
        <v>0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5">
        <f t="shared" si="18"/>
        <v>0</v>
      </c>
    </row>
    <row r="97" spans="2:15" s="9" customFormat="1" ht="15.75" x14ac:dyDescent="0.25">
      <c r="B97" s="12" t="s">
        <v>119</v>
      </c>
      <c r="C97" s="37">
        <v>0</v>
      </c>
      <c r="D97" s="37">
        <v>0</v>
      </c>
      <c r="E97" s="37">
        <v>0</v>
      </c>
      <c r="F97" s="37">
        <v>0</v>
      </c>
      <c r="G97" s="37">
        <v>0</v>
      </c>
      <c r="H97" s="37">
        <v>0</v>
      </c>
      <c r="I97" s="37">
        <v>0</v>
      </c>
      <c r="J97" s="37">
        <v>0</v>
      </c>
      <c r="K97" s="37">
        <v>0</v>
      </c>
      <c r="L97" s="37">
        <v>0</v>
      </c>
      <c r="M97" s="37">
        <v>0</v>
      </c>
      <c r="N97" s="37">
        <v>0</v>
      </c>
      <c r="O97" s="5">
        <f t="shared" si="18"/>
        <v>0</v>
      </c>
    </row>
    <row r="98" spans="2:15" s="9" customFormat="1" ht="15.75" x14ac:dyDescent="0.25">
      <c r="B98" s="12" t="s">
        <v>120</v>
      </c>
      <c r="C98" s="37">
        <v>0</v>
      </c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0</v>
      </c>
      <c r="J98" s="37">
        <v>0</v>
      </c>
      <c r="K98" s="37">
        <v>0</v>
      </c>
      <c r="L98" s="37">
        <v>0</v>
      </c>
      <c r="M98" s="37">
        <v>0</v>
      </c>
      <c r="N98" s="37">
        <v>0</v>
      </c>
      <c r="O98" s="5">
        <f t="shared" si="18"/>
        <v>0</v>
      </c>
    </row>
    <row r="99" spans="2:15" s="9" customFormat="1" ht="19.5" x14ac:dyDescent="0.25">
      <c r="B99" s="15" t="s">
        <v>121</v>
      </c>
      <c r="C99" s="38">
        <f>SUM(C100:C104)</f>
        <v>0</v>
      </c>
      <c r="D99" s="38">
        <f t="shared" ref="D99:N99" si="19">SUM(D100:D104)</f>
        <v>0</v>
      </c>
      <c r="E99" s="38">
        <f t="shared" si="19"/>
        <v>0</v>
      </c>
      <c r="F99" s="38">
        <f t="shared" si="19"/>
        <v>0</v>
      </c>
      <c r="G99" s="38">
        <f t="shared" si="19"/>
        <v>0</v>
      </c>
      <c r="H99" s="38">
        <f t="shared" si="19"/>
        <v>0</v>
      </c>
      <c r="I99" s="38">
        <f t="shared" si="19"/>
        <v>0</v>
      </c>
      <c r="J99" s="38">
        <f t="shared" si="19"/>
        <v>0</v>
      </c>
      <c r="K99" s="38">
        <f t="shared" si="19"/>
        <v>0</v>
      </c>
      <c r="L99" s="38">
        <f t="shared" si="19"/>
        <v>0</v>
      </c>
      <c r="M99" s="38">
        <f t="shared" si="19"/>
        <v>0</v>
      </c>
      <c r="N99" s="38">
        <f t="shared" si="19"/>
        <v>0</v>
      </c>
      <c r="O99" s="7">
        <f>SUM(C99:N99)</f>
        <v>0</v>
      </c>
    </row>
    <row r="100" spans="2:15" s="9" customFormat="1" ht="15.75" x14ac:dyDescent="0.25">
      <c r="B100" s="36" t="s">
        <v>122</v>
      </c>
      <c r="C100" s="37">
        <v>0</v>
      </c>
      <c r="D100" s="37">
        <v>0</v>
      </c>
      <c r="E100" s="37">
        <v>0</v>
      </c>
      <c r="F100" s="37">
        <v>0</v>
      </c>
      <c r="G100" s="37">
        <v>0</v>
      </c>
      <c r="H100" s="37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5">
        <f t="shared" si="18"/>
        <v>0</v>
      </c>
    </row>
    <row r="101" spans="2:15" s="9" customFormat="1" ht="15.75" x14ac:dyDescent="0.25">
      <c r="B101" s="36" t="s">
        <v>123</v>
      </c>
      <c r="C101" s="37">
        <v>0</v>
      </c>
      <c r="D101" s="37">
        <v>0</v>
      </c>
      <c r="E101" s="37">
        <v>0</v>
      </c>
      <c r="F101" s="37">
        <v>0</v>
      </c>
      <c r="G101" s="37">
        <v>0</v>
      </c>
      <c r="H101" s="37">
        <v>0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5">
        <f t="shared" si="18"/>
        <v>0</v>
      </c>
    </row>
    <row r="102" spans="2:15" s="9" customFormat="1" ht="15.75" x14ac:dyDescent="0.25">
      <c r="B102" s="36" t="s">
        <v>124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>
        <v>0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5">
        <f t="shared" si="18"/>
        <v>0</v>
      </c>
    </row>
    <row r="103" spans="2:15" s="9" customFormat="1" ht="15.75" x14ac:dyDescent="0.25">
      <c r="B103" s="12" t="s">
        <v>125</v>
      </c>
      <c r="C103" s="37">
        <v>0</v>
      </c>
      <c r="D103" s="37">
        <v>0</v>
      </c>
      <c r="E103" s="37">
        <v>0</v>
      </c>
      <c r="F103" s="37">
        <v>0</v>
      </c>
      <c r="G103" s="37">
        <v>0</v>
      </c>
      <c r="H103" s="37">
        <v>0</v>
      </c>
      <c r="I103" s="37">
        <v>0</v>
      </c>
      <c r="J103" s="37">
        <v>0</v>
      </c>
      <c r="K103" s="37">
        <v>0</v>
      </c>
      <c r="L103" s="37">
        <v>0</v>
      </c>
      <c r="M103" s="37">
        <v>0</v>
      </c>
      <c r="N103" s="37">
        <v>0</v>
      </c>
      <c r="O103" s="5">
        <f t="shared" si="18"/>
        <v>0</v>
      </c>
    </row>
    <row r="104" spans="2:15" s="9" customFormat="1" ht="15.75" x14ac:dyDescent="0.25">
      <c r="B104" s="12" t="s">
        <v>126</v>
      </c>
      <c r="C104" s="37">
        <v>0</v>
      </c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5">
        <f t="shared" si="18"/>
        <v>0</v>
      </c>
    </row>
    <row r="105" spans="2:15" s="9" customFormat="1" ht="19.5" x14ac:dyDescent="0.25">
      <c r="B105" s="15" t="s">
        <v>127</v>
      </c>
      <c r="C105" s="38">
        <f>SUM(C106:C115)</f>
        <v>0</v>
      </c>
      <c r="D105" s="38">
        <f t="shared" ref="D105:N105" si="20">SUM(D106:D115)</f>
        <v>0</v>
      </c>
      <c r="E105" s="38">
        <f t="shared" si="20"/>
        <v>0</v>
      </c>
      <c r="F105" s="38">
        <f t="shared" si="20"/>
        <v>0</v>
      </c>
      <c r="G105" s="38">
        <f t="shared" si="20"/>
        <v>0</v>
      </c>
      <c r="H105" s="38">
        <f t="shared" si="20"/>
        <v>0</v>
      </c>
      <c r="I105" s="38">
        <f t="shared" si="20"/>
        <v>0</v>
      </c>
      <c r="J105" s="38">
        <f t="shared" si="20"/>
        <v>0</v>
      </c>
      <c r="K105" s="38">
        <f t="shared" si="20"/>
        <v>0</v>
      </c>
      <c r="L105" s="38">
        <f t="shared" si="20"/>
        <v>0</v>
      </c>
      <c r="M105" s="38">
        <f t="shared" si="20"/>
        <v>0</v>
      </c>
      <c r="N105" s="38">
        <f t="shared" si="20"/>
        <v>0</v>
      </c>
      <c r="O105" s="7">
        <f t="shared" si="18"/>
        <v>0</v>
      </c>
    </row>
    <row r="106" spans="2:15" s="9" customFormat="1" ht="15.75" x14ac:dyDescent="0.25">
      <c r="B106" s="12" t="s">
        <v>128</v>
      </c>
      <c r="C106" s="37">
        <v>0</v>
      </c>
      <c r="D106" s="37">
        <v>0</v>
      </c>
      <c r="E106" s="37">
        <v>0</v>
      </c>
      <c r="F106" s="37">
        <v>0</v>
      </c>
      <c r="G106" s="37">
        <v>0</v>
      </c>
      <c r="H106" s="37">
        <v>0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5">
        <f t="shared" si="18"/>
        <v>0</v>
      </c>
    </row>
    <row r="107" spans="2:15" s="9" customFormat="1" ht="15.75" x14ac:dyDescent="0.25">
      <c r="B107" s="12" t="s">
        <v>129</v>
      </c>
      <c r="C107" s="37">
        <v>0</v>
      </c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0</v>
      </c>
      <c r="J107" s="37">
        <v>0</v>
      </c>
      <c r="K107" s="37">
        <v>0</v>
      </c>
      <c r="L107" s="37">
        <v>0</v>
      </c>
      <c r="M107" s="37">
        <v>0</v>
      </c>
      <c r="N107" s="37">
        <v>0</v>
      </c>
      <c r="O107" s="5">
        <f t="shared" si="18"/>
        <v>0</v>
      </c>
    </row>
    <row r="108" spans="2:15" s="9" customFormat="1" ht="15.75" x14ac:dyDescent="0.25">
      <c r="B108" s="12" t="s">
        <v>130</v>
      </c>
      <c r="C108" s="37">
        <v>0</v>
      </c>
      <c r="D108" s="37">
        <v>0</v>
      </c>
      <c r="E108" s="37">
        <v>0</v>
      </c>
      <c r="F108" s="37">
        <v>0</v>
      </c>
      <c r="G108" s="37">
        <v>0</v>
      </c>
      <c r="H108" s="37">
        <v>0</v>
      </c>
      <c r="I108" s="37">
        <v>0</v>
      </c>
      <c r="J108" s="37">
        <v>0</v>
      </c>
      <c r="K108" s="37">
        <v>0</v>
      </c>
      <c r="L108" s="37">
        <v>0</v>
      </c>
      <c r="M108" s="37">
        <v>0</v>
      </c>
      <c r="N108" s="37">
        <v>0</v>
      </c>
      <c r="O108" s="5">
        <f t="shared" si="18"/>
        <v>0</v>
      </c>
    </row>
    <row r="109" spans="2:15" s="9" customFormat="1" ht="15.75" x14ac:dyDescent="0.25">
      <c r="B109" s="12" t="s">
        <v>131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5">
        <f t="shared" si="18"/>
        <v>0</v>
      </c>
    </row>
    <row r="110" spans="2:15" s="9" customFormat="1" ht="15.75" x14ac:dyDescent="0.25">
      <c r="B110" s="12" t="s">
        <v>132</v>
      </c>
      <c r="C110" s="37">
        <v>0</v>
      </c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0</v>
      </c>
      <c r="J110" s="37">
        <v>0</v>
      </c>
      <c r="K110" s="37">
        <v>0</v>
      </c>
      <c r="L110" s="37">
        <v>0</v>
      </c>
      <c r="M110" s="37">
        <v>0</v>
      </c>
      <c r="N110" s="37">
        <v>0</v>
      </c>
      <c r="O110" s="5">
        <f t="shared" si="18"/>
        <v>0</v>
      </c>
    </row>
    <row r="111" spans="2:15" s="9" customFormat="1" ht="15.75" x14ac:dyDescent="0.25">
      <c r="B111" s="12" t="s">
        <v>133</v>
      </c>
      <c r="C111" s="37">
        <v>0</v>
      </c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0</v>
      </c>
      <c r="J111" s="37">
        <v>0</v>
      </c>
      <c r="K111" s="37">
        <v>0</v>
      </c>
      <c r="L111" s="37">
        <v>0</v>
      </c>
      <c r="M111" s="37">
        <v>0</v>
      </c>
      <c r="N111" s="37">
        <v>0</v>
      </c>
      <c r="O111" s="5">
        <f t="shared" si="18"/>
        <v>0</v>
      </c>
    </row>
    <row r="112" spans="2:15" s="9" customFormat="1" ht="15.75" x14ac:dyDescent="0.25">
      <c r="B112" s="12" t="s">
        <v>134</v>
      </c>
      <c r="C112" s="37">
        <v>0</v>
      </c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5">
        <f t="shared" si="18"/>
        <v>0</v>
      </c>
    </row>
    <row r="113" spans="2:15" s="9" customFormat="1" ht="15.75" x14ac:dyDescent="0.25">
      <c r="B113" s="12" t="s">
        <v>135</v>
      </c>
      <c r="C113" s="37">
        <v>0</v>
      </c>
      <c r="D113" s="37">
        <v>0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5">
        <f t="shared" si="18"/>
        <v>0</v>
      </c>
    </row>
    <row r="114" spans="2:15" s="9" customFormat="1" ht="15.75" x14ac:dyDescent="0.25">
      <c r="B114" s="12" t="s">
        <v>136</v>
      </c>
      <c r="C114" s="37">
        <v>0</v>
      </c>
      <c r="D114" s="37">
        <v>0</v>
      </c>
      <c r="E114" s="37">
        <v>0</v>
      </c>
      <c r="F114" s="37">
        <v>0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5">
        <f t="shared" si="18"/>
        <v>0</v>
      </c>
    </row>
    <row r="115" spans="2:15" s="9" customFormat="1" ht="15.75" x14ac:dyDescent="0.25">
      <c r="B115" s="12" t="s">
        <v>137</v>
      </c>
      <c r="C115" s="37">
        <v>0</v>
      </c>
      <c r="D115" s="37">
        <v>0</v>
      </c>
      <c r="E115" s="37">
        <v>0</v>
      </c>
      <c r="F115" s="37">
        <v>0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5">
        <f t="shared" si="18"/>
        <v>0</v>
      </c>
    </row>
    <row r="116" spans="2:15" s="42" customFormat="1" ht="19.5" x14ac:dyDescent="0.4">
      <c r="B116" s="15" t="s">
        <v>138</v>
      </c>
      <c r="C116" s="45">
        <f>SUM(C117:C119)</f>
        <v>0</v>
      </c>
      <c r="D116" s="45">
        <f t="shared" ref="D116:N116" si="21">SUM(D117:D119)</f>
        <v>0</v>
      </c>
      <c r="E116" s="45">
        <f t="shared" si="21"/>
        <v>0</v>
      </c>
      <c r="F116" s="45">
        <f t="shared" si="21"/>
        <v>0</v>
      </c>
      <c r="G116" s="45">
        <f t="shared" si="21"/>
        <v>0</v>
      </c>
      <c r="H116" s="45">
        <f t="shared" si="21"/>
        <v>0</v>
      </c>
      <c r="I116" s="45">
        <f t="shared" si="21"/>
        <v>0</v>
      </c>
      <c r="J116" s="45">
        <f t="shared" si="21"/>
        <v>0</v>
      </c>
      <c r="K116" s="45">
        <f t="shared" si="21"/>
        <v>0</v>
      </c>
      <c r="L116" s="45">
        <f t="shared" si="21"/>
        <v>0</v>
      </c>
      <c r="M116" s="45">
        <f t="shared" si="21"/>
        <v>0</v>
      </c>
      <c r="N116" s="45">
        <f t="shared" si="21"/>
        <v>0</v>
      </c>
      <c r="O116" s="44">
        <f t="shared" si="18"/>
        <v>0</v>
      </c>
    </row>
    <row r="117" spans="2:15" s="9" customFormat="1" ht="15.75" x14ac:dyDescent="0.25">
      <c r="B117" s="12" t="s">
        <v>139</v>
      </c>
      <c r="C117" s="37">
        <v>0</v>
      </c>
      <c r="D117" s="37">
        <v>0</v>
      </c>
      <c r="E117" s="37">
        <v>0</v>
      </c>
      <c r="F117" s="37">
        <v>0</v>
      </c>
      <c r="G117" s="37">
        <v>0</v>
      </c>
      <c r="H117" s="37">
        <v>0</v>
      </c>
      <c r="I117" s="37">
        <v>0</v>
      </c>
      <c r="J117" s="37">
        <v>0</v>
      </c>
      <c r="K117" s="37">
        <v>0</v>
      </c>
      <c r="L117" s="37">
        <v>0</v>
      </c>
      <c r="M117" s="37">
        <v>0</v>
      </c>
      <c r="N117" s="37">
        <v>0</v>
      </c>
      <c r="O117" s="5">
        <f t="shared" si="18"/>
        <v>0</v>
      </c>
    </row>
    <row r="118" spans="2:15" s="9" customFormat="1" ht="15.75" x14ac:dyDescent="0.25">
      <c r="B118" s="12" t="s">
        <v>140</v>
      </c>
      <c r="C118" s="37">
        <v>0</v>
      </c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5">
        <f t="shared" si="18"/>
        <v>0</v>
      </c>
    </row>
    <row r="119" spans="2:15" s="9" customFormat="1" ht="15.75" x14ac:dyDescent="0.25">
      <c r="B119" s="12" t="s">
        <v>141</v>
      </c>
      <c r="C119" s="37">
        <v>0</v>
      </c>
      <c r="D119" s="37">
        <v>0</v>
      </c>
      <c r="E119" s="37">
        <v>0</v>
      </c>
      <c r="F119" s="37">
        <v>0</v>
      </c>
      <c r="G119" s="37">
        <v>0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5">
        <f t="shared" si="18"/>
        <v>0</v>
      </c>
    </row>
    <row r="120" spans="2:15" s="42" customFormat="1" ht="19.5" x14ac:dyDescent="0.4">
      <c r="B120" s="15" t="s">
        <v>142</v>
      </c>
      <c r="C120" s="45">
        <f>SUM(C121:C122)</f>
        <v>0</v>
      </c>
      <c r="D120" s="45">
        <f t="shared" ref="D120:N120" si="22">SUM(D121:D122)</f>
        <v>0</v>
      </c>
      <c r="E120" s="45">
        <f t="shared" si="22"/>
        <v>0</v>
      </c>
      <c r="F120" s="45">
        <f t="shared" si="22"/>
        <v>0</v>
      </c>
      <c r="G120" s="45">
        <f t="shared" si="22"/>
        <v>0</v>
      </c>
      <c r="H120" s="45">
        <f t="shared" si="22"/>
        <v>0</v>
      </c>
      <c r="I120" s="45">
        <f t="shared" si="22"/>
        <v>0</v>
      </c>
      <c r="J120" s="45">
        <f t="shared" si="22"/>
        <v>0</v>
      </c>
      <c r="K120" s="45">
        <f t="shared" si="22"/>
        <v>0</v>
      </c>
      <c r="L120" s="45">
        <f t="shared" si="22"/>
        <v>0</v>
      </c>
      <c r="M120" s="45">
        <f t="shared" si="22"/>
        <v>0</v>
      </c>
      <c r="N120" s="45">
        <f t="shared" si="22"/>
        <v>0</v>
      </c>
      <c r="O120" s="44">
        <f t="shared" si="18"/>
        <v>0</v>
      </c>
    </row>
    <row r="121" spans="2:15" s="9" customFormat="1" ht="15.75" x14ac:dyDescent="0.25">
      <c r="B121" s="12" t="s">
        <v>143</v>
      </c>
      <c r="C121" s="37">
        <v>0</v>
      </c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0</v>
      </c>
      <c r="J121" s="37">
        <v>0</v>
      </c>
      <c r="K121" s="37">
        <v>0</v>
      </c>
      <c r="L121" s="37">
        <v>0</v>
      </c>
      <c r="M121" s="37">
        <v>0</v>
      </c>
      <c r="N121" s="37">
        <v>0</v>
      </c>
      <c r="O121" s="5">
        <f t="shared" si="18"/>
        <v>0</v>
      </c>
    </row>
    <row r="122" spans="2:15" s="9" customFormat="1" ht="15.75" x14ac:dyDescent="0.25">
      <c r="B122" s="12" t="s">
        <v>43</v>
      </c>
      <c r="C122" s="37">
        <v>0</v>
      </c>
      <c r="D122" s="37">
        <v>0</v>
      </c>
      <c r="E122" s="37">
        <v>0</v>
      </c>
      <c r="F122" s="37">
        <v>0</v>
      </c>
      <c r="G122" s="37">
        <v>0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  <c r="M122" s="37">
        <v>0</v>
      </c>
      <c r="N122" s="37">
        <v>0</v>
      </c>
      <c r="O122" s="5">
        <f t="shared" si="18"/>
        <v>0</v>
      </c>
    </row>
    <row r="123" spans="2:15" s="42" customFormat="1" ht="19.5" x14ac:dyDescent="0.4">
      <c r="B123" s="15" t="s">
        <v>32</v>
      </c>
      <c r="C123" s="45">
        <f t="shared" ref="C123:N123" si="23">SUM(C124:C125)</f>
        <v>0</v>
      </c>
      <c r="D123" s="45">
        <f t="shared" si="23"/>
        <v>0</v>
      </c>
      <c r="E123" s="45">
        <f t="shared" si="23"/>
        <v>0</v>
      </c>
      <c r="F123" s="45">
        <f t="shared" si="23"/>
        <v>0</v>
      </c>
      <c r="G123" s="45">
        <f t="shared" si="23"/>
        <v>0</v>
      </c>
      <c r="H123" s="45">
        <f t="shared" si="23"/>
        <v>0</v>
      </c>
      <c r="I123" s="45">
        <f t="shared" si="23"/>
        <v>0</v>
      </c>
      <c r="J123" s="45">
        <f t="shared" si="23"/>
        <v>0</v>
      </c>
      <c r="K123" s="45">
        <f t="shared" si="23"/>
        <v>0</v>
      </c>
      <c r="L123" s="45">
        <f t="shared" si="23"/>
        <v>0</v>
      </c>
      <c r="M123" s="45">
        <f t="shared" si="23"/>
        <v>0</v>
      </c>
      <c r="N123" s="45">
        <f t="shared" si="23"/>
        <v>0</v>
      </c>
      <c r="O123" s="44">
        <f t="shared" si="18"/>
        <v>0</v>
      </c>
    </row>
    <row r="124" spans="2:15" s="9" customFormat="1" ht="15.75" x14ac:dyDescent="0.25">
      <c r="B124" s="12" t="s">
        <v>144</v>
      </c>
      <c r="C124" s="37">
        <v>0</v>
      </c>
      <c r="D124" s="37">
        <v>0</v>
      </c>
      <c r="E124" s="37">
        <v>0</v>
      </c>
      <c r="F124" s="37">
        <v>0</v>
      </c>
      <c r="G124" s="37">
        <v>0</v>
      </c>
      <c r="H124" s="37">
        <v>0</v>
      </c>
      <c r="I124" s="37">
        <v>0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5">
        <f t="shared" si="18"/>
        <v>0</v>
      </c>
    </row>
    <row r="125" spans="2:15" s="9" customFormat="1" ht="15.75" x14ac:dyDescent="0.25">
      <c r="B125" s="12" t="s">
        <v>145</v>
      </c>
      <c r="C125" s="37">
        <v>0</v>
      </c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5">
        <f t="shared" si="18"/>
        <v>0</v>
      </c>
    </row>
    <row r="126" spans="2:15" s="42" customFormat="1" ht="19.5" x14ac:dyDescent="0.4">
      <c r="B126" s="15" t="s">
        <v>146</v>
      </c>
      <c r="C126" s="45">
        <f>SUM(C127:C129)</f>
        <v>0</v>
      </c>
      <c r="D126" s="45">
        <f t="shared" ref="D126:N126" si="24">SUM(D127:D129)</f>
        <v>150</v>
      </c>
      <c r="E126" s="45">
        <f t="shared" si="24"/>
        <v>200</v>
      </c>
      <c r="F126" s="45">
        <f t="shared" si="24"/>
        <v>150</v>
      </c>
      <c r="G126" s="45">
        <f t="shared" si="24"/>
        <v>200</v>
      </c>
      <c r="H126" s="45">
        <f t="shared" si="24"/>
        <v>150</v>
      </c>
      <c r="I126" s="45">
        <f t="shared" si="24"/>
        <v>200</v>
      </c>
      <c r="J126" s="45">
        <f t="shared" si="24"/>
        <v>150</v>
      </c>
      <c r="K126" s="45">
        <f t="shared" si="24"/>
        <v>150</v>
      </c>
      <c r="L126" s="45">
        <f t="shared" si="24"/>
        <v>150</v>
      </c>
      <c r="M126" s="45">
        <f t="shared" si="24"/>
        <v>150</v>
      </c>
      <c r="N126" s="45">
        <f t="shared" si="24"/>
        <v>150</v>
      </c>
      <c r="O126" s="44">
        <f t="shared" si="18"/>
        <v>1800</v>
      </c>
    </row>
    <row r="127" spans="2:15" s="9" customFormat="1" ht="15.75" x14ac:dyDescent="0.25">
      <c r="B127" s="12" t="s">
        <v>147</v>
      </c>
      <c r="C127" s="37">
        <v>0</v>
      </c>
      <c r="D127" s="37">
        <v>150</v>
      </c>
      <c r="E127" s="37">
        <v>200</v>
      </c>
      <c r="F127" s="37">
        <v>150</v>
      </c>
      <c r="G127" s="37">
        <v>200</v>
      </c>
      <c r="H127" s="37">
        <v>150</v>
      </c>
      <c r="I127" s="37">
        <v>200</v>
      </c>
      <c r="J127" s="37">
        <v>150</v>
      </c>
      <c r="K127" s="37">
        <v>150</v>
      </c>
      <c r="L127" s="37">
        <v>150</v>
      </c>
      <c r="M127" s="37">
        <v>150</v>
      </c>
      <c r="N127" s="37">
        <v>150</v>
      </c>
      <c r="O127" s="5">
        <f t="shared" si="18"/>
        <v>1800</v>
      </c>
    </row>
    <row r="128" spans="2:15" s="9" customFormat="1" ht="15.75" x14ac:dyDescent="0.25">
      <c r="B128" s="12" t="s">
        <v>148</v>
      </c>
      <c r="C128" s="37">
        <v>0</v>
      </c>
      <c r="D128" s="37">
        <v>0</v>
      </c>
      <c r="E128" s="37">
        <v>0</v>
      </c>
      <c r="F128" s="37">
        <v>0</v>
      </c>
      <c r="G128" s="37">
        <v>0</v>
      </c>
      <c r="H128" s="37">
        <v>0</v>
      </c>
      <c r="I128" s="37">
        <v>0</v>
      </c>
      <c r="J128" s="37">
        <v>0</v>
      </c>
      <c r="K128" s="37">
        <v>0</v>
      </c>
      <c r="L128" s="37">
        <v>0</v>
      </c>
      <c r="M128" s="37">
        <v>0</v>
      </c>
      <c r="N128" s="37">
        <v>0</v>
      </c>
      <c r="O128" s="5">
        <f t="shared" si="18"/>
        <v>0</v>
      </c>
    </row>
    <row r="129" spans="2:15" s="9" customFormat="1" ht="15.75" x14ac:dyDescent="0.25">
      <c r="B129" s="12" t="s">
        <v>149</v>
      </c>
      <c r="C129" s="37">
        <v>0</v>
      </c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0</v>
      </c>
      <c r="J129" s="37">
        <v>0</v>
      </c>
      <c r="K129" s="37">
        <v>0</v>
      </c>
      <c r="L129" s="37">
        <v>0</v>
      </c>
      <c r="M129" s="37">
        <v>0</v>
      </c>
      <c r="N129" s="37">
        <v>0</v>
      </c>
      <c r="O129" s="5">
        <f t="shared" si="18"/>
        <v>0</v>
      </c>
    </row>
    <row r="130" spans="2:15" s="42" customFormat="1" ht="19.5" x14ac:dyDescent="0.4">
      <c r="B130" s="15" t="s">
        <v>150</v>
      </c>
      <c r="C130" s="45">
        <f>SUM(C131:C132)</f>
        <v>0</v>
      </c>
      <c r="D130" s="45">
        <f t="shared" ref="D130:N130" si="25">SUM(D131:D132)</f>
        <v>100</v>
      </c>
      <c r="E130" s="45">
        <f t="shared" si="25"/>
        <v>100</v>
      </c>
      <c r="F130" s="45">
        <f t="shared" si="25"/>
        <v>200</v>
      </c>
      <c r="G130" s="45">
        <f t="shared" si="25"/>
        <v>100</v>
      </c>
      <c r="H130" s="45">
        <f t="shared" si="25"/>
        <v>100</v>
      </c>
      <c r="I130" s="45">
        <f t="shared" si="25"/>
        <v>100</v>
      </c>
      <c r="J130" s="45">
        <f t="shared" si="25"/>
        <v>100</v>
      </c>
      <c r="K130" s="45">
        <f t="shared" si="25"/>
        <v>100</v>
      </c>
      <c r="L130" s="45">
        <f t="shared" si="25"/>
        <v>100</v>
      </c>
      <c r="M130" s="45">
        <f t="shared" si="25"/>
        <v>100</v>
      </c>
      <c r="N130" s="45">
        <f t="shared" si="25"/>
        <v>100</v>
      </c>
      <c r="O130" s="44">
        <f t="shared" si="18"/>
        <v>1200</v>
      </c>
    </row>
    <row r="131" spans="2:15" s="9" customFormat="1" ht="15.75" x14ac:dyDescent="0.25">
      <c r="B131" s="12" t="s">
        <v>64</v>
      </c>
      <c r="C131" s="37">
        <v>0</v>
      </c>
      <c r="D131" s="37">
        <v>0</v>
      </c>
      <c r="E131" s="37">
        <v>0</v>
      </c>
      <c r="F131" s="37">
        <v>0</v>
      </c>
      <c r="G131" s="37">
        <v>0</v>
      </c>
      <c r="H131" s="37">
        <v>0</v>
      </c>
      <c r="I131" s="37">
        <v>0</v>
      </c>
      <c r="J131" s="37">
        <v>0</v>
      </c>
      <c r="K131" s="37">
        <v>0</v>
      </c>
      <c r="L131" s="37">
        <v>0</v>
      </c>
      <c r="M131" s="37">
        <v>0</v>
      </c>
      <c r="N131" s="37">
        <v>0</v>
      </c>
      <c r="O131" s="5">
        <f t="shared" si="18"/>
        <v>0</v>
      </c>
    </row>
    <row r="132" spans="2:15" s="9" customFormat="1" ht="15.75" x14ac:dyDescent="0.25">
      <c r="B132" s="12" t="s">
        <v>151</v>
      </c>
      <c r="C132" s="37">
        <v>0</v>
      </c>
      <c r="D132" s="37">
        <v>100</v>
      </c>
      <c r="E132" s="37">
        <v>100</v>
      </c>
      <c r="F132" s="37">
        <v>200</v>
      </c>
      <c r="G132" s="37">
        <v>100</v>
      </c>
      <c r="H132" s="37">
        <v>100</v>
      </c>
      <c r="I132" s="37">
        <v>100</v>
      </c>
      <c r="J132" s="37">
        <v>100</v>
      </c>
      <c r="K132" s="37">
        <v>100</v>
      </c>
      <c r="L132" s="37">
        <v>100</v>
      </c>
      <c r="M132" s="37">
        <v>100</v>
      </c>
      <c r="N132" s="37">
        <v>100</v>
      </c>
      <c r="O132" s="5">
        <f t="shared" si="18"/>
        <v>1200</v>
      </c>
    </row>
    <row r="133" spans="2:15" s="42" customFormat="1" ht="19.5" x14ac:dyDescent="0.4">
      <c r="B133" s="15" t="s">
        <v>152</v>
      </c>
      <c r="C133" s="45">
        <f>SUM(C134:C138)</f>
        <v>0</v>
      </c>
      <c r="D133" s="45">
        <f t="shared" ref="D133:N133" si="26">SUM(D134:D138)</f>
        <v>0</v>
      </c>
      <c r="E133" s="45">
        <f t="shared" si="26"/>
        <v>0</v>
      </c>
      <c r="F133" s="45">
        <f t="shared" si="26"/>
        <v>0</v>
      </c>
      <c r="G133" s="45">
        <f t="shared" si="26"/>
        <v>0</v>
      </c>
      <c r="H133" s="45">
        <f t="shared" si="26"/>
        <v>0</v>
      </c>
      <c r="I133" s="45">
        <f t="shared" si="26"/>
        <v>0</v>
      </c>
      <c r="J133" s="45">
        <f t="shared" si="26"/>
        <v>0</v>
      </c>
      <c r="K133" s="45">
        <f t="shared" si="26"/>
        <v>0</v>
      </c>
      <c r="L133" s="45">
        <f>SUM(L134:L138)</f>
        <v>0</v>
      </c>
      <c r="M133" s="45">
        <f t="shared" si="26"/>
        <v>0</v>
      </c>
      <c r="N133" s="45">
        <f t="shared" si="26"/>
        <v>0</v>
      </c>
      <c r="O133" s="44">
        <f t="shared" si="18"/>
        <v>0</v>
      </c>
    </row>
    <row r="134" spans="2:15" s="9" customFormat="1" ht="15.75" x14ac:dyDescent="0.25">
      <c r="B134" s="12" t="s">
        <v>153</v>
      </c>
      <c r="C134" s="37">
        <v>0</v>
      </c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0</v>
      </c>
      <c r="J134" s="37">
        <v>0</v>
      </c>
      <c r="K134" s="37">
        <v>0</v>
      </c>
      <c r="L134" s="37">
        <v>0</v>
      </c>
      <c r="M134" s="37">
        <v>0</v>
      </c>
      <c r="N134" s="37">
        <v>0</v>
      </c>
      <c r="O134" s="5">
        <f t="shared" si="18"/>
        <v>0</v>
      </c>
    </row>
    <row r="135" spans="2:15" s="9" customFormat="1" ht="15.75" x14ac:dyDescent="0.25">
      <c r="B135" s="12" t="s">
        <v>154</v>
      </c>
      <c r="C135" s="37">
        <v>0</v>
      </c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v>0</v>
      </c>
      <c r="N135" s="37">
        <v>0</v>
      </c>
      <c r="O135" s="5">
        <f t="shared" si="18"/>
        <v>0</v>
      </c>
    </row>
    <row r="136" spans="2:15" s="9" customFormat="1" ht="15.75" x14ac:dyDescent="0.25">
      <c r="B136" s="12" t="s">
        <v>155</v>
      </c>
      <c r="C136" s="37">
        <v>0</v>
      </c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0</v>
      </c>
      <c r="J136" s="37">
        <v>0</v>
      </c>
      <c r="K136" s="37">
        <v>0</v>
      </c>
      <c r="L136" s="37">
        <v>0</v>
      </c>
      <c r="M136" s="37">
        <v>0</v>
      </c>
      <c r="N136" s="37">
        <v>0</v>
      </c>
      <c r="O136" s="5">
        <f t="shared" si="18"/>
        <v>0</v>
      </c>
    </row>
    <row r="137" spans="2:15" s="9" customFormat="1" ht="15.75" x14ac:dyDescent="0.25">
      <c r="B137" s="12" t="s">
        <v>156</v>
      </c>
      <c r="C137" s="37">
        <v>0</v>
      </c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0</v>
      </c>
      <c r="J137" s="37">
        <v>0</v>
      </c>
      <c r="K137" s="37">
        <v>0</v>
      </c>
      <c r="L137" s="37">
        <v>0</v>
      </c>
      <c r="M137" s="37">
        <v>0</v>
      </c>
      <c r="N137" s="37">
        <v>0</v>
      </c>
      <c r="O137" s="5">
        <f t="shared" si="18"/>
        <v>0</v>
      </c>
    </row>
    <row r="138" spans="2:15" s="9" customFormat="1" ht="15.75" x14ac:dyDescent="0.25">
      <c r="C138" s="37">
        <v>0</v>
      </c>
      <c r="D138" s="37">
        <v>0</v>
      </c>
      <c r="E138" s="37">
        <v>0</v>
      </c>
      <c r="F138" s="37">
        <v>0</v>
      </c>
      <c r="G138" s="37">
        <v>0</v>
      </c>
      <c r="H138" s="37">
        <v>0</v>
      </c>
      <c r="I138" s="37">
        <v>0</v>
      </c>
      <c r="J138" s="37">
        <v>0</v>
      </c>
      <c r="K138" s="37">
        <v>0</v>
      </c>
      <c r="L138" s="37">
        <v>0</v>
      </c>
      <c r="M138" s="37">
        <v>0</v>
      </c>
      <c r="N138" s="37">
        <v>0</v>
      </c>
      <c r="O138" s="5">
        <f t="shared" si="18"/>
        <v>0</v>
      </c>
    </row>
    <row r="139" spans="2:15" s="9" customFormat="1" ht="15.75" x14ac:dyDescent="0.25"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17"/>
    </row>
    <row r="140" spans="2:15" s="9" customFormat="1" ht="15.75" x14ac:dyDescent="0.25"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17"/>
    </row>
    <row r="141" spans="2:15" s="9" customFormat="1" ht="15.75" x14ac:dyDescent="0.25"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17"/>
    </row>
    <row r="142" spans="2:15" s="9" customFormat="1" ht="15.75" x14ac:dyDescent="0.25"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17"/>
    </row>
    <row r="143" spans="2:15" s="9" customFormat="1" ht="15.75" x14ac:dyDescent="0.25"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17"/>
    </row>
    <row r="144" spans="2:15" s="9" customFormat="1" ht="15.75" x14ac:dyDescent="0.25">
      <c r="O144" s="17"/>
    </row>
    <row r="145" spans="15:15" s="9" customFormat="1" ht="15.75" x14ac:dyDescent="0.25">
      <c r="O145" s="17"/>
    </row>
    <row r="146" spans="15:15" s="9" customFormat="1" ht="15.75" x14ac:dyDescent="0.25">
      <c r="O146" s="17"/>
    </row>
    <row r="147" spans="15:15" s="9" customFormat="1" ht="15.75" x14ac:dyDescent="0.25">
      <c r="O147" s="17"/>
    </row>
    <row r="148" spans="15:15" s="9" customFormat="1" ht="15.75" x14ac:dyDescent="0.25">
      <c r="O148" s="17"/>
    </row>
    <row r="149" spans="15:15" s="9" customFormat="1" ht="15.75" x14ac:dyDescent="0.25">
      <c r="O149" s="17"/>
    </row>
    <row r="150" spans="15:15" s="9" customFormat="1" ht="15.75" x14ac:dyDescent="0.25">
      <c r="O150" s="17"/>
    </row>
    <row r="151" spans="15:15" s="9" customFormat="1" ht="15.75" x14ac:dyDescent="0.25">
      <c r="O151" s="17"/>
    </row>
    <row r="152" spans="15:15" s="9" customFormat="1" ht="15.75" x14ac:dyDescent="0.25">
      <c r="O152" s="17"/>
    </row>
    <row r="153" spans="15:15" s="9" customFormat="1" ht="15.75" x14ac:dyDescent="0.25">
      <c r="O153" s="17"/>
    </row>
    <row r="154" spans="15:15" s="9" customFormat="1" ht="15.75" x14ac:dyDescent="0.25">
      <c r="O154" s="17"/>
    </row>
    <row r="155" spans="15:15" s="9" customFormat="1" ht="15.75" x14ac:dyDescent="0.25">
      <c r="O155" s="17"/>
    </row>
    <row r="156" spans="15:15" s="9" customFormat="1" ht="15.75" x14ac:dyDescent="0.25">
      <c r="O156" s="17"/>
    </row>
    <row r="157" spans="15:15" s="9" customFormat="1" ht="15.75" x14ac:dyDescent="0.25">
      <c r="O157" s="17"/>
    </row>
    <row r="158" spans="15:15" s="9" customFormat="1" ht="15.75" x14ac:dyDescent="0.25">
      <c r="O158" s="17"/>
    </row>
    <row r="159" spans="15:15" s="9" customFormat="1" ht="15.75" x14ac:dyDescent="0.25">
      <c r="O159" s="17"/>
    </row>
    <row r="160" spans="15:15" s="9" customFormat="1" ht="15.75" x14ac:dyDescent="0.25">
      <c r="O160" s="17"/>
    </row>
    <row r="161" spans="15:15" s="9" customFormat="1" ht="15.75" x14ac:dyDescent="0.25">
      <c r="O161" s="17"/>
    </row>
    <row r="162" spans="15:15" s="9" customFormat="1" ht="15.75" x14ac:dyDescent="0.25">
      <c r="O162" s="17"/>
    </row>
    <row r="163" spans="15:15" s="9" customFormat="1" ht="15.75" x14ac:dyDescent="0.25">
      <c r="O163" s="17"/>
    </row>
    <row r="164" spans="15:15" s="9" customFormat="1" ht="15.75" x14ac:dyDescent="0.25">
      <c r="O164" s="17"/>
    </row>
    <row r="165" spans="15:15" s="9" customFormat="1" ht="15.75" x14ac:dyDescent="0.25">
      <c r="O165" s="17"/>
    </row>
  </sheetData>
  <sheetProtection formatCells="0" formatColumns="0" formatRows="0" insertColumns="0" insertRows="0" insertHyperlinks="0" deleteColumns="0" deleteRows="0" sort="0" autoFilter="0" pivotTables="0"/>
  <mergeCells count="2">
    <mergeCell ref="C1:O1"/>
    <mergeCell ref="A2:B2"/>
  </mergeCells>
  <pageMargins left="0" right="0" top="0.75" bottom="0.75" header="0.3" footer="0.3"/>
  <pageSetup paperSize="9" scale="41" fitToHeight="0" orientation="landscape" r:id="rId1"/>
  <headerFooter>
    <oddFooter>&amp;L&amp;Bfinancas - previsto x realizad&amp;RPágina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16</vt:i4>
      </vt:variant>
    </vt:vector>
  </HeadingPairs>
  <TitlesOfParts>
    <vt:vector size="32" baseType="lpstr">
      <vt:lpstr>RESUMO</vt:lpstr>
      <vt:lpstr>GERAL</vt:lpstr>
      <vt:lpstr>ADM</vt:lpstr>
      <vt:lpstr>VALOR SETORIZADO</vt:lpstr>
      <vt:lpstr>PREVISTO X REALIZADO</vt:lpstr>
      <vt:lpstr>MARKETING</vt:lpstr>
      <vt:lpstr>FAVELA 3D</vt:lpstr>
      <vt:lpstr>COMERCIAL</vt:lpstr>
      <vt:lpstr>OPERAÇÕES</vt:lpstr>
      <vt:lpstr>GRIFFTE</vt:lpstr>
      <vt:lpstr>OUTLET</vt:lpstr>
      <vt:lpstr>EDITAIS</vt:lpstr>
      <vt:lpstr>PEC</vt:lpstr>
      <vt:lpstr>CASA SONHAR</vt:lpstr>
      <vt:lpstr>Q. PROF.</vt:lpstr>
      <vt:lpstr>PSICOSSOCIAL</vt:lpstr>
      <vt:lpstr>ADM!Area_de_impressao</vt:lpstr>
      <vt:lpstr>'FAVELA 3D'!Area_de_impressao</vt:lpstr>
      <vt:lpstr>GERAL!Area_de_impressao</vt:lpstr>
      <vt:lpstr>ADM!Titulos_de_impressao</vt:lpstr>
      <vt:lpstr>'CASA SONHAR'!Titulos_de_impressao</vt:lpstr>
      <vt:lpstr>COMERCIAL!Titulos_de_impressao</vt:lpstr>
      <vt:lpstr>EDITAIS!Titulos_de_impressao</vt:lpstr>
      <vt:lpstr>'FAVELA 3D'!Titulos_de_impressao</vt:lpstr>
      <vt:lpstr>GERAL!Titulos_de_impressao</vt:lpstr>
      <vt:lpstr>GRIFFTE!Titulos_de_impressao</vt:lpstr>
      <vt:lpstr>MARKETING!Titulos_de_impressao</vt:lpstr>
      <vt:lpstr>OPERAÇÕES!Titulos_de_impressao</vt:lpstr>
      <vt:lpstr>OUTLET!Titulos_de_impressao</vt:lpstr>
      <vt:lpstr>PEC!Titulos_de_impressao</vt:lpstr>
      <vt:lpstr>PSICOSSOCIAL!Titulos_de_impressao</vt:lpstr>
      <vt:lpstr>'Q. PROF.'!Titulos_de_impressao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financas - previsto x realizad</dc:title>
  <dc:subject>financas - previsto x realizado</dc:subject>
  <dc:creator>Omie</dc:creator>
  <cp:keywords>Categoria Previsto Realizado/Realizar Diferença Justificativa Positive Negative</cp:keywords>
  <dc:description>financas - previsto x realizado / Emitido por RICARDO em 17/11/2023 10:58</dc:description>
  <cp:lastModifiedBy>Financeiro O Grito</cp:lastModifiedBy>
  <cp:revision/>
  <cp:lastPrinted>2025-06-03T15:03:45Z</cp:lastPrinted>
  <dcterms:created xsi:type="dcterms:W3CDTF">2023-11-17T13:58:24Z</dcterms:created>
  <dcterms:modified xsi:type="dcterms:W3CDTF">2025-09-01T18:08:41Z</dcterms:modified>
  <cp:category/>
  <cp:contentStatus/>
</cp:coreProperties>
</file>