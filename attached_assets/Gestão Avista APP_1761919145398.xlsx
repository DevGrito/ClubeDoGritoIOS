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S:\Desktop\"/>
    </mc:Choice>
  </mc:AlternateContent>
  <xr:revisionPtr revIDLastSave="0" documentId="8_{37FF88DE-E527-4C3F-A4E5-0FDB9597690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Base de dados" sheetId="2" state="hidden" r:id="rId1"/>
    <sheet name="Dash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Q14" i="1" s="1"/>
  <c r="P13" i="1"/>
  <c r="Q13" i="1" s="1"/>
  <c r="P12" i="1"/>
  <c r="P11" i="1"/>
  <c r="Q11" i="1" s="1"/>
  <c r="P10" i="1"/>
  <c r="P9" i="1"/>
  <c r="Q9" i="1" s="1"/>
  <c r="P8" i="1"/>
  <c r="Q8" i="1" s="1"/>
  <c r="P7" i="1"/>
  <c r="Q7" i="1" s="1"/>
  <c r="P6" i="1"/>
  <c r="Q6" i="1" s="1"/>
  <c r="P5" i="1"/>
  <c r="P4" i="1"/>
  <c r="Q4" i="1" s="1"/>
  <c r="P3" i="1"/>
  <c r="Q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OPERAÇÕES01</author>
  </authors>
  <commentList>
    <comment ref="B7" authorId="0" shapeId="0" xr:uid="{F87062AE-74E1-4F93-B430-8AC469D84563}">
      <text>
        <r>
          <rPr>
            <b/>
            <sz val="9"/>
            <color indexed="81"/>
            <rFont val="Segoe UI"/>
            <charset val="1"/>
          </rPr>
          <t>OPERAÇÕES01:</t>
        </r>
        <r>
          <rPr>
            <sz val="9"/>
            <color indexed="81"/>
            <rFont val="Segoe UI"/>
            <charset val="1"/>
          </rPr>
          <t xml:space="preserve">
Falta dados da Carol. Ela vai me passar.
</t>
        </r>
      </text>
    </comment>
  </commentList>
</comments>
</file>

<file path=xl/sharedStrings.xml><?xml version="1.0" encoding="utf-8"?>
<sst xmlns="http://schemas.openxmlformats.org/spreadsheetml/2006/main" count="49" uniqueCount="30">
  <si>
    <t>Dados para o APP</t>
  </si>
  <si>
    <t>Indicadores</t>
  </si>
  <si>
    <t>META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</si>
  <si>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</si>
  <si>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</si>
  <si>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</si>
  <si>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</si>
  <si>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</si>
  <si>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</si>
  <si>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</si>
  <si>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</si>
  <si>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</si>
  <si>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</si>
  <si>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</si>
  <si>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</si>
  <si>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</si>
  <si>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Porcentagem alcançada</t>
  </si>
  <si>
    <t>Crianças atendidas com Cultura e Esporte</t>
  </si>
  <si>
    <t>Alunos formados em Qualificação</t>
  </si>
  <si>
    <t>Alunos em formação em Qualificação</t>
  </si>
  <si>
    <t>-</t>
  </si>
  <si>
    <t>#</t>
  </si>
  <si>
    <t>Frequência geral</t>
  </si>
  <si>
    <t>Avaliação de aprendizagem</t>
  </si>
  <si>
    <t>Pesquisa de Satisfação (NPS)</t>
  </si>
  <si>
    <t>Alunos desistentes (Evasão)</t>
  </si>
  <si>
    <t>Geração de renda (Empreendedor; Empregado)</t>
  </si>
  <si>
    <t>Familias acompanhadas</t>
  </si>
  <si>
    <t>Visitas em domicilio</t>
  </si>
  <si>
    <t>Atendimentos Psicosociais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</si>
</sst>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9" fontId="0" fillId="0" borderId="15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EFEE-4A6C-49FD-91C4-897761DF3D31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6"/>
  <sheetViews>
    <sheetView tabSelected="1" workbookViewId="0">
      <selection activeCell="E18" sqref="E18"/>
    </sheetView>
  </sheetViews>
  <sheetFormatPr defaultRowHeight="15"/>
  <cols>
    <col min="1" max="1" width="8.42578125" customWidth="1"/>
    <col min="2" max="2" width="37.5703125" customWidth="1"/>
    <col min="3" max="3" width="12.28515625" customWidth="1"/>
    <col min="4" max="16" width="12.7109375" customWidth="1"/>
    <col min="17" max="17" width="26.140625" style="1" customWidth="1"/>
  </cols>
  <sheetData>
    <row r="1" spans="2:17" ht="24.95" customHeight="1" thickBot="1">
      <c r="B1" s="28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2:17" s="11" customFormat="1" ht="24.95" customHeight="1" thickBot="1">
      <c r="B2" s="13" t="s">
        <v>1</v>
      </c>
      <c r="C2" s="13" t="s">
        <v>2</v>
      </c>
      <c r="D2" s="13" t="s">
        <v>3</v>
      </c>
      <c r="E2" s="13" t="s">
        <v>4</v>
      </c>
      <c r="F2" s="14" t="s">
        <v>5</v>
      </c>
      <c r="G2" s="13" t="s">
        <v>6</v>
      </c>
      <c r="H2" s="13" t="s">
        <v>7</v>
      </c>
      <c r="I2" s="14" t="s">
        <v>8</v>
      </c>
      <c r="J2" s="13" t="s">
        <v>9</v>
      </c>
      <c r="K2" s="14" t="s">
        <v>10</v>
      </c>
      <c r="L2" s="13" t="s">
        <v>11</v>
      </c>
      <c r="M2" s="14" t="s">
        <v>12</v>
      </c>
      <c r="N2" s="13" t="s">
        <v>13</v>
      </c>
      <c r="O2" s="14" t="s">
        <v>14</v>
      </c>
      <c r="P2" s="13" t="s">
        <v>15</v>
      </c>
      <c r="Q2" s="15" t="s">
        <v>16</v>
      </c>
    </row>
    <row r="3" spans="2:17" ht="20.100000000000001" customHeight="1">
      <c r="B3" s="7" t="s">
        <v>17</v>
      </c>
      <c r="C3" s="12">
        <v>500</v>
      </c>
      <c r="D3" s="23"/>
      <c r="E3" s="23">
        <v>330</v>
      </c>
      <c r="F3" s="23">
        <v>305</v>
      </c>
      <c r="G3" s="23">
        <v>305</v>
      </c>
      <c r="H3" s="23">
        <v>318</v>
      </c>
      <c r="I3" s="23">
        <v>284</v>
      </c>
      <c r="J3" s="23">
        <v>328</v>
      </c>
      <c r="K3" s="23">
        <v>321</v>
      </c>
      <c r="L3" s="23">
        <v>333</v>
      </c>
      <c r="M3" s="23"/>
      <c r="N3" s="23"/>
      <c r="O3" s="25"/>
      <c r="P3" s="21">
        <f>L3</f>
        <v>333</v>
      </c>
      <c r="Q3" s="16">
        <f>P3/C3</f>
        <v>0.66600000000000004</v>
      </c>
    </row>
    <row r="4" spans="2:17" ht="20.100000000000001" customHeight="1">
      <c r="B4" s="8" t="s">
        <v>18</v>
      </c>
      <c r="C4" s="4">
        <v>1600</v>
      </c>
      <c r="D4" s="2"/>
      <c r="E4" s="2"/>
      <c r="F4" s="2">
        <v>72</v>
      </c>
      <c r="G4" s="2"/>
      <c r="H4" s="2">
        <v>62</v>
      </c>
      <c r="I4" s="2">
        <v>176</v>
      </c>
      <c r="J4" s="2">
        <v>64</v>
      </c>
      <c r="K4" s="2">
        <v>33</v>
      </c>
      <c r="L4" s="2">
        <v>52</v>
      </c>
      <c r="M4" s="2">
        <v>102</v>
      </c>
      <c r="N4" s="2"/>
      <c r="O4" s="26"/>
      <c r="P4" s="18">
        <f>SUM(D4:O4)</f>
        <v>561</v>
      </c>
      <c r="Q4" s="17">
        <f>P4/C4</f>
        <v>0.35062500000000002</v>
      </c>
    </row>
    <row r="5" spans="2:17" ht="20.100000000000001" customHeight="1">
      <c r="B5" s="8" t="s">
        <v>19</v>
      </c>
      <c r="C5" s="4" t="s">
        <v>20</v>
      </c>
      <c r="D5" s="2">
        <v>57</v>
      </c>
      <c r="E5" s="2">
        <v>71</v>
      </c>
      <c r="F5" s="2">
        <v>80</v>
      </c>
      <c r="G5" s="2">
        <v>30</v>
      </c>
      <c r="H5" s="2">
        <v>211</v>
      </c>
      <c r="I5" s="2">
        <v>204</v>
      </c>
      <c r="J5" s="2">
        <v>170</v>
      </c>
      <c r="K5" s="2">
        <v>162</v>
      </c>
      <c r="L5" s="2">
        <v>341</v>
      </c>
      <c r="M5" s="2">
        <v>255</v>
      </c>
      <c r="N5" s="2"/>
      <c r="O5" s="26"/>
      <c r="P5" s="18">
        <f>M5</f>
        <v>255</v>
      </c>
      <c r="Q5" s="18" t="s">
        <v>21</v>
      </c>
    </row>
    <row r="6" spans="2:17" ht="20.100000000000001" customHeight="1">
      <c r="B6" s="8" t="s">
        <v>22</v>
      </c>
      <c r="C6" s="5">
        <v>0.85</v>
      </c>
      <c r="D6" s="2"/>
      <c r="E6" s="3">
        <v>0.78</v>
      </c>
      <c r="F6" s="3">
        <v>0.81</v>
      </c>
      <c r="G6" s="3">
        <v>0.88</v>
      </c>
      <c r="H6" s="3">
        <v>0.86</v>
      </c>
      <c r="I6" s="3">
        <v>0.86</v>
      </c>
      <c r="J6" s="3">
        <v>0.9</v>
      </c>
      <c r="K6" s="3">
        <v>0.82</v>
      </c>
      <c r="L6" s="3">
        <v>0.87</v>
      </c>
      <c r="M6" s="2"/>
      <c r="N6" s="2"/>
      <c r="O6" s="26"/>
      <c r="P6" s="17">
        <f>AVERAGE(D6:O6)</f>
        <v>0.84750000000000014</v>
      </c>
      <c r="Q6" s="19">
        <f>P6/C6</f>
        <v>0.997058823529412</v>
      </c>
    </row>
    <row r="7" spans="2:17" ht="20.100000000000001" customHeight="1">
      <c r="B7" s="9" t="s">
        <v>23</v>
      </c>
      <c r="C7" s="5">
        <v>0.8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3">
        <v>0.89</v>
      </c>
      <c r="J7" s="2" t="s">
        <v>20</v>
      </c>
      <c r="K7" s="2" t="s">
        <v>20</v>
      </c>
      <c r="L7" s="2" t="s">
        <v>20</v>
      </c>
      <c r="M7" s="2" t="s">
        <v>20</v>
      </c>
      <c r="N7" s="2"/>
      <c r="O7" s="26"/>
      <c r="P7" s="19">
        <f>I7</f>
        <v>0.89</v>
      </c>
      <c r="Q7" s="19">
        <f>P7/C7</f>
        <v>1.1125</v>
      </c>
    </row>
    <row r="8" spans="2:17" ht="20.100000000000001" customHeight="1">
      <c r="B8" s="9" t="s">
        <v>24</v>
      </c>
      <c r="C8" s="4">
        <v>70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>
        <v>81</v>
      </c>
      <c r="J8" s="2" t="s">
        <v>20</v>
      </c>
      <c r="K8" s="2" t="s">
        <v>20</v>
      </c>
      <c r="L8" s="2" t="s">
        <v>20</v>
      </c>
      <c r="M8" s="2" t="s">
        <v>20</v>
      </c>
      <c r="N8" s="2"/>
      <c r="O8" s="26"/>
      <c r="P8" s="18">
        <f>I8</f>
        <v>81</v>
      </c>
      <c r="Q8" s="19">
        <f>P8/C8</f>
        <v>1.1571428571428573</v>
      </c>
    </row>
    <row r="9" spans="2:17" ht="20.100000000000001" customHeight="1">
      <c r="B9" s="8" t="s">
        <v>25</v>
      </c>
      <c r="C9" s="4">
        <v>210</v>
      </c>
      <c r="D9" s="2"/>
      <c r="E9" s="2">
        <v>0</v>
      </c>
      <c r="F9" s="2">
        <v>32</v>
      </c>
      <c r="G9" s="2">
        <v>0</v>
      </c>
      <c r="H9" s="2">
        <v>0</v>
      </c>
      <c r="I9" s="2">
        <v>1</v>
      </c>
      <c r="J9" s="2">
        <v>1</v>
      </c>
      <c r="K9" s="2">
        <v>23</v>
      </c>
      <c r="L9" s="2">
        <v>4</v>
      </c>
      <c r="M9" s="2"/>
      <c r="N9" s="2"/>
      <c r="O9" s="26"/>
      <c r="P9" s="18">
        <f>SUM(D9:O9)</f>
        <v>61</v>
      </c>
      <c r="Q9" s="19">
        <f>((P9/C9)-1)*(-1)</f>
        <v>0.70952380952380945</v>
      </c>
    </row>
    <row r="10" spans="2:17" ht="20.100000000000001" hidden="1" customHeight="1">
      <c r="B10" s="8"/>
      <c r="C10" s="4" t="s">
        <v>20</v>
      </c>
      <c r="D10" s="2"/>
      <c r="E10" s="2"/>
      <c r="F10" s="2"/>
      <c r="G10" s="2"/>
      <c r="H10" s="2">
        <v>43</v>
      </c>
      <c r="I10" s="2"/>
      <c r="J10" s="2"/>
      <c r="K10" s="2"/>
      <c r="L10" s="2"/>
      <c r="M10" s="2">
        <v>13</v>
      </c>
      <c r="N10" s="2"/>
      <c r="O10" s="26"/>
      <c r="P10" s="18">
        <f>SUM(D10:O10)</f>
        <v>56</v>
      </c>
      <c r="Q10" s="18"/>
    </row>
    <row r="11" spans="2:17" ht="20.100000000000001" customHeight="1">
      <c r="B11" s="8" t="s">
        <v>26</v>
      </c>
      <c r="C11" s="4">
        <v>160</v>
      </c>
      <c r="D11" s="2"/>
      <c r="E11" s="2">
        <v>1</v>
      </c>
      <c r="F11" s="2">
        <v>21</v>
      </c>
      <c r="G11" s="2">
        <v>8</v>
      </c>
      <c r="H11" s="2">
        <v>45</v>
      </c>
      <c r="I11" s="2">
        <v>10</v>
      </c>
      <c r="J11" s="2">
        <v>13</v>
      </c>
      <c r="K11" s="2"/>
      <c r="L11" s="2">
        <v>20</v>
      </c>
      <c r="M11" s="2">
        <v>13</v>
      </c>
      <c r="N11" s="2"/>
      <c r="O11" s="26"/>
      <c r="P11" s="18">
        <f>SUM(D11:O11)</f>
        <v>131</v>
      </c>
      <c r="Q11" s="17">
        <f>P11/C11</f>
        <v>0.81874999999999998</v>
      </c>
    </row>
    <row r="12" spans="2:17" ht="20.100000000000001" customHeight="1">
      <c r="B12" s="8" t="s">
        <v>27</v>
      </c>
      <c r="C12" s="4">
        <v>419</v>
      </c>
      <c r="D12" s="2">
        <v>238</v>
      </c>
      <c r="E12" s="2">
        <v>219</v>
      </c>
      <c r="F12" s="2">
        <v>219</v>
      </c>
      <c r="G12" s="2">
        <v>217</v>
      </c>
      <c r="H12" s="2">
        <v>217</v>
      </c>
      <c r="I12" s="2">
        <v>217</v>
      </c>
      <c r="J12" s="2">
        <v>217</v>
      </c>
      <c r="K12" s="2">
        <v>218</v>
      </c>
      <c r="L12" s="2">
        <v>219</v>
      </c>
      <c r="M12" s="2"/>
      <c r="N12" s="2"/>
      <c r="O12" s="26"/>
      <c r="P12" s="18">
        <f>L12</f>
        <v>219</v>
      </c>
      <c r="Q12" s="18"/>
    </row>
    <row r="13" spans="2:17" ht="20.100000000000001" customHeight="1">
      <c r="B13" s="8" t="s">
        <v>28</v>
      </c>
      <c r="C13" s="4">
        <v>3460</v>
      </c>
      <c r="D13" s="2">
        <v>323</v>
      </c>
      <c r="E13" s="2">
        <v>297</v>
      </c>
      <c r="F13" s="2">
        <v>332</v>
      </c>
      <c r="G13" s="2">
        <v>363</v>
      </c>
      <c r="H13" s="2">
        <v>398</v>
      </c>
      <c r="I13" s="2">
        <v>407</v>
      </c>
      <c r="J13" s="2">
        <v>354</v>
      </c>
      <c r="K13" s="2">
        <v>387</v>
      </c>
      <c r="L13" s="2">
        <v>313</v>
      </c>
      <c r="M13" s="2"/>
      <c r="N13" s="2"/>
      <c r="O13" s="26"/>
      <c r="P13" s="18">
        <f>SUM(D13:O13)</f>
        <v>3174</v>
      </c>
      <c r="Q13" s="17">
        <f>P13/C13</f>
        <v>0.9173410404624277</v>
      </c>
    </row>
    <row r="14" spans="2:17" ht="20.100000000000001" customHeight="1" thickBot="1">
      <c r="B14" s="10" t="s">
        <v>29</v>
      </c>
      <c r="C14" s="6">
        <v>420</v>
      </c>
      <c r="D14" s="24">
        <v>0</v>
      </c>
      <c r="E14" s="24">
        <v>17</v>
      </c>
      <c r="F14" s="24">
        <v>50</v>
      </c>
      <c r="G14" s="24">
        <v>44</v>
      </c>
      <c r="H14" s="24">
        <v>56</v>
      </c>
      <c r="I14" s="24">
        <v>30</v>
      </c>
      <c r="J14" s="24">
        <v>35</v>
      </c>
      <c r="K14" s="24">
        <v>30</v>
      </c>
      <c r="L14" s="24">
        <v>62</v>
      </c>
      <c r="M14" s="24"/>
      <c r="N14" s="24"/>
      <c r="O14" s="27"/>
      <c r="P14" s="22">
        <f>SUM(D14:O14)</f>
        <v>324</v>
      </c>
      <c r="Q14" s="20">
        <f>P14/C14</f>
        <v>0.77142857142857146</v>
      </c>
    </row>
    <row r="16" spans="2:17">
      <c r="D16" s="1"/>
      <c r="E16" s="1"/>
      <c r="F16" s="1"/>
      <c r="G16" s="1"/>
      <c r="H16" s="1"/>
      <c r="I16" s="1"/>
      <c r="J16" s="1"/>
      <c r="K16" s="1"/>
      <c r="L16" s="1"/>
    </row>
  </sheetData>
  <mergeCells count="1">
    <mergeCell ref="B1:Q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OPERAÇÕES01</dc:creator>
  <cp:keywords/>
  <dc:description/>
  <cp:lastModifiedBy/>
  <cp:revision/>
  <dcterms:created xsi:type="dcterms:W3CDTF">2015-06-05T18:17:20Z</dcterms:created>
  <dcterms:modified xsi:type="dcterms:W3CDTF">2025-10-31T13:58:06Z</dcterms:modified>
  <cp:category/>
  <cp:contentStatus/>
</cp:coreProperties>
</file>