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esktop\"/>
    </mc:Choice>
  </mc:AlternateContent>
  <xr:revisionPtr revIDLastSave="0" documentId="8_{2758EA06-35B9-4C5B-A59A-9EF72AA759A7}" xr6:coauthVersionLast="47" xr6:coauthVersionMax="47" xr10:uidLastSave="{00000000-0000-0000-0000-000000000000}"/>
  <bookViews>
    <workbookView xWindow="-120" yWindow="-120" windowWidth="20730" windowHeight="11160" firstSheet="8" activeTab="8" xr2:uid="{B6EC8ACC-8967-4B49-B30C-FD2BA7015C73}"/>
  </bookViews>
  <sheets>
    <sheet name="Casa Sonhar" sheetId="11" state="hidden" r:id="rId1"/>
    <sheet name="Gloria Marques" sheetId="9" state="hidden" r:id="rId2"/>
    <sheet name="PSICO.MARKETING" sheetId="6" state="hidden" r:id="rId3"/>
    <sheet name="QP" sheetId="5" state="hidden" r:id="rId4"/>
    <sheet name="Polo BH - A Ponte" sheetId="10" state="hidden" r:id="rId5"/>
    <sheet name="Polo Casa Patrimar" sheetId="8" state="hidden" r:id="rId6"/>
    <sheet name="INDICADORES FIN." sheetId="3" state="hidden" r:id="rId7"/>
    <sheet name="Planilha2" sheetId="2" state="hidden" r:id="rId8"/>
    <sheet name="INDICADORES GERAL" sheetId="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1" l="1"/>
  <c r="Y33" i="1"/>
  <c r="Y24" i="1"/>
  <c r="Y28" i="1"/>
  <c r="Y26" i="1"/>
  <c r="Y25" i="1"/>
  <c r="Y16" i="1"/>
  <c r="G6" i="11"/>
  <c r="M6" i="11"/>
  <c r="S6" i="11"/>
  <c r="Y6" i="11"/>
  <c r="AE6" i="11"/>
  <c r="AK6" i="11"/>
  <c r="G7" i="11"/>
  <c r="M7" i="11"/>
  <c r="S7" i="11"/>
  <c r="Y7" i="11"/>
  <c r="AE7" i="11"/>
  <c r="AK7" i="11"/>
  <c r="G10" i="11"/>
  <c r="M10" i="11"/>
  <c r="S10" i="11"/>
  <c r="Y10" i="11"/>
  <c r="AE10" i="11"/>
  <c r="S11" i="11"/>
  <c r="Y11" i="11"/>
  <c r="AE11" i="11"/>
  <c r="G12" i="11"/>
  <c r="S12" i="11"/>
  <c r="Y13" i="11"/>
  <c r="AE13" i="11"/>
  <c r="AE15" i="11"/>
  <c r="BY8" i="5"/>
  <c r="BO21" i="9"/>
  <c r="BO9" i="9"/>
  <c r="BO20" i="9"/>
  <c r="BO49" i="9"/>
  <c r="BO50" i="9"/>
  <c r="BO51" i="9"/>
  <c r="BO52" i="9"/>
  <c r="BO53" i="9"/>
  <c r="BO54" i="9"/>
  <c r="BO55" i="9"/>
  <c r="BO56" i="9"/>
  <c r="BO57" i="9"/>
  <c r="BO58" i="9"/>
  <c r="BO59" i="9"/>
  <c r="BO60" i="9"/>
  <c r="BO61" i="9"/>
  <c r="BO62" i="9"/>
  <c r="BO63" i="9"/>
  <c r="BO64" i="9"/>
  <c r="BO65" i="9"/>
  <c r="BO66" i="9"/>
  <c r="BO67" i="9"/>
  <c r="BO68" i="9"/>
  <c r="BO48" i="9"/>
  <c r="AK30" i="11"/>
  <c r="AK31" i="11"/>
  <c r="AK32" i="11"/>
  <c r="AK33" i="11"/>
  <c r="AK34" i="11"/>
  <c r="AK35" i="11"/>
  <c r="AK36" i="11"/>
  <c r="AK37" i="11"/>
  <c r="AK29" i="11"/>
  <c r="BI49" i="9"/>
  <c r="BI50" i="9"/>
  <c r="BI51" i="9"/>
  <c r="BI52" i="9"/>
  <c r="BI53" i="9"/>
  <c r="BI54" i="9"/>
  <c r="BI55" i="9"/>
  <c r="BI56" i="9"/>
  <c r="BI57" i="9"/>
  <c r="BI58" i="9"/>
  <c r="BI59" i="9"/>
  <c r="BI60" i="9"/>
  <c r="BI61" i="9"/>
  <c r="BI62" i="9"/>
  <c r="BI63" i="9"/>
  <c r="BI64" i="9"/>
  <c r="BI65" i="9"/>
  <c r="BI66" i="9"/>
  <c r="BI67" i="9"/>
  <c r="BI68" i="9"/>
  <c r="BI48" i="9"/>
  <c r="BH69" i="9"/>
  <c r="BR12" i="5"/>
  <c r="BY56" i="5"/>
  <c r="BY55" i="5"/>
  <c r="BY46" i="5"/>
  <c r="BY45" i="5"/>
  <c r="BY44" i="5"/>
  <c r="BY43" i="5"/>
  <c r="BY42" i="5"/>
  <c r="BY41" i="5"/>
  <c r="BY40" i="5"/>
  <c r="BY39" i="5"/>
  <c r="BX36" i="5"/>
  <c r="BW36" i="5"/>
  <c r="BV36" i="5"/>
  <c r="BU36" i="5"/>
  <c r="BT36" i="5"/>
  <c r="BY31" i="5"/>
  <c r="BY30" i="5"/>
  <c r="BY27" i="5"/>
  <c r="BY26" i="5"/>
  <c r="BY25" i="5"/>
  <c r="BY24" i="5"/>
  <c r="BY23" i="5"/>
  <c r="BX21" i="5"/>
  <c r="BW21" i="5"/>
  <c r="BV21" i="5"/>
  <c r="BU21" i="5"/>
  <c r="BT21" i="5"/>
  <c r="BY7" i="5"/>
  <c r="BY6" i="5"/>
  <c r="BR9" i="5"/>
  <c r="BR10" i="5"/>
  <c r="BR7" i="5"/>
  <c r="BR8" i="5"/>
  <c r="BR11" i="5"/>
  <c r="AE37" i="11"/>
  <c r="AE30" i="11"/>
  <c r="AE31" i="11"/>
  <c r="AE32" i="11"/>
  <c r="AE33" i="11"/>
  <c r="AE34" i="11"/>
  <c r="AE35" i="11"/>
  <c r="AE8" i="11"/>
  <c r="AE9" i="11"/>
  <c r="BI8" i="9"/>
  <c r="BI9" i="9"/>
  <c r="BI10" i="9"/>
  <c r="BI11" i="9"/>
  <c r="BI12" i="9"/>
  <c r="BI13" i="9"/>
  <c r="BI14" i="9"/>
  <c r="BI16" i="9"/>
  <c r="BI17" i="9"/>
  <c r="BI19" i="9"/>
  <c r="BI20" i="9"/>
  <c r="BI21" i="9"/>
  <c r="BI6" i="9"/>
  <c r="AD38" i="11"/>
  <c r="BK47" i="5"/>
  <c r="BK48" i="5"/>
  <c r="BK49" i="5"/>
  <c r="BK50" i="5"/>
  <c r="BK51" i="5"/>
  <c r="BR56" i="5"/>
  <c r="BR55" i="5"/>
  <c r="BR46" i="5"/>
  <c r="BR45" i="5"/>
  <c r="BR44" i="5"/>
  <c r="BR43" i="5"/>
  <c r="BR42" i="5"/>
  <c r="BR41" i="5"/>
  <c r="BR40" i="5"/>
  <c r="BR39" i="5"/>
  <c r="BQ36" i="5"/>
  <c r="BP36" i="5"/>
  <c r="BO36" i="5"/>
  <c r="BN36" i="5"/>
  <c r="BM36" i="5"/>
  <c r="BR31" i="5"/>
  <c r="BR30" i="5"/>
  <c r="BR27" i="5"/>
  <c r="BR26" i="5"/>
  <c r="BR25" i="5"/>
  <c r="BR24" i="5"/>
  <c r="BR23" i="5"/>
  <c r="BQ21" i="5"/>
  <c r="BP21" i="5"/>
  <c r="BO21" i="5"/>
  <c r="BN21" i="5"/>
  <c r="BM21" i="5"/>
  <c r="BR6" i="5"/>
  <c r="BK15" i="5"/>
  <c r="BK16" i="5"/>
  <c r="BK18" i="5"/>
  <c r="BK19" i="5"/>
  <c r="X38" i="11"/>
  <c r="BP5" i="6"/>
  <c r="BP6" i="6"/>
  <c r="BP7" i="6"/>
  <c r="BP8" i="6"/>
  <c r="BP9" i="6"/>
  <c r="BP10" i="6"/>
  <c r="BJ5" i="6"/>
  <c r="BJ6" i="6"/>
  <c r="BJ7" i="6"/>
  <c r="BJ8" i="6"/>
  <c r="BJ9" i="6"/>
  <c r="BJ10" i="6"/>
  <c r="B50" i="5"/>
  <c r="C50" i="5"/>
  <c r="D50" i="5"/>
  <c r="E50" i="5"/>
  <c r="F50" i="5"/>
  <c r="I50" i="5"/>
  <c r="J50" i="5"/>
  <c r="K50" i="5"/>
  <c r="L50" i="5"/>
  <c r="M50" i="5"/>
  <c r="P50" i="5"/>
  <c r="Q50" i="5"/>
  <c r="R50" i="5"/>
  <c r="S50" i="5"/>
  <c r="T50" i="5"/>
  <c r="W50" i="5"/>
  <c r="X50" i="5"/>
  <c r="Y50" i="5"/>
  <c r="Z50" i="5"/>
  <c r="AA50" i="5"/>
  <c r="AD50" i="5"/>
  <c r="AE50" i="5"/>
  <c r="AF50" i="5"/>
  <c r="AG50" i="5"/>
  <c r="AH50" i="5"/>
  <c r="AK50" i="5"/>
  <c r="AL50" i="5"/>
  <c r="AM50" i="5"/>
  <c r="AN50" i="5"/>
  <c r="AO50" i="5"/>
  <c r="AR50" i="5"/>
  <c r="AS50" i="5"/>
  <c r="AT50" i="5"/>
  <c r="AU50" i="5"/>
  <c r="AV50" i="5"/>
  <c r="AY50" i="5"/>
  <c r="AZ50" i="5"/>
  <c r="BA50" i="5"/>
  <c r="BB50" i="5"/>
  <c r="BC50" i="5"/>
  <c r="Y35" i="11"/>
  <c r="BC21" i="9"/>
  <c r="BC8" i="9"/>
  <c r="BC9" i="9"/>
  <c r="BC10" i="9"/>
  <c r="BC11" i="9"/>
  <c r="BC13" i="9"/>
  <c r="BC14" i="9"/>
  <c r="BC16" i="9"/>
  <c r="BC17" i="9"/>
  <c r="BC18" i="9"/>
  <c r="BC20" i="9"/>
  <c r="Y8" i="11"/>
  <c r="Y9" i="11"/>
  <c r="BK12" i="5"/>
  <c r="BK13" i="5"/>
  <c r="BK14" i="5"/>
  <c r="BD5" i="6"/>
  <c r="BD6" i="6"/>
  <c r="BD7" i="6"/>
  <c r="BD8" i="6"/>
  <c r="BD9" i="6"/>
  <c r="BD10" i="6"/>
  <c r="BK6" i="5"/>
  <c r="BK7" i="5"/>
  <c r="BK8" i="5"/>
  <c r="BK9" i="5"/>
  <c r="BK10" i="5"/>
  <c r="BK11" i="5"/>
  <c r="AW12" i="9"/>
  <c r="AW6" i="9"/>
  <c r="AW7" i="9"/>
  <c r="AW8" i="9"/>
  <c r="AW9" i="9"/>
  <c r="AW10" i="9"/>
  <c r="AW11" i="9"/>
  <c r="AW14" i="9"/>
  <c r="AW16" i="9"/>
  <c r="AW17" i="9"/>
  <c r="AW18" i="9"/>
  <c r="AW20" i="9"/>
  <c r="S8" i="11"/>
  <c r="S9" i="11"/>
  <c r="BC51" i="9"/>
  <c r="BC52" i="9"/>
  <c r="BC53" i="9"/>
  <c r="BC54" i="9"/>
  <c r="BC55" i="9"/>
  <c r="BC56" i="9"/>
  <c r="BC57" i="9"/>
  <c r="BC58" i="9"/>
  <c r="BC59" i="9"/>
  <c r="BC60" i="9"/>
  <c r="BC61" i="9"/>
  <c r="BC62" i="9"/>
  <c r="Y32" i="11"/>
  <c r="Y33" i="11"/>
  <c r="Y34" i="11"/>
  <c r="BK57" i="5"/>
  <c r="BK56" i="5"/>
  <c r="BK55" i="5"/>
  <c r="BK54" i="5"/>
  <c r="BK46" i="5"/>
  <c r="BK45" i="5"/>
  <c r="BK44" i="5"/>
  <c r="BK43" i="5"/>
  <c r="BK42" i="5"/>
  <c r="BK41" i="5"/>
  <c r="BK40" i="5"/>
  <c r="BK39" i="5"/>
  <c r="BJ36" i="5"/>
  <c r="BI36" i="5"/>
  <c r="BH36" i="5"/>
  <c r="BG36" i="5"/>
  <c r="BF36" i="5"/>
  <c r="BK31" i="5"/>
  <c r="BK30" i="5"/>
  <c r="BK27" i="5"/>
  <c r="BK26" i="5"/>
  <c r="BK25" i="5"/>
  <c r="BK24" i="5"/>
  <c r="BK23" i="5"/>
  <c r="BJ21" i="5"/>
  <c r="BI21" i="5"/>
  <c r="BH21" i="5"/>
  <c r="BG21" i="5"/>
  <c r="BF21" i="5"/>
  <c r="O16" i="11"/>
  <c r="AQ27" i="9"/>
  <c r="P16" i="11"/>
  <c r="S32" i="11"/>
  <c r="S33" i="11"/>
  <c r="S34" i="11"/>
  <c r="AW51" i="9"/>
  <c r="AW52" i="9"/>
  <c r="AW53" i="9"/>
  <c r="AW54" i="9"/>
  <c r="AW55" i="9"/>
  <c r="AW56" i="9"/>
  <c r="AW57" i="9"/>
  <c r="AW58" i="9"/>
  <c r="AW59" i="9"/>
  <c r="AW60" i="9"/>
  <c r="AW61" i="9"/>
  <c r="AW62" i="9"/>
  <c r="AX10" i="6"/>
  <c r="AX9" i="6"/>
  <c r="AX8" i="6"/>
  <c r="AX7" i="6"/>
  <c r="AX6" i="6"/>
  <c r="AX5" i="6"/>
  <c r="BD57" i="5"/>
  <c r="BD56" i="5"/>
  <c r="BD55" i="5"/>
  <c r="BD54" i="5"/>
  <c r="BD46" i="5"/>
  <c r="BD45" i="5"/>
  <c r="BD44" i="5"/>
  <c r="BD43" i="5"/>
  <c r="BD42" i="5"/>
  <c r="BD41" i="5"/>
  <c r="BD40" i="5"/>
  <c r="BD39" i="5"/>
  <c r="BC36" i="5"/>
  <c r="BB36" i="5"/>
  <c r="BA36" i="5"/>
  <c r="AZ36" i="5"/>
  <c r="AY36" i="5"/>
  <c r="BD31" i="5"/>
  <c r="BD30" i="5"/>
  <c r="BD27" i="5"/>
  <c r="BD26" i="5"/>
  <c r="BD25" i="5"/>
  <c r="BD24" i="5"/>
  <c r="BD23" i="5"/>
  <c r="BC21" i="5"/>
  <c r="BB21" i="5"/>
  <c r="BA21" i="5"/>
  <c r="AZ21" i="5"/>
  <c r="AY21" i="5"/>
  <c r="BD8" i="5"/>
  <c r="BD7" i="5"/>
  <c r="BD6" i="5"/>
  <c r="AQ16" i="9"/>
  <c r="AW7" i="5"/>
  <c r="AW8" i="5"/>
  <c r="AQ7" i="9"/>
  <c r="AQ51" i="9"/>
  <c r="AQ52" i="9"/>
  <c r="AQ53" i="9"/>
  <c r="AQ54" i="9"/>
  <c r="AQ55" i="9"/>
  <c r="AQ56" i="9"/>
  <c r="AQ57" i="9"/>
  <c r="AQ58" i="9"/>
  <c r="AQ59" i="9"/>
  <c r="AQ60" i="9"/>
  <c r="AQ61" i="9"/>
  <c r="AQ62" i="9"/>
  <c r="AQ63" i="9"/>
  <c r="AQ64" i="9"/>
  <c r="AQ65" i="9"/>
  <c r="AQ66" i="9"/>
  <c r="AQ67" i="9"/>
  <c r="M34" i="11"/>
  <c r="H38" i="11"/>
  <c r="AL69" i="9"/>
  <c r="AQ8" i="9"/>
  <c r="AQ9" i="9"/>
  <c r="AQ10" i="9"/>
  <c r="AQ11" i="9"/>
  <c r="AQ12" i="9"/>
  <c r="AQ13" i="9"/>
  <c r="AQ14" i="9"/>
  <c r="AQ17" i="9"/>
  <c r="AQ19" i="9"/>
  <c r="AQ20" i="9"/>
  <c r="M9" i="11"/>
  <c r="AK27" i="9"/>
  <c r="AG28" i="9"/>
  <c r="F38" i="11"/>
  <c r="G8" i="11"/>
  <c r="G9" i="11"/>
  <c r="AK40" i="11"/>
  <c r="AE40" i="11"/>
  <c r="Y40" i="11"/>
  <c r="S40" i="11"/>
  <c r="M40" i="11"/>
  <c r="AK39" i="11"/>
  <c r="AE39" i="11"/>
  <c r="Y39" i="11"/>
  <c r="S39" i="11"/>
  <c r="M39" i="11"/>
  <c r="G39" i="11"/>
  <c r="AJ38" i="11"/>
  <c r="AI38" i="11"/>
  <c r="AH38" i="11"/>
  <c r="AG38" i="11"/>
  <c r="AF38" i="11"/>
  <c r="AC38" i="11"/>
  <c r="AB38" i="11"/>
  <c r="AA38" i="11"/>
  <c r="Z38" i="11"/>
  <c r="W38" i="11"/>
  <c r="V38" i="11"/>
  <c r="U38" i="11"/>
  <c r="T38" i="11"/>
  <c r="Q38" i="11"/>
  <c r="P38" i="11"/>
  <c r="O38" i="11"/>
  <c r="N38" i="11"/>
  <c r="L38" i="11"/>
  <c r="K38" i="11"/>
  <c r="J38" i="11"/>
  <c r="I38" i="11"/>
  <c r="E38" i="11"/>
  <c r="D38" i="11"/>
  <c r="C38" i="11"/>
  <c r="B38" i="11"/>
  <c r="G34" i="11"/>
  <c r="G32" i="11"/>
  <c r="Y31" i="11"/>
  <c r="S31" i="11"/>
  <c r="M31" i="11"/>
  <c r="G31" i="11"/>
  <c r="Y30" i="11"/>
  <c r="S30" i="11"/>
  <c r="G30" i="11"/>
  <c r="AE29" i="11"/>
  <c r="Y29" i="11"/>
  <c r="S29" i="11"/>
  <c r="M29" i="11"/>
  <c r="G29" i="11"/>
  <c r="AJ26" i="11"/>
  <c r="AI26" i="11"/>
  <c r="AH26" i="11"/>
  <c r="AG26" i="11"/>
  <c r="AF26" i="11"/>
  <c r="AD26" i="11"/>
  <c r="AC26" i="11"/>
  <c r="AB26" i="11"/>
  <c r="AA26" i="11"/>
  <c r="Z26" i="11"/>
  <c r="X26" i="11"/>
  <c r="W26" i="11"/>
  <c r="V26" i="11"/>
  <c r="U26" i="11"/>
  <c r="T26" i="11"/>
  <c r="R26" i="11"/>
  <c r="Q26" i="11"/>
  <c r="P26" i="11"/>
  <c r="O26" i="11"/>
  <c r="N26" i="11"/>
  <c r="L26" i="11"/>
  <c r="K26" i="11"/>
  <c r="J26" i="11"/>
  <c r="I26" i="11"/>
  <c r="H26" i="11"/>
  <c r="F26" i="11"/>
  <c r="E26" i="11"/>
  <c r="D26" i="11"/>
  <c r="C26" i="11"/>
  <c r="B26" i="11"/>
  <c r="AK20" i="11"/>
  <c r="AE20" i="11"/>
  <c r="Y20" i="11"/>
  <c r="S20" i="11"/>
  <c r="M20" i="11"/>
  <c r="G20" i="11"/>
  <c r="AK19" i="11"/>
  <c r="AE19" i="11"/>
  <c r="Y19" i="11"/>
  <c r="S19" i="11"/>
  <c r="M19" i="11"/>
  <c r="G19" i="11"/>
  <c r="AK18" i="11"/>
  <c r="AE18" i="11"/>
  <c r="Y18" i="11"/>
  <c r="S18" i="11"/>
  <c r="M18" i="11"/>
  <c r="G18" i="11"/>
  <c r="AJ16" i="11"/>
  <c r="AI16" i="11"/>
  <c r="AH16" i="11"/>
  <c r="AG16" i="11"/>
  <c r="AF16" i="11"/>
  <c r="AD16" i="11"/>
  <c r="AC16" i="11"/>
  <c r="AB16" i="11"/>
  <c r="AA16" i="11"/>
  <c r="Z16" i="11"/>
  <c r="X16" i="11"/>
  <c r="W16" i="11"/>
  <c r="V16" i="11"/>
  <c r="U16" i="11"/>
  <c r="T16" i="11"/>
  <c r="R16" i="11"/>
  <c r="Q16" i="11"/>
  <c r="N16" i="11"/>
  <c r="L16" i="11"/>
  <c r="K16" i="11"/>
  <c r="J16" i="11"/>
  <c r="I16" i="11"/>
  <c r="H16" i="11"/>
  <c r="F16" i="11"/>
  <c r="E16" i="11"/>
  <c r="D16" i="11"/>
  <c r="C16" i="11"/>
  <c r="B16" i="11"/>
  <c r="M8" i="11"/>
  <c r="AK16" i="11"/>
  <c r="AL5" i="6"/>
  <c r="AP9" i="5"/>
  <c r="AK7" i="9"/>
  <c r="AK9" i="9"/>
  <c r="AK11" i="9"/>
  <c r="AK12" i="9"/>
  <c r="AK13" i="9"/>
  <c r="AK16" i="9"/>
  <c r="AK17" i="9"/>
  <c r="AK19" i="9"/>
  <c r="AK20" i="9"/>
  <c r="AR5" i="6"/>
  <c r="AR6" i="6"/>
  <c r="AR7" i="6"/>
  <c r="AR8" i="6"/>
  <c r="AR9" i="6"/>
  <c r="AR10" i="6"/>
  <c r="AP8" i="5"/>
  <c r="AF9" i="6"/>
  <c r="AK67" i="9"/>
  <c r="AL6" i="6"/>
  <c r="AL7" i="6"/>
  <c r="AL8" i="6"/>
  <c r="AK6" i="9"/>
  <c r="AE19" i="9"/>
  <c r="AI7" i="5"/>
  <c r="AI8" i="5"/>
  <c r="AI9" i="5"/>
  <c r="AI10" i="5"/>
  <c r="AI11" i="5"/>
  <c r="AI6" i="5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48" i="9"/>
  <c r="AE66" i="9"/>
  <c r="AE65" i="9"/>
  <c r="AE64" i="9"/>
  <c r="AE63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20" i="9"/>
  <c r="AE26" i="9"/>
  <c r="Y26" i="9"/>
  <c r="Z28" i="9"/>
  <c r="AE7" i="9"/>
  <c r="AE8" i="9"/>
  <c r="AE9" i="9"/>
  <c r="AE10" i="9"/>
  <c r="AE11" i="9"/>
  <c r="AE12" i="9"/>
  <c r="AE13" i="9"/>
  <c r="AE14" i="9"/>
  <c r="AE16" i="9"/>
  <c r="AE17" i="9"/>
  <c r="AE18" i="9"/>
  <c r="AE6" i="9"/>
  <c r="AA28" i="9"/>
  <c r="V28" i="9"/>
  <c r="U28" i="9"/>
  <c r="T28" i="9"/>
  <c r="AB9" i="5"/>
  <c r="U9" i="5"/>
  <c r="AB8" i="5"/>
  <c r="AB7" i="5"/>
  <c r="AB6" i="5"/>
  <c r="I36" i="5"/>
  <c r="Y6" i="9"/>
  <c r="Y13" i="9"/>
  <c r="Y14" i="9"/>
  <c r="Y15" i="9"/>
  <c r="Y16" i="9"/>
  <c r="Y17" i="9"/>
  <c r="Y18" i="9"/>
  <c r="Y9" i="9"/>
  <c r="Y8" i="9"/>
  <c r="N28" i="9"/>
  <c r="N6" i="5"/>
  <c r="N7" i="5"/>
  <c r="N8" i="5"/>
  <c r="N9" i="5"/>
  <c r="S51" i="9"/>
  <c r="S52" i="9"/>
  <c r="S53" i="9"/>
  <c r="S54" i="9"/>
  <c r="S55" i="9"/>
  <c r="S56" i="9"/>
  <c r="S57" i="9"/>
  <c r="S58" i="9"/>
  <c r="S59" i="9"/>
  <c r="S60" i="9"/>
  <c r="S61" i="9"/>
  <c r="S62" i="9"/>
  <c r="S43" i="9"/>
  <c r="S44" i="9"/>
  <c r="S33" i="9"/>
  <c r="S34" i="9"/>
  <c r="S35" i="9"/>
  <c r="S36" i="9"/>
  <c r="S37" i="9"/>
  <c r="S38" i="9"/>
  <c r="S39" i="9"/>
  <c r="R45" i="9"/>
  <c r="S7" i="9"/>
  <c r="S8" i="9"/>
  <c r="S9" i="9"/>
  <c r="S11" i="9"/>
  <c r="S12" i="9"/>
  <c r="S13" i="9"/>
  <c r="S14" i="9"/>
  <c r="S15" i="9"/>
  <c r="S16" i="9"/>
  <c r="S17" i="9"/>
  <c r="S18" i="9"/>
  <c r="S26" i="9"/>
  <c r="S6" i="9"/>
  <c r="K28" i="9"/>
  <c r="J28" i="9"/>
  <c r="I28" i="9"/>
  <c r="H28" i="9"/>
  <c r="M26" i="9"/>
  <c r="N10" i="5"/>
  <c r="N11" i="5"/>
  <c r="N12" i="5"/>
  <c r="N13" i="5"/>
  <c r="N14" i="5"/>
  <c r="M6" i="9"/>
  <c r="M12" i="9"/>
  <c r="F21" i="5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48" i="9"/>
  <c r="G26" i="9"/>
  <c r="M7" i="9"/>
  <c r="M8" i="9"/>
  <c r="M9" i="9"/>
  <c r="M10" i="9"/>
  <c r="M11" i="9"/>
  <c r="M13" i="9"/>
  <c r="M14" i="9"/>
  <c r="M15" i="9"/>
  <c r="M16" i="9"/>
  <c r="M17" i="9"/>
  <c r="M18" i="9"/>
  <c r="H8" i="6"/>
  <c r="G7" i="9"/>
  <c r="G8" i="9"/>
  <c r="G9" i="9"/>
  <c r="G10" i="9"/>
  <c r="G11" i="9"/>
  <c r="G13" i="9"/>
  <c r="G14" i="9"/>
  <c r="G15" i="9"/>
  <c r="G16" i="9"/>
  <c r="G17" i="9"/>
  <c r="G1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48" i="9"/>
  <c r="B69" i="9"/>
  <c r="T6" i="6"/>
  <c r="T7" i="6"/>
  <c r="N6" i="6"/>
  <c r="N7" i="6"/>
  <c r="N8" i="6"/>
  <c r="H6" i="6"/>
  <c r="H7" i="6"/>
  <c r="BO36" i="10"/>
  <c r="BI36" i="10"/>
  <c r="BC36" i="10"/>
  <c r="AW36" i="10"/>
  <c r="AQ36" i="10"/>
  <c r="AE36" i="10"/>
  <c r="Y36" i="10"/>
  <c r="S36" i="10"/>
  <c r="M36" i="10"/>
  <c r="G36" i="10"/>
  <c r="BO35" i="10"/>
  <c r="BI35" i="10"/>
  <c r="BC35" i="10"/>
  <c r="AW35" i="10"/>
  <c r="AQ35" i="10"/>
  <c r="AK35" i="10"/>
  <c r="AE35" i="10"/>
  <c r="Y35" i="10"/>
  <c r="S35" i="10"/>
  <c r="M35" i="10"/>
  <c r="G35" i="10"/>
  <c r="BN34" i="10"/>
  <c r="BM34" i="10"/>
  <c r="BL34" i="10"/>
  <c r="BK34" i="10"/>
  <c r="BJ34" i="10"/>
  <c r="BH34" i="10"/>
  <c r="BG34" i="10"/>
  <c r="BF34" i="10"/>
  <c r="BE34" i="10"/>
  <c r="BD34" i="10"/>
  <c r="BA34" i="10"/>
  <c r="AZ34" i="10"/>
  <c r="AY34" i="10"/>
  <c r="AX34" i="10"/>
  <c r="AU34" i="10"/>
  <c r="AT34" i="10"/>
  <c r="AS34" i="10"/>
  <c r="AR34" i="10"/>
  <c r="AP34" i="10"/>
  <c r="AO34" i="10"/>
  <c r="AN34" i="10"/>
  <c r="AM34" i="10"/>
  <c r="AL34" i="10"/>
  <c r="AK34" i="10"/>
  <c r="AJ34" i="10"/>
  <c r="AI34" i="10"/>
  <c r="AH34" i="10"/>
  <c r="AG34" i="10"/>
  <c r="AF34" i="10"/>
  <c r="AD34" i="10"/>
  <c r="AC34" i="10"/>
  <c r="AB34" i="10"/>
  <c r="AA34" i="10"/>
  <c r="Z34" i="10"/>
  <c r="X34" i="10"/>
  <c r="W34" i="10"/>
  <c r="V34" i="10"/>
  <c r="U34" i="10"/>
  <c r="T34" i="10"/>
  <c r="Q34" i="10"/>
  <c r="P34" i="10"/>
  <c r="O34" i="10"/>
  <c r="N34" i="10"/>
  <c r="L34" i="10"/>
  <c r="K34" i="10"/>
  <c r="J34" i="10"/>
  <c r="I34" i="10"/>
  <c r="H34" i="10"/>
  <c r="F34" i="10"/>
  <c r="E34" i="10"/>
  <c r="D34" i="10"/>
  <c r="C34" i="10"/>
  <c r="B34" i="10"/>
  <c r="BO33" i="10"/>
  <c r="BI33" i="10"/>
  <c r="BC33" i="10"/>
  <c r="AW33" i="10"/>
  <c r="AQ33" i="10"/>
  <c r="AE33" i="10"/>
  <c r="Y33" i="10"/>
  <c r="S33" i="10"/>
  <c r="M33" i="10"/>
  <c r="G33" i="10"/>
  <c r="BO32" i="10"/>
  <c r="BI32" i="10"/>
  <c r="BC32" i="10"/>
  <c r="AW32" i="10"/>
  <c r="AQ32" i="10"/>
  <c r="AE32" i="10"/>
  <c r="Y32" i="10"/>
  <c r="S32" i="10"/>
  <c r="M32" i="10"/>
  <c r="G32" i="10"/>
  <c r="BO31" i="10"/>
  <c r="BI31" i="10"/>
  <c r="BC31" i="10"/>
  <c r="AW31" i="10"/>
  <c r="AQ31" i="10"/>
  <c r="AE31" i="10"/>
  <c r="Y31" i="10"/>
  <c r="S31" i="10"/>
  <c r="M31" i="10"/>
  <c r="G31" i="10"/>
  <c r="BO30" i="10"/>
  <c r="BI30" i="10"/>
  <c r="BC30" i="10"/>
  <c r="AW30" i="10"/>
  <c r="AQ30" i="10"/>
  <c r="AE30" i="10"/>
  <c r="Y30" i="10"/>
  <c r="S30" i="10"/>
  <c r="M30" i="10"/>
  <c r="G30" i="10"/>
  <c r="BO29" i="10"/>
  <c r="BI29" i="10"/>
  <c r="BC29" i="10"/>
  <c r="AW29" i="10"/>
  <c r="AQ29" i="10"/>
  <c r="AE29" i="10"/>
  <c r="Y29" i="10"/>
  <c r="S29" i="10"/>
  <c r="M29" i="10"/>
  <c r="G29" i="10"/>
  <c r="BO28" i="10"/>
  <c r="BI28" i="10"/>
  <c r="BC28" i="10"/>
  <c r="AW28" i="10"/>
  <c r="AQ28" i="10"/>
  <c r="AE28" i="10"/>
  <c r="Y28" i="10"/>
  <c r="S28" i="10"/>
  <c r="M28" i="10"/>
  <c r="G28" i="10"/>
  <c r="BO27" i="10"/>
  <c r="BI27" i="10"/>
  <c r="BC27" i="10"/>
  <c r="BC34" i="10" s="1"/>
  <c r="AW27" i="10"/>
  <c r="AW34" i="10" s="1"/>
  <c r="AQ27" i="10"/>
  <c r="AE27" i="10"/>
  <c r="Y27" i="10"/>
  <c r="S27" i="10"/>
  <c r="M27" i="10"/>
  <c r="M34" i="10" s="1"/>
  <c r="G27" i="10"/>
  <c r="G34" i="10" s="1"/>
  <c r="BN24" i="10"/>
  <c r="BM24" i="10"/>
  <c r="BL24" i="10"/>
  <c r="BK24" i="10"/>
  <c r="BJ24" i="10"/>
  <c r="BH24" i="10"/>
  <c r="BG24" i="10"/>
  <c r="BF24" i="10"/>
  <c r="BE24" i="10"/>
  <c r="BD24" i="10"/>
  <c r="BB24" i="10"/>
  <c r="BA24" i="10"/>
  <c r="AZ24" i="10"/>
  <c r="AY24" i="10"/>
  <c r="AX24" i="10"/>
  <c r="AV24" i="10"/>
  <c r="AU24" i="10"/>
  <c r="AT24" i="10"/>
  <c r="AS24" i="10"/>
  <c r="AR24" i="10"/>
  <c r="AP24" i="10"/>
  <c r="AO24" i="10"/>
  <c r="AN24" i="10"/>
  <c r="AM24" i="10"/>
  <c r="AL24" i="10"/>
  <c r="AJ24" i="10"/>
  <c r="AI24" i="10"/>
  <c r="AH24" i="10"/>
  <c r="AG24" i="10"/>
  <c r="AF24" i="10"/>
  <c r="AD24" i="10"/>
  <c r="AC24" i="10"/>
  <c r="AB24" i="10"/>
  <c r="AA24" i="10"/>
  <c r="Z24" i="10"/>
  <c r="X24" i="10"/>
  <c r="W24" i="10"/>
  <c r="V24" i="10"/>
  <c r="U24" i="10"/>
  <c r="T24" i="10"/>
  <c r="R24" i="10"/>
  <c r="Q24" i="10"/>
  <c r="P24" i="10"/>
  <c r="O24" i="10"/>
  <c r="N24" i="10"/>
  <c r="L24" i="10"/>
  <c r="K24" i="10"/>
  <c r="J24" i="10"/>
  <c r="I24" i="10"/>
  <c r="H24" i="10"/>
  <c r="F24" i="10"/>
  <c r="E24" i="10"/>
  <c r="D24" i="10"/>
  <c r="C24" i="10"/>
  <c r="B24" i="10"/>
  <c r="BO23" i="10"/>
  <c r="BI23" i="10"/>
  <c r="BC23" i="10"/>
  <c r="AW23" i="10"/>
  <c r="AQ23" i="10"/>
  <c r="AK23" i="10"/>
  <c r="AE23" i="10"/>
  <c r="Y23" i="10"/>
  <c r="S23" i="10"/>
  <c r="M23" i="10"/>
  <c r="G23" i="10"/>
  <c r="BO22" i="10"/>
  <c r="BI22" i="10"/>
  <c r="BC22" i="10"/>
  <c r="AW22" i="10"/>
  <c r="AQ22" i="10"/>
  <c r="AK22" i="10"/>
  <c r="AE22" i="10"/>
  <c r="Y22" i="10"/>
  <c r="S22" i="10"/>
  <c r="M22" i="10"/>
  <c r="G22" i="10"/>
  <c r="BO21" i="10"/>
  <c r="BI21" i="10"/>
  <c r="BC21" i="10"/>
  <c r="AW21" i="10"/>
  <c r="AQ21" i="10"/>
  <c r="AK21" i="10"/>
  <c r="AE21" i="10"/>
  <c r="Y21" i="10"/>
  <c r="S21" i="10"/>
  <c r="M21" i="10"/>
  <c r="G21" i="10"/>
  <c r="BO20" i="10"/>
  <c r="BI20" i="10"/>
  <c r="BC20" i="10"/>
  <c r="AW20" i="10"/>
  <c r="AQ20" i="10"/>
  <c r="AK20" i="10"/>
  <c r="AE20" i="10"/>
  <c r="Y20" i="10"/>
  <c r="S20" i="10"/>
  <c r="M20" i="10"/>
  <c r="G20" i="10"/>
  <c r="BO19" i="10"/>
  <c r="BI19" i="10"/>
  <c r="BC19" i="10"/>
  <c r="AW19" i="10"/>
  <c r="AQ19" i="10"/>
  <c r="AK19" i="10"/>
  <c r="AE19" i="10"/>
  <c r="Y19" i="10"/>
  <c r="S19" i="10"/>
  <c r="M19" i="10"/>
  <c r="G19" i="10"/>
  <c r="BO18" i="10"/>
  <c r="BI18" i="10"/>
  <c r="BC18" i="10"/>
  <c r="AW18" i="10"/>
  <c r="AQ18" i="10"/>
  <c r="AK18" i="10"/>
  <c r="AE18" i="10"/>
  <c r="Y18" i="10"/>
  <c r="S18" i="10"/>
  <c r="M18" i="10"/>
  <c r="G18" i="10"/>
  <c r="BO17" i="10"/>
  <c r="BI17" i="10"/>
  <c r="BC17" i="10"/>
  <c r="AW17" i="10"/>
  <c r="AQ17" i="10"/>
  <c r="AK17" i="10"/>
  <c r="AE17" i="10"/>
  <c r="Y17" i="10"/>
  <c r="S17" i="10"/>
  <c r="M17" i="10"/>
  <c r="G17" i="10"/>
  <c r="BN15" i="10"/>
  <c r="BM15" i="10"/>
  <c r="BL15" i="10"/>
  <c r="BK15" i="10"/>
  <c r="BJ15" i="10"/>
  <c r="BH15" i="10"/>
  <c r="BG15" i="10"/>
  <c r="BF15" i="10"/>
  <c r="BE15" i="10"/>
  <c r="BD15" i="10"/>
  <c r="BB15" i="10"/>
  <c r="BA15" i="10"/>
  <c r="AZ15" i="10"/>
  <c r="AY15" i="10"/>
  <c r="AX15" i="10"/>
  <c r="AV15" i="10"/>
  <c r="AU15" i="10"/>
  <c r="AT15" i="10"/>
  <c r="AS15" i="10"/>
  <c r="AR15" i="10"/>
  <c r="AP15" i="10"/>
  <c r="AO15" i="10"/>
  <c r="AN15" i="10"/>
  <c r="AM15" i="10"/>
  <c r="AL15" i="10"/>
  <c r="AJ15" i="10"/>
  <c r="AI15" i="10"/>
  <c r="AH15" i="10"/>
  <c r="AG15" i="10"/>
  <c r="AF15" i="10"/>
  <c r="AD15" i="10"/>
  <c r="AC15" i="10"/>
  <c r="AB15" i="10"/>
  <c r="AA15" i="10"/>
  <c r="Z15" i="10"/>
  <c r="X15" i="10"/>
  <c r="W15" i="10"/>
  <c r="V15" i="10"/>
  <c r="U15" i="10"/>
  <c r="T15" i="10"/>
  <c r="R15" i="10"/>
  <c r="Q15" i="10"/>
  <c r="P15" i="10"/>
  <c r="O15" i="10"/>
  <c r="N15" i="10"/>
  <c r="L15" i="10"/>
  <c r="K15" i="10"/>
  <c r="J15" i="10"/>
  <c r="I15" i="10"/>
  <c r="H15" i="10"/>
  <c r="F15" i="10"/>
  <c r="E15" i="10"/>
  <c r="D15" i="10"/>
  <c r="C15" i="10"/>
  <c r="B15" i="10"/>
  <c r="BO14" i="10"/>
  <c r="BI14" i="10"/>
  <c r="BC14" i="10"/>
  <c r="AW14" i="10"/>
  <c r="AQ14" i="10"/>
  <c r="AK14" i="10"/>
  <c r="AE14" i="10"/>
  <c r="Y14" i="10"/>
  <c r="S14" i="10"/>
  <c r="M14" i="10"/>
  <c r="G14" i="10"/>
  <c r="BO12" i="10"/>
  <c r="BI12" i="10"/>
  <c r="BC12" i="10"/>
  <c r="AW12" i="10"/>
  <c r="AQ12" i="10"/>
  <c r="AK12" i="10"/>
  <c r="AE12" i="10"/>
  <c r="Y12" i="10"/>
  <c r="S12" i="10"/>
  <c r="M12" i="10"/>
  <c r="G12" i="10"/>
  <c r="BO11" i="10"/>
  <c r="BI11" i="10"/>
  <c r="BC11" i="10"/>
  <c r="AW11" i="10"/>
  <c r="AQ11" i="10"/>
  <c r="AE11" i="10"/>
  <c r="Y11" i="10"/>
  <c r="S11" i="10"/>
  <c r="M11" i="10"/>
  <c r="G11" i="10"/>
  <c r="BO10" i="10"/>
  <c r="BI10" i="10"/>
  <c r="BC10" i="10"/>
  <c r="AW10" i="10"/>
  <c r="AQ10" i="10"/>
  <c r="AK10" i="10"/>
  <c r="AE10" i="10"/>
  <c r="Y10" i="10"/>
  <c r="S10" i="10"/>
  <c r="M10" i="10"/>
  <c r="G10" i="10"/>
  <c r="BO8" i="10"/>
  <c r="BI8" i="10"/>
  <c r="BC8" i="10"/>
  <c r="AW8" i="10"/>
  <c r="AQ8" i="10"/>
  <c r="AE8" i="10"/>
  <c r="Y8" i="10"/>
  <c r="S8" i="10"/>
  <c r="M8" i="10"/>
  <c r="G8" i="10"/>
  <c r="BO7" i="10"/>
  <c r="BI7" i="10"/>
  <c r="BC7" i="10"/>
  <c r="AW7" i="10"/>
  <c r="AQ7" i="10"/>
  <c r="AK7" i="10"/>
  <c r="AE7" i="10"/>
  <c r="Y7" i="10"/>
  <c r="S7" i="10"/>
  <c r="M7" i="10"/>
  <c r="G7" i="10"/>
  <c r="BO6" i="10"/>
  <c r="BO15" i="10" s="1"/>
  <c r="BI6" i="10"/>
  <c r="BI15" i="10" s="1"/>
  <c r="BC6" i="10"/>
  <c r="BC15" i="10" s="1"/>
  <c r="AW6" i="10"/>
  <c r="AW15" i="10" s="1"/>
  <c r="AQ6" i="10"/>
  <c r="AQ15" i="10" s="1"/>
  <c r="AE6" i="10"/>
  <c r="AE15" i="10" s="1"/>
  <c r="Y6" i="10"/>
  <c r="Y15" i="10" s="1"/>
  <c r="S6" i="10"/>
  <c r="S15" i="10" s="1"/>
  <c r="M6" i="10"/>
  <c r="M15" i="10" s="1"/>
  <c r="G6" i="10"/>
  <c r="G15" i="10" s="1"/>
  <c r="BO71" i="9"/>
  <c r="BI71" i="9"/>
  <c r="BC71" i="9"/>
  <c r="AW71" i="9"/>
  <c r="AQ71" i="9"/>
  <c r="AE71" i="9"/>
  <c r="Y71" i="9"/>
  <c r="S71" i="9"/>
  <c r="M71" i="9"/>
  <c r="G71" i="9"/>
  <c r="BO70" i="9"/>
  <c r="BI70" i="9"/>
  <c r="BC70" i="9"/>
  <c r="AW70" i="9"/>
  <c r="AQ70" i="9"/>
  <c r="AK70" i="9"/>
  <c r="Y70" i="9"/>
  <c r="S70" i="9"/>
  <c r="M70" i="9"/>
  <c r="G70" i="9"/>
  <c r="BN69" i="9"/>
  <c r="BM69" i="9"/>
  <c r="BL69" i="9"/>
  <c r="BK69" i="9"/>
  <c r="BJ69" i="9"/>
  <c r="BG69" i="9"/>
  <c r="BF69" i="9"/>
  <c r="BE69" i="9"/>
  <c r="BD69" i="9"/>
  <c r="BA69" i="9"/>
  <c r="AZ69" i="9"/>
  <c r="AY69" i="9"/>
  <c r="AX69" i="9"/>
  <c r="AU69" i="9"/>
  <c r="AT69" i="9"/>
  <c r="AS69" i="9"/>
  <c r="AR69" i="9"/>
  <c r="AP69" i="9"/>
  <c r="AO69" i="9"/>
  <c r="AN69" i="9"/>
  <c r="AM69" i="9"/>
  <c r="AJ69" i="9"/>
  <c r="AI69" i="9"/>
  <c r="AH69" i="9"/>
  <c r="AG69" i="9"/>
  <c r="AF69" i="9"/>
  <c r="AC69" i="9"/>
  <c r="AB69" i="9"/>
  <c r="AA69" i="9"/>
  <c r="Z69" i="9"/>
  <c r="X69" i="9"/>
  <c r="W69" i="9"/>
  <c r="V69" i="9"/>
  <c r="U69" i="9"/>
  <c r="T69" i="9"/>
  <c r="Q69" i="9"/>
  <c r="P69" i="9"/>
  <c r="O69" i="9"/>
  <c r="N69" i="9"/>
  <c r="L69" i="9"/>
  <c r="K69" i="9"/>
  <c r="J69" i="9"/>
  <c r="I69" i="9"/>
  <c r="H69" i="9"/>
  <c r="F69" i="9"/>
  <c r="E69" i="9"/>
  <c r="D69" i="9"/>
  <c r="C69" i="9"/>
  <c r="BC50" i="9"/>
  <c r="AW50" i="9"/>
  <c r="AQ50" i="9"/>
  <c r="AE50" i="9"/>
  <c r="S50" i="9"/>
  <c r="BC49" i="9"/>
  <c r="AW49" i="9"/>
  <c r="AQ49" i="9"/>
  <c r="AE49" i="9"/>
  <c r="S49" i="9"/>
  <c r="BC48" i="9"/>
  <c r="AW48" i="9"/>
  <c r="AQ48" i="9"/>
  <c r="AE48" i="9"/>
  <c r="Y69" i="9"/>
  <c r="S48" i="9"/>
  <c r="BM45" i="9"/>
  <c r="BL45" i="9"/>
  <c r="BK45" i="9"/>
  <c r="BJ45" i="9"/>
  <c r="BH45" i="9"/>
  <c r="BG45" i="9"/>
  <c r="BF45" i="9"/>
  <c r="BE45" i="9"/>
  <c r="BD45" i="9"/>
  <c r="BB45" i="9"/>
  <c r="BA45" i="9"/>
  <c r="AZ45" i="9"/>
  <c r="AY45" i="9"/>
  <c r="AX45" i="9"/>
  <c r="AV45" i="9"/>
  <c r="AU45" i="9"/>
  <c r="AT45" i="9"/>
  <c r="AS45" i="9"/>
  <c r="AR45" i="9"/>
  <c r="AP45" i="9"/>
  <c r="AO45" i="9"/>
  <c r="AN45" i="9"/>
  <c r="AM45" i="9"/>
  <c r="AL45" i="9"/>
  <c r="AJ45" i="9"/>
  <c r="AI45" i="9"/>
  <c r="AH45" i="9"/>
  <c r="AG45" i="9"/>
  <c r="AF45" i="9"/>
  <c r="AD45" i="9"/>
  <c r="AC45" i="9"/>
  <c r="AB45" i="9"/>
  <c r="AA45" i="9"/>
  <c r="Z45" i="9"/>
  <c r="X45" i="9"/>
  <c r="W45" i="9"/>
  <c r="V45" i="9"/>
  <c r="U45" i="9"/>
  <c r="Y45" i="9" s="1"/>
  <c r="T45" i="9"/>
  <c r="Q45" i="9"/>
  <c r="P45" i="9"/>
  <c r="O45" i="9"/>
  <c r="N45" i="9"/>
  <c r="L45" i="9"/>
  <c r="K45" i="9"/>
  <c r="J45" i="9"/>
  <c r="I45" i="9"/>
  <c r="H45" i="9"/>
  <c r="F45" i="9"/>
  <c r="E45" i="9"/>
  <c r="D45" i="9"/>
  <c r="C45" i="9"/>
  <c r="B45" i="9"/>
  <c r="BO43" i="9"/>
  <c r="BI43" i="9"/>
  <c r="BC43" i="9"/>
  <c r="AW43" i="9"/>
  <c r="AQ43" i="9"/>
  <c r="AK43" i="9"/>
  <c r="AE43" i="9"/>
  <c r="Y43" i="9"/>
  <c r="M43" i="9"/>
  <c r="G43" i="9"/>
  <c r="BO42" i="9"/>
  <c r="BI42" i="9"/>
  <c r="BC42" i="9"/>
  <c r="AW42" i="9"/>
  <c r="AQ42" i="9"/>
  <c r="AK42" i="9"/>
  <c r="AE42" i="9"/>
  <c r="Y42" i="9"/>
  <c r="S42" i="9"/>
  <c r="M42" i="9"/>
  <c r="G42" i="9"/>
  <c r="BO41" i="9"/>
  <c r="BI41" i="9"/>
  <c r="BC41" i="9"/>
  <c r="AW41" i="9"/>
  <c r="AQ41" i="9"/>
  <c r="AK41" i="9"/>
  <c r="AE41" i="9"/>
  <c r="Y41" i="9"/>
  <c r="S41" i="9"/>
  <c r="M41" i="9"/>
  <c r="G41" i="9"/>
  <c r="BO40" i="9"/>
  <c r="BI40" i="9"/>
  <c r="BC40" i="9"/>
  <c r="AW40" i="9"/>
  <c r="AQ40" i="9"/>
  <c r="AK40" i="9"/>
  <c r="AE40" i="9"/>
  <c r="Y40" i="9"/>
  <c r="S40" i="9"/>
  <c r="M40" i="9"/>
  <c r="G40" i="9"/>
  <c r="BO32" i="9"/>
  <c r="BI32" i="9"/>
  <c r="BC32" i="9"/>
  <c r="AW32" i="9"/>
  <c r="AQ32" i="9"/>
  <c r="AK32" i="9"/>
  <c r="AE32" i="9"/>
  <c r="Y32" i="9"/>
  <c r="S32" i="9"/>
  <c r="M32" i="9"/>
  <c r="G32" i="9"/>
  <c r="BO31" i="9"/>
  <c r="BI31" i="9"/>
  <c r="BC31" i="9"/>
  <c r="AW31" i="9"/>
  <c r="AQ31" i="9"/>
  <c r="AK31" i="9"/>
  <c r="AE31" i="9"/>
  <c r="Y31" i="9"/>
  <c r="S31" i="9"/>
  <c r="M31" i="9"/>
  <c r="G31" i="9"/>
  <c r="BO30" i="9"/>
  <c r="BI30" i="9"/>
  <c r="BC30" i="9"/>
  <c r="AW30" i="9"/>
  <c r="AQ30" i="9"/>
  <c r="AK30" i="9"/>
  <c r="AE30" i="9"/>
  <c r="Y30" i="9"/>
  <c r="S30" i="9"/>
  <c r="M30" i="9"/>
  <c r="G30" i="9"/>
  <c r="BN28" i="9"/>
  <c r="BM28" i="9"/>
  <c r="BL28" i="9"/>
  <c r="BK28" i="9"/>
  <c r="BJ28" i="9"/>
  <c r="BH28" i="9"/>
  <c r="BG28" i="9"/>
  <c r="BF28" i="9"/>
  <c r="BE28" i="9"/>
  <c r="BD28" i="9"/>
  <c r="BB28" i="9"/>
  <c r="BA28" i="9"/>
  <c r="AZ28" i="9"/>
  <c r="AY28" i="9"/>
  <c r="AX28" i="9"/>
  <c r="AV28" i="9"/>
  <c r="AU28" i="9"/>
  <c r="AT28" i="9"/>
  <c r="AS28" i="9"/>
  <c r="AR28" i="9"/>
  <c r="AP28" i="9"/>
  <c r="AO28" i="9"/>
  <c r="AN28" i="9"/>
  <c r="AM28" i="9"/>
  <c r="AL28" i="9"/>
  <c r="AJ28" i="9"/>
  <c r="AI28" i="9"/>
  <c r="AH28" i="9"/>
  <c r="AF28" i="9"/>
  <c r="AD28" i="9"/>
  <c r="AC28" i="9"/>
  <c r="AB28" i="9"/>
  <c r="X28" i="9"/>
  <c r="W28" i="9"/>
  <c r="R28" i="9"/>
  <c r="Q28" i="9"/>
  <c r="P28" i="9"/>
  <c r="O28" i="9"/>
  <c r="L28" i="9"/>
  <c r="F28" i="9"/>
  <c r="E28" i="9"/>
  <c r="D28" i="9"/>
  <c r="C28" i="9"/>
  <c r="B28" i="9"/>
  <c r="Y12" i="9"/>
  <c r="Y11" i="9"/>
  <c r="Y10" i="9"/>
  <c r="Y7" i="9"/>
  <c r="BO28" i="9"/>
  <c r="BC6" i="9"/>
  <c r="AQ6" i="9"/>
  <c r="G6" i="9"/>
  <c r="BO36" i="8"/>
  <c r="BI36" i="8"/>
  <c r="BC36" i="8"/>
  <c r="AW36" i="8"/>
  <c r="AQ36" i="8"/>
  <c r="AE36" i="8"/>
  <c r="Y36" i="8"/>
  <c r="S36" i="8"/>
  <c r="M36" i="8"/>
  <c r="G36" i="8"/>
  <c r="BO35" i="8"/>
  <c r="BI35" i="8"/>
  <c r="BC35" i="8"/>
  <c r="AW35" i="8"/>
  <c r="AQ35" i="8"/>
  <c r="AK35" i="8"/>
  <c r="AE35" i="8"/>
  <c r="Y35" i="8"/>
  <c r="S35" i="8"/>
  <c r="M35" i="8"/>
  <c r="G35" i="8"/>
  <c r="BN34" i="8"/>
  <c r="BM34" i="8"/>
  <c r="BL34" i="8"/>
  <c r="BK34" i="8"/>
  <c r="BJ34" i="8"/>
  <c r="BH34" i="8"/>
  <c r="BG34" i="8"/>
  <c r="BF34" i="8"/>
  <c r="BE34" i="8"/>
  <c r="BD34" i="8"/>
  <c r="BA34" i="8"/>
  <c r="AZ34" i="8"/>
  <c r="AY34" i="8"/>
  <c r="AX34" i="8"/>
  <c r="AU34" i="8"/>
  <c r="AT34" i="8"/>
  <c r="AS34" i="8"/>
  <c r="AR34" i="8"/>
  <c r="AP34" i="8"/>
  <c r="AO34" i="8"/>
  <c r="AN34" i="8"/>
  <c r="AM34" i="8"/>
  <c r="AL34" i="8"/>
  <c r="AK34" i="8"/>
  <c r="AJ34" i="8"/>
  <c r="AI34" i="8"/>
  <c r="AH34" i="8"/>
  <c r="AG34" i="8"/>
  <c r="AF34" i="8"/>
  <c r="AD34" i="8"/>
  <c r="AC34" i="8"/>
  <c r="AB34" i="8"/>
  <c r="AA34" i="8"/>
  <c r="Z34" i="8"/>
  <c r="X34" i="8"/>
  <c r="W34" i="8"/>
  <c r="V34" i="8"/>
  <c r="U34" i="8"/>
  <c r="T34" i="8"/>
  <c r="Q34" i="8"/>
  <c r="P34" i="8"/>
  <c r="O34" i="8"/>
  <c r="N34" i="8"/>
  <c r="L34" i="8"/>
  <c r="K34" i="8"/>
  <c r="J34" i="8"/>
  <c r="I34" i="8"/>
  <c r="H34" i="8"/>
  <c r="F34" i="8"/>
  <c r="E34" i="8"/>
  <c r="D34" i="8"/>
  <c r="C34" i="8"/>
  <c r="B34" i="8"/>
  <c r="BO33" i="8"/>
  <c r="BI33" i="8"/>
  <c r="BC33" i="8"/>
  <c r="AW33" i="8"/>
  <c r="AQ33" i="8"/>
  <c r="AE33" i="8"/>
  <c r="Y33" i="8"/>
  <c r="S33" i="8"/>
  <c r="M33" i="8"/>
  <c r="G33" i="8"/>
  <c r="BO32" i="8"/>
  <c r="BI32" i="8"/>
  <c r="BC32" i="8"/>
  <c r="AW32" i="8"/>
  <c r="AQ32" i="8"/>
  <c r="AE32" i="8"/>
  <c r="Y32" i="8"/>
  <c r="S32" i="8"/>
  <c r="M32" i="8"/>
  <c r="G32" i="8"/>
  <c r="BO31" i="8"/>
  <c r="BI31" i="8"/>
  <c r="BC31" i="8"/>
  <c r="AW31" i="8"/>
  <c r="AQ31" i="8"/>
  <c r="AE31" i="8"/>
  <c r="Y31" i="8"/>
  <c r="S31" i="8"/>
  <c r="M31" i="8"/>
  <c r="G31" i="8"/>
  <c r="BO30" i="8"/>
  <c r="BI30" i="8"/>
  <c r="BC30" i="8"/>
  <c r="AW30" i="8"/>
  <c r="AQ30" i="8"/>
  <c r="AE30" i="8"/>
  <c r="Y30" i="8"/>
  <c r="S30" i="8"/>
  <c r="M30" i="8"/>
  <c r="G30" i="8"/>
  <c r="BO29" i="8"/>
  <c r="BI29" i="8"/>
  <c r="BC29" i="8"/>
  <c r="AW29" i="8"/>
  <c r="AQ29" i="8"/>
  <c r="AE29" i="8"/>
  <c r="Y29" i="8"/>
  <c r="S29" i="8"/>
  <c r="M29" i="8"/>
  <c r="G29" i="8"/>
  <c r="BO28" i="8"/>
  <c r="BI28" i="8"/>
  <c r="BC28" i="8"/>
  <c r="AW28" i="8"/>
  <c r="AQ28" i="8"/>
  <c r="AE28" i="8"/>
  <c r="Y28" i="8"/>
  <c r="S28" i="8"/>
  <c r="M28" i="8"/>
  <c r="G28" i="8"/>
  <c r="BO27" i="8"/>
  <c r="BI27" i="8"/>
  <c r="BC27" i="8"/>
  <c r="AW27" i="8"/>
  <c r="AQ27" i="8"/>
  <c r="AQ34" i="8" s="1"/>
  <c r="AE27" i="8"/>
  <c r="Y27" i="8"/>
  <c r="S27" i="8"/>
  <c r="M27" i="8"/>
  <c r="G27" i="8"/>
  <c r="BN24" i="8"/>
  <c r="BM24" i="8"/>
  <c r="BL24" i="8"/>
  <c r="BK24" i="8"/>
  <c r="BJ24" i="8"/>
  <c r="BH24" i="8"/>
  <c r="BG24" i="8"/>
  <c r="BF24" i="8"/>
  <c r="BE24" i="8"/>
  <c r="BD24" i="8"/>
  <c r="BB24" i="8"/>
  <c r="BA24" i="8"/>
  <c r="AZ24" i="8"/>
  <c r="AY24" i="8"/>
  <c r="AX24" i="8"/>
  <c r="AV24" i="8"/>
  <c r="AU24" i="8"/>
  <c r="AT24" i="8"/>
  <c r="AS24" i="8"/>
  <c r="AR24" i="8"/>
  <c r="AP24" i="8"/>
  <c r="AO24" i="8"/>
  <c r="AN24" i="8"/>
  <c r="AM24" i="8"/>
  <c r="AL24" i="8"/>
  <c r="AJ24" i="8"/>
  <c r="AI24" i="8"/>
  <c r="AH24" i="8"/>
  <c r="AG24" i="8"/>
  <c r="AF24" i="8"/>
  <c r="AD24" i="8"/>
  <c r="AC24" i="8"/>
  <c r="AB24" i="8"/>
  <c r="AA24" i="8"/>
  <c r="Z24" i="8"/>
  <c r="X24" i="8"/>
  <c r="W24" i="8"/>
  <c r="V24" i="8"/>
  <c r="U24" i="8"/>
  <c r="T24" i="8"/>
  <c r="R24" i="8"/>
  <c r="Q24" i="8"/>
  <c r="P24" i="8"/>
  <c r="O24" i="8"/>
  <c r="N24" i="8"/>
  <c r="L24" i="8"/>
  <c r="K24" i="8"/>
  <c r="J24" i="8"/>
  <c r="I24" i="8"/>
  <c r="H24" i="8"/>
  <c r="F24" i="8"/>
  <c r="E24" i="8"/>
  <c r="D24" i="8"/>
  <c r="C24" i="8"/>
  <c r="B24" i="8"/>
  <c r="BO23" i="8"/>
  <c r="BI23" i="8"/>
  <c r="BC23" i="8"/>
  <c r="AW23" i="8"/>
  <c r="AQ23" i="8"/>
  <c r="AK23" i="8"/>
  <c r="AE23" i="8"/>
  <c r="Y23" i="8"/>
  <c r="S23" i="8"/>
  <c r="M23" i="8"/>
  <c r="G23" i="8"/>
  <c r="BO22" i="8"/>
  <c r="BI22" i="8"/>
  <c r="BC22" i="8"/>
  <c r="AW22" i="8"/>
  <c r="AQ22" i="8"/>
  <c r="AK22" i="8"/>
  <c r="AE22" i="8"/>
  <c r="Y22" i="8"/>
  <c r="S22" i="8"/>
  <c r="M22" i="8"/>
  <c r="G22" i="8"/>
  <c r="BO21" i="8"/>
  <c r="BI21" i="8"/>
  <c r="BC21" i="8"/>
  <c r="AW21" i="8"/>
  <c r="AQ21" i="8"/>
  <c r="AK21" i="8"/>
  <c r="AE21" i="8"/>
  <c r="Y21" i="8"/>
  <c r="S21" i="8"/>
  <c r="M21" i="8"/>
  <c r="G21" i="8"/>
  <c r="BO20" i="8"/>
  <c r="BI20" i="8"/>
  <c r="BC20" i="8"/>
  <c r="AW20" i="8"/>
  <c r="AQ20" i="8"/>
  <c r="AK20" i="8"/>
  <c r="AE20" i="8"/>
  <c r="Y20" i="8"/>
  <c r="S20" i="8"/>
  <c r="M20" i="8"/>
  <c r="G20" i="8"/>
  <c r="BO19" i="8"/>
  <c r="BI19" i="8"/>
  <c r="BC19" i="8"/>
  <c r="AW19" i="8"/>
  <c r="AQ19" i="8"/>
  <c r="AK19" i="8"/>
  <c r="AE19" i="8"/>
  <c r="Y19" i="8"/>
  <c r="S19" i="8"/>
  <c r="M19" i="8"/>
  <c r="G19" i="8"/>
  <c r="BO18" i="8"/>
  <c r="BI18" i="8"/>
  <c r="BC18" i="8"/>
  <c r="AW18" i="8"/>
  <c r="AQ18" i="8"/>
  <c r="AK18" i="8"/>
  <c r="AE18" i="8"/>
  <c r="Y18" i="8"/>
  <c r="S18" i="8"/>
  <c r="M18" i="8"/>
  <c r="G18" i="8"/>
  <c r="BO17" i="8"/>
  <c r="BI17" i="8"/>
  <c r="BC17" i="8"/>
  <c r="AW17" i="8"/>
  <c r="AQ17" i="8"/>
  <c r="AK17" i="8"/>
  <c r="AE17" i="8"/>
  <c r="Y17" i="8"/>
  <c r="S17" i="8"/>
  <c r="M17" i="8"/>
  <c r="G17" i="8"/>
  <c r="BN15" i="8"/>
  <c r="BM15" i="8"/>
  <c r="BL15" i="8"/>
  <c r="BK15" i="8"/>
  <c r="BJ15" i="8"/>
  <c r="BH15" i="8"/>
  <c r="BG15" i="8"/>
  <c r="BF15" i="8"/>
  <c r="BE15" i="8"/>
  <c r="BD15" i="8"/>
  <c r="BB15" i="8"/>
  <c r="BA15" i="8"/>
  <c r="AZ15" i="8"/>
  <c r="AY15" i="8"/>
  <c r="AX15" i="8"/>
  <c r="AV15" i="8"/>
  <c r="AU15" i="8"/>
  <c r="AT15" i="8"/>
  <c r="AS15" i="8"/>
  <c r="AR15" i="8"/>
  <c r="AP15" i="8"/>
  <c r="AO15" i="8"/>
  <c r="AN15" i="8"/>
  <c r="AM15" i="8"/>
  <c r="AL15" i="8"/>
  <c r="AJ15" i="8"/>
  <c r="AI15" i="8"/>
  <c r="AH15" i="8"/>
  <c r="AG15" i="8"/>
  <c r="AF15" i="8"/>
  <c r="AD15" i="8"/>
  <c r="AC15" i="8"/>
  <c r="AB15" i="8"/>
  <c r="AA15" i="8"/>
  <c r="Z15" i="8"/>
  <c r="X15" i="8"/>
  <c r="W15" i="8"/>
  <c r="V15" i="8"/>
  <c r="U15" i="8"/>
  <c r="T15" i="8"/>
  <c r="R15" i="8"/>
  <c r="Q15" i="8"/>
  <c r="P15" i="8"/>
  <c r="O15" i="8"/>
  <c r="N15" i="8"/>
  <c r="L15" i="8"/>
  <c r="K15" i="8"/>
  <c r="J15" i="8"/>
  <c r="I15" i="8"/>
  <c r="H15" i="8"/>
  <c r="F15" i="8"/>
  <c r="E15" i="8"/>
  <c r="D15" i="8"/>
  <c r="C15" i="8"/>
  <c r="B15" i="8"/>
  <c r="BO14" i="8"/>
  <c r="BI14" i="8"/>
  <c r="BC14" i="8"/>
  <c r="AW14" i="8"/>
  <c r="AQ14" i="8"/>
  <c r="AK14" i="8"/>
  <c r="AE14" i="8"/>
  <c r="Y14" i="8"/>
  <c r="S14" i="8"/>
  <c r="M14" i="8"/>
  <c r="G14" i="8"/>
  <c r="BO12" i="8"/>
  <c r="BI12" i="8"/>
  <c r="BC12" i="8"/>
  <c r="AW12" i="8"/>
  <c r="AQ12" i="8"/>
  <c r="AK12" i="8"/>
  <c r="AE12" i="8"/>
  <c r="Y12" i="8"/>
  <c r="S12" i="8"/>
  <c r="M12" i="8"/>
  <c r="G12" i="8"/>
  <c r="BO11" i="8"/>
  <c r="BI11" i="8"/>
  <c r="BC11" i="8"/>
  <c r="AW11" i="8"/>
  <c r="AQ11" i="8"/>
  <c r="AE11" i="8"/>
  <c r="Y11" i="8"/>
  <c r="S11" i="8"/>
  <c r="M11" i="8"/>
  <c r="G11" i="8"/>
  <c r="BO10" i="8"/>
  <c r="BI10" i="8"/>
  <c r="BC10" i="8"/>
  <c r="AW10" i="8"/>
  <c r="AQ10" i="8"/>
  <c r="AK10" i="8"/>
  <c r="AE10" i="8"/>
  <c r="Y10" i="8"/>
  <c r="S10" i="8"/>
  <c r="M10" i="8"/>
  <c r="G10" i="8"/>
  <c r="BO8" i="8"/>
  <c r="BI8" i="8"/>
  <c r="BC8" i="8"/>
  <c r="AW8" i="8"/>
  <c r="AQ8" i="8"/>
  <c r="AE8" i="8"/>
  <c r="Y8" i="8"/>
  <c r="S8" i="8"/>
  <c r="M8" i="8"/>
  <c r="G8" i="8"/>
  <c r="BO7" i="8"/>
  <c r="BI7" i="8"/>
  <c r="BC7" i="8"/>
  <c r="AW7" i="8"/>
  <c r="AQ7" i="8"/>
  <c r="AK7" i="8"/>
  <c r="AE7" i="8"/>
  <c r="Y7" i="8"/>
  <c r="S7" i="8"/>
  <c r="M7" i="8"/>
  <c r="G7" i="8"/>
  <c r="BO6" i="8"/>
  <c r="BO15" i="8" s="1"/>
  <c r="BI6" i="8"/>
  <c r="BI15" i="8" s="1"/>
  <c r="BC6" i="8"/>
  <c r="BC15" i="8" s="1"/>
  <c r="AW6" i="8"/>
  <c r="AW15" i="8" s="1"/>
  <c r="AQ6" i="8"/>
  <c r="AQ15" i="8" s="1"/>
  <c r="AE6" i="8"/>
  <c r="AE15" i="8" s="1"/>
  <c r="Y6" i="8"/>
  <c r="Y15" i="8" s="1"/>
  <c r="S6" i="8"/>
  <c r="S15" i="8" s="1"/>
  <c r="M6" i="8"/>
  <c r="M15" i="8" s="1"/>
  <c r="G6" i="8"/>
  <c r="G15" i="8" s="1"/>
  <c r="AW57" i="5"/>
  <c r="AW56" i="5"/>
  <c r="AW55" i="5"/>
  <c r="AW54" i="5"/>
  <c r="AW46" i="5"/>
  <c r="AW45" i="5"/>
  <c r="AW44" i="5"/>
  <c r="AW43" i="5"/>
  <c r="AW42" i="5"/>
  <c r="AW41" i="5"/>
  <c r="AW40" i="5"/>
  <c r="AW39" i="5"/>
  <c r="AV36" i="5"/>
  <c r="AU36" i="5"/>
  <c r="AT36" i="5"/>
  <c r="AS36" i="5"/>
  <c r="AR36" i="5"/>
  <c r="AW31" i="5"/>
  <c r="AW30" i="5"/>
  <c r="AW27" i="5"/>
  <c r="AW26" i="5"/>
  <c r="AW25" i="5"/>
  <c r="AW24" i="5"/>
  <c r="AW23" i="5"/>
  <c r="AV21" i="5"/>
  <c r="AU21" i="5"/>
  <c r="AT21" i="5"/>
  <c r="AS21" i="5"/>
  <c r="AR21" i="5"/>
  <c r="AW6" i="5"/>
  <c r="AP40" i="5"/>
  <c r="AP41" i="5"/>
  <c r="AP42" i="5"/>
  <c r="AP43" i="5"/>
  <c r="AP44" i="5"/>
  <c r="AP45" i="5"/>
  <c r="AP46" i="5"/>
  <c r="AF36" i="5"/>
  <c r="AI46" i="5"/>
  <c r="AI43" i="5"/>
  <c r="AI44" i="5"/>
  <c r="AI45" i="5"/>
  <c r="AI39" i="5"/>
  <c r="AI40" i="5"/>
  <c r="AI41" i="5"/>
  <c r="AF6" i="6"/>
  <c r="AF7" i="6"/>
  <c r="AF8" i="6"/>
  <c r="AB57" i="5"/>
  <c r="AB54" i="5"/>
  <c r="U55" i="5"/>
  <c r="AB28" i="5"/>
  <c r="AB29" i="5"/>
  <c r="L36" i="5"/>
  <c r="K36" i="5"/>
  <c r="F36" i="5"/>
  <c r="AB40" i="5"/>
  <c r="AB41" i="5"/>
  <c r="AB42" i="5"/>
  <c r="AB43" i="5"/>
  <c r="AB44" i="5"/>
  <c r="AB45" i="5"/>
  <c r="AB46" i="5"/>
  <c r="AB39" i="5"/>
  <c r="AE38" i="11" l="1"/>
  <c r="BY37" i="5"/>
  <c r="BI69" i="9"/>
  <c r="N21" i="5"/>
  <c r="AB21" i="5"/>
  <c r="AI21" i="5"/>
  <c r="AK15" i="10"/>
  <c r="G24" i="10"/>
  <c r="AQ24" i="10"/>
  <c r="BD21" i="5"/>
  <c r="BY53" i="5"/>
  <c r="M24" i="10"/>
  <c r="AW50" i="5"/>
  <c r="BO34" i="8"/>
  <c r="AQ34" i="10"/>
  <c r="Y38" i="11"/>
  <c r="BY21" i="5"/>
  <c r="BO69" i="9"/>
  <c r="AW24" i="10"/>
  <c r="AK15" i="8"/>
  <c r="AW34" i="8"/>
  <c r="BC69" i="9"/>
  <c r="S24" i="10"/>
  <c r="BC24" i="10"/>
  <c r="S34" i="10"/>
  <c r="BI28" i="9"/>
  <c r="AK28" i="9"/>
  <c r="M34" i="8"/>
  <c r="Y34" i="10"/>
  <c r="BO34" i="10"/>
  <c r="BK52" i="5"/>
  <c r="AB50" i="5"/>
  <c r="S34" i="8"/>
  <c r="BC28" i="9"/>
  <c r="AE24" i="10"/>
  <c r="BO24" i="10"/>
  <c r="BD37" i="5"/>
  <c r="Y27" i="1"/>
  <c r="Y29" i="1"/>
  <c r="Y31" i="1"/>
  <c r="Y30" i="1"/>
  <c r="BY36" i="5"/>
  <c r="AK38" i="11"/>
  <c r="Y17" i="1" s="1"/>
  <c r="BR21" i="5"/>
  <c r="BR53" i="5"/>
  <c r="Y13" i="1"/>
  <c r="BK21" i="5"/>
  <c r="AE16" i="11"/>
  <c r="Y16" i="11"/>
  <c r="BR37" i="5"/>
  <c r="BD50" i="5"/>
  <c r="S16" i="11"/>
  <c r="AW28" i="9"/>
  <c r="BK37" i="5"/>
  <c r="BD36" i="5"/>
  <c r="M16" i="11"/>
  <c r="G16" i="11"/>
  <c r="AQ28" i="9"/>
  <c r="AW21" i="5"/>
  <c r="S26" i="11"/>
  <c r="S38" i="11"/>
  <c r="Y26" i="11"/>
  <c r="G38" i="11"/>
  <c r="G26" i="11"/>
  <c r="M38" i="11"/>
  <c r="M26" i="11"/>
  <c r="AK26" i="11"/>
  <c r="AK69" i="9"/>
  <c r="AE69" i="9"/>
  <c r="G69" i="9"/>
  <c r="S45" i="9"/>
  <c r="AQ45" i="9"/>
  <c r="BO45" i="9"/>
  <c r="M69" i="9"/>
  <c r="AQ69" i="9"/>
  <c r="G45" i="9"/>
  <c r="AE45" i="9"/>
  <c r="BC45" i="9"/>
  <c r="S69" i="9"/>
  <c r="AW69" i="9"/>
  <c r="AW45" i="9"/>
  <c r="M45" i="9"/>
  <c r="Y28" i="9"/>
  <c r="AE28" i="9"/>
  <c r="S28" i="9"/>
  <c r="M28" i="9"/>
  <c r="G28" i="9"/>
  <c r="G34" i="8"/>
  <c r="AE34" i="8"/>
  <c r="AK45" i="9"/>
  <c r="AK24" i="10"/>
  <c r="AE34" i="10"/>
  <c r="BI34" i="10"/>
  <c r="S24" i="8"/>
  <c r="AQ24" i="8"/>
  <c r="BI34" i="8"/>
  <c r="AW24" i="8"/>
  <c r="AK24" i="8"/>
  <c r="Y34" i="8"/>
  <c r="BC34" i="8"/>
  <c r="G24" i="8"/>
  <c r="AE24" i="8"/>
  <c r="BC24" i="8"/>
  <c r="M24" i="8"/>
  <c r="BO24" i="8"/>
  <c r="AW37" i="5"/>
  <c r="W21" i="5"/>
  <c r="X21" i="5"/>
  <c r="Y21" i="5"/>
  <c r="Z21" i="5"/>
  <c r="AA21" i="5"/>
  <c r="AB23" i="5"/>
  <c r="AB24" i="5"/>
  <c r="AB25" i="5"/>
  <c r="AB26" i="5"/>
  <c r="AB27" i="5"/>
  <c r="AB30" i="5"/>
  <c r="W36" i="5"/>
  <c r="X36" i="5"/>
  <c r="Y36" i="5"/>
  <c r="Z36" i="5"/>
  <c r="AA36" i="5"/>
  <c r="AB55" i="5"/>
  <c r="AB56" i="5"/>
  <c r="Z8" i="6"/>
  <c r="Z6" i="6"/>
  <c r="Z7" i="6"/>
  <c r="Z5" i="6"/>
  <c r="R21" i="5"/>
  <c r="P21" i="5"/>
  <c r="Q21" i="5"/>
  <c r="U14" i="5"/>
  <c r="U8" i="5"/>
  <c r="U7" i="5"/>
  <c r="U6" i="5"/>
  <c r="G28" i="5"/>
  <c r="G44" i="5" s="1"/>
  <c r="G29" i="5"/>
  <c r="G45" i="5" s="1"/>
  <c r="G27" i="5"/>
  <c r="G43" i="5" s="1"/>
  <c r="G13" i="5"/>
  <c r="G12" i="5"/>
  <c r="H9" i="6"/>
  <c r="G57" i="5"/>
  <c r="D21" i="5"/>
  <c r="C21" i="5"/>
  <c r="U21" i="5" l="1"/>
  <c r="Y9" i="1"/>
  <c r="Y10" i="1"/>
  <c r="Y12" i="1"/>
  <c r="Z17" i="1" s="1"/>
  <c r="Y14" i="1"/>
  <c r="BR36" i="5"/>
  <c r="BK36" i="5"/>
  <c r="AW36" i="5"/>
  <c r="AB37" i="5"/>
  <c r="G10" i="5"/>
  <c r="AL10" i="6"/>
  <c r="AL9" i="6"/>
  <c r="AF10" i="6"/>
  <c r="AF5" i="6"/>
  <c r="Z10" i="6"/>
  <c r="T10" i="6"/>
  <c r="T9" i="6"/>
  <c r="T5" i="6"/>
  <c r="N10" i="6"/>
  <c r="N9" i="6"/>
  <c r="N5" i="6"/>
  <c r="H5" i="6"/>
  <c r="AP57" i="5"/>
  <c r="AP56" i="5"/>
  <c r="AP55" i="5"/>
  <c r="AP54" i="5"/>
  <c r="AP39" i="5"/>
  <c r="AP50" i="5" s="1"/>
  <c r="AP31" i="5"/>
  <c r="AP30" i="5"/>
  <c r="AP27" i="5"/>
  <c r="AP26" i="5"/>
  <c r="AP25" i="5"/>
  <c r="AP24" i="5"/>
  <c r="AP23" i="5"/>
  <c r="AP7" i="5"/>
  <c r="AP6" i="5"/>
  <c r="AP21" i="5" s="1"/>
  <c r="AI57" i="5"/>
  <c r="AI56" i="5"/>
  <c r="AI55" i="5"/>
  <c r="AI54" i="5"/>
  <c r="AI42" i="5"/>
  <c r="AI50" i="5" s="1"/>
  <c r="AI31" i="5"/>
  <c r="AI30" i="5"/>
  <c r="AI27" i="5"/>
  <c r="AI26" i="5"/>
  <c r="AI25" i="5"/>
  <c r="AI24" i="5"/>
  <c r="AI23" i="5"/>
  <c r="U57" i="5"/>
  <c r="U56" i="5"/>
  <c r="U54" i="5"/>
  <c r="U44" i="5"/>
  <c r="U43" i="5"/>
  <c r="U42" i="5"/>
  <c r="U41" i="5"/>
  <c r="U40" i="5"/>
  <c r="U39" i="5"/>
  <c r="U31" i="5"/>
  <c r="U30" i="5"/>
  <c r="U27" i="5"/>
  <c r="U26" i="5"/>
  <c r="U25" i="5"/>
  <c r="U24" i="5"/>
  <c r="U23" i="5"/>
  <c r="N57" i="5"/>
  <c r="N56" i="5"/>
  <c r="N55" i="5"/>
  <c r="N54" i="5"/>
  <c r="N44" i="5"/>
  <c r="N43" i="5"/>
  <c r="N42" i="5"/>
  <c r="N41" i="5"/>
  <c r="N40" i="5"/>
  <c r="N39" i="5"/>
  <c r="N31" i="5"/>
  <c r="N30" i="5"/>
  <c r="N27" i="5"/>
  <c r="N26" i="5"/>
  <c r="N25" i="5"/>
  <c r="N24" i="5"/>
  <c r="N23" i="5"/>
  <c r="G54" i="5"/>
  <c r="G24" i="5"/>
  <c r="G40" i="5" s="1"/>
  <c r="G25" i="5"/>
  <c r="G26" i="5"/>
  <c r="G30" i="5"/>
  <c r="G46" i="5" s="1"/>
  <c r="G31" i="5"/>
  <c r="G23" i="5"/>
  <c r="G6" i="5"/>
  <c r="Y11" i="1"/>
  <c r="G56" i="5"/>
  <c r="G55" i="5"/>
  <c r="AO36" i="5"/>
  <c r="AN36" i="5"/>
  <c r="AM36" i="5"/>
  <c r="AL36" i="5"/>
  <c r="AK36" i="5"/>
  <c r="AH36" i="5"/>
  <c r="AG36" i="5"/>
  <c r="AE36" i="5"/>
  <c r="AD36" i="5"/>
  <c r="T36" i="5"/>
  <c r="S36" i="5"/>
  <c r="R36" i="5"/>
  <c r="Q36" i="5"/>
  <c r="P36" i="5"/>
  <c r="M36" i="5"/>
  <c r="J36" i="5"/>
  <c r="E36" i="5"/>
  <c r="D36" i="5"/>
  <c r="C36" i="5"/>
  <c r="B36" i="5"/>
  <c r="AO21" i="5"/>
  <c r="AN21" i="5"/>
  <c r="AM21" i="5"/>
  <c r="AL21" i="5"/>
  <c r="AK21" i="5"/>
  <c r="AH21" i="5"/>
  <c r="AG21" i="5"/>
  <c r="AF21" i="5"/>
  <c r="AE21" i="5"/>
  <c r="AD21" i="5"/>
  <c r="T21" i="5"/>
  <c r="S21" i="5"/>
  <c r="M21" i="5"/>
  <c r="L21" i="5"/>
  <c r="K21" i="5"/>
  <c r="J21" i="5"/>
  <c r="I21" i="5"/>
  <c r="E21" i="5"/>
  <c r="B21" i="5"/>
  <c r="G14" i="5"/>
  <c r="G11" i="5"/>
  <c r="G9" i="5"/>
  <c r="G8" i="5"/>
  <c r="G7" i="5"/>
  <c r="M5" i="3"/>
  <c r="P5" i="3"/>
  <c r="P25" i="3"/>
  <c r="M25" i="3"/>
  <c r="J25" i="3"/>
  <c r="G25" i="3"/>
  <c r="D25" i="3"/>
  <c r="P24" i="3"/>
  <c r="M24" i="3"/>
  <c r="J24" i="3"/>
  <c r="G24" i="3"/>
  <c r="D24" i="3"/>
  <c r="P23" i="3"/>
  <c r="M23" i="3"/>
  <c r="J23" i="3"/>
  <c r="G23" i="3"/>
  <c r="D23" i="3"/>
  <c r="P22" i="3"/>
  <c r="M22" i="3"/>
  <c r="J22" i="3"/>
  <c r="G22" i="3"/>
  <c r="D22" i="3"/>
  <c r="P21" i="3"/>
  <c r="M21" i="3"/>
  <c r="J21" i="3"/>
  <c r="G21" i="3"/>
  <c r="D21" i="3"/>
  <c r="P20" i="3"/>
  <c r="M20" i="3"/>
  <c r="J20" i="3"/>
  <c r="G20" i="3"/>
  <c r="D20" i="3"/>
  <c r="M19" i="3"/>
  <c r="J19" i="3"/>
  <c r="G19" i="3"/>
  <c r="D19" i="3"/>
  <c r="P13" i="3"/>
  <c r="M13" i="3"/>
  <c r="J13" i="3"/>
  <c r="G13" i="3"/>
  <c r="D13" i="3"/>
  <c r="P12" i="3"/>
  <c r="M12" i="3"/>
  <c r="J12" i="3"/>
  <c r="G12" i="3"/>
  <c r="D12" i="3"/>
  <c r="P11" i="3"/>
  <c r="M11" i="3"/>
  <c r="J11" i="3"/>
  <c r="G11" i="3"/>
  <c r="D11" i="3"/>
  <c r="P10" i="3"/>
  <c r="M10" i="3"/>
  <c r="J10" i="3"/>
  <c r="G10" i="3"/>
  <c r="D10" i="3"/>
  <c r="P9" i="3"/>
  <c r="M9" i="3"/>
  <c r="J9" i="3"/>
  <c r="G9" i="3"/>
  <c r="D9" i="3"/>
  <c r="P8" i="3"/>
  <c r="M8" i="3"/>
  <c r="J8" i="3"/>
  <c r="G8" i="3"/>
  <c r="D8" i="3"/>
  <c r="P7" i="3"/>
  <c r="M7" i="3"/>
  <c r="J7" i="3"/>
  <c r="G7" i="3"/>
  <c r="D7" i="3"/>
  <c r="P6" i="3"/>
  <c r="M6" i="3"/>
  <c r="J6" i="3"/>
  <c r="G6" i="3"/>
  <c r="D6" i="3"/>
  <c r="J5" i="3"/>
  <c r="G5" i="3"/>
  <c r="D5" i="3"/>
  <c r="Q11" i="3" l="1"/>
  <c r="Q21" i="3"/>
  <c r="Q9" i="3"/>
  <c r="Q25" i="3"/>
  <c r="Q10" i="3"/>
  <c r="Q20" i="3"/>
  <c r="Q5" i="3"/>
  <c r="Q8" i="3"/>
  <c r="Q19" i="3"/>
  <c r="Q24" i="3"/>
  <c r="G36" i="5"/>
  <c r="U36" i="5"/>
  <c r="AP37" i="5"/>
  <c r="Q7" i="3"/>
  <c r="Q13" i="3"/>
  <c r="Q23" i="3"/>
  <c r="U50" i="5"/>
  <c r="Q6" i="3"/>
  <c r="Q12" i="3"/>
  <c r="Q22" i="3"/>
  <c r="Y15" i="1"/>
  <c r="G50" i="5"/>
  <c r="N50" i="5"/>
  <c r="Y42" i="1"/>
  <c r="AP36" i="5"/>
  <c r="N36" i="5"/>
  <c r="G21" i="5"/>
  <c r="Y19" i="1" s="1"/>
  <c r="AI37" i="5"/>
  <c r="U37" i="5"/>
  <c r="N37" i="5"/>
  <c r="G37" i="5"/>
  <c r="AB36" i="5"/>
  <c r="Y43" i="1"/>
  <c r="Z23" i="1" l="1"/>
  <c r="Y22" i="1"/>
  <c r="Y23" i="1"/>
  <c r="AI36" i="5"/>
  <c r="Y21" i="1"/>
  <c r="Y20" i="1" l="1"/>
</calcChain>
</file>

<file path=xl/sharedStrings.xml><?xml version="1.0" encoding="utf-8"?>
<sst xmlns="http://schemas.openxmlformats.org/spreadsheetml/2006/main" count="1556" uniqueCount="260">
  <si>
    <t>JULHO</t>
  </si>
  <si>
    <t>AGOSTO</t>
  </si>
  <si>
    <t>SETEMBRO</t>
  </si>
  <si>
    <t>OUTUBRO</t>
  </si>
  <si>
    <t>NOVEMBRO</t>
  </si>
  <si>
    <t>DEZEMBRO</t>
  </si>
  <si>
    <t>INDICADOR</t>
  </si>
  <si>
    <t>SEMANA 1</t>
  </si>
  <si>
    <t>SEMANA 2</t>
  </si>
  <si>
    <t>SEMANA 3</t>
  </si>
  <si>
    <t>SEMANA 4</t>
  </si>
  <si>
    <t>SEMANA 5</t>
  </si>
  <si>
    <t>TOTAL</t>
  </si>
  <si>
    <t>PREENCHER</t>
  </si>
  <si>
    <t>Polo Contagem - Gloria</t>
  </si>
  <si>
    <t>FREQUENCIA</t>
  </si>
  <si>
    <t>DANÇA SONHAR - MANHÃ</t>
  </si>
  <si>
    <t>DANÇA SONHAR - TARDE</t>
  </si>
  <si>
    <t>CONTRATURNO MANHÃ</t>
  </si>
  <si>
    <t>CONTRATURNO TARDE</t>
  </si>
  <si>
    <t>LABORATORIO PERCUSSIVO SONHAR</t>
  </si>
  <si>
    <t>_</t>
  </si>
  <si>
    <t>CAPOEIRA CASA SONHAR TARDE</t>
  </si>
  <si>
    <t>SOCIO EMOCIONAL SONHAR</t>
  </si>
  <si>
    <t>LABORATORIO PERCUSIVO MANHÃ</t>
  </si>
  <si>
    <t>RECREAÇÃO</t>
  </si>
  <si>
    <t>ARTES</t>
  </si>
  <si>
    <t>OFICCINA/CURSO</t>
  </si>
  <si>
    <t>EVASÃO</t>
  </si>
  <si>
    <t>OFICINA/CURSO</t>
  </si>
  <si>
    <t>QUANTIDADE DE ALUNOS</t>
  </si>
  <si>
    <t>LABORATORIO PERCUSSIVO MANHA</t>
  </si>
  <si>
    <t xml:space="preserve">RECREAÇÃO </t>
  </si>
  <si>
    <t>CRITÉRIO DE SUCESSO</t>
  </si>
  <si>
    <t>NPS</t>
  </si>
  <si>
    <t>FEVEREIRO</t>
  </si>
  <si>
    <t>MARÇO</t>
  </si>
  <si>
    <t>ABRIL</t>
  </si>
  <si>
    <t>MAIO</t>
  </si>
  <si>
    <t>JUNHO</t>
  </si>
  <si>
    <t>CAPOEIRA 01</t>
  </si>
  <si>
    <t>CAPOEIRA 02</t>
  </si>
  <si>
    <t>FUTEBOL 01</t>
  </si>
  <si>
    <t>81.1</t>
  </si>
  <si>
    <t>FUTEBOL 02</t>
  </si>
  <si>
    <t>87.9</t>
  </si>
  <si>
    <t>JIU JITSU 01</t>
  </si>
  <si>
    <t>JIU JITSU 02</t>
  </si>
  <si>
    <t>86.7</t>
  </si>
  <si>
    <t>z</t>
  </si>
  <si>
    <t>SKATE 01</t>
  </si>
  <si>
    <t>SKATE 02</t>
  </si>
  <si>
    <t>DANÇA 01</t>
  </si>
  <si>
    <t>DANÇA 02</t>
  </si>
  <si>
    <t>TEATRO 01</t>
  </si>
  <si>
    <t>TEATRO 02</t>
  </si>
  <si>
    <t>`_</t>
  </si>
  <si>
    <t>PERCUSSÃO 01</t>
  </si>
  <si>
    <t>PERCUSSÃO 02</t>
  </si>
  <si>
    <t>SERENATA</t>
  </si>
  <si>
    <t>Dança Conteporânea Avançada</t>
  </si>
  <si>
    <t>Não se aplica</t>
  </si>
  <si>
    <t>SOCIO EMOCIONAL PEC</t>
  </si>
  <si>
    <t>-</t>
  </si>
  <si>
    <t>DANÇA CONTENPORÂNEA AVANÇADA</t>
  </si>
  <si>
    <t>INDICADORES INSTITUTO O GRITO</t>
  </si>
  <si>
    <t>Fevereiro</t>
  </si>
  <si>
    <t>Março</t>
  </si>
  <si>
    <t>Abril</t>
  </si>
  <si>
    <t>Maio</t>
  </si>
  <si>
    <t>Junho</t>
  </si>
  <si>
    <t>Julho</t>
  </si>
  <si>
    <t>Agosto</t>
  </si>
  <si>
    <t>SETOR</t>
  </si>
  <si>
    <t>PSICO</t>
  </si>
  <si>
    <t>Atenção Social</t>
  </si>
  <si>
    <t xml:space="preserve">Socio Emocional </t>
  </si>
  <si>
    <t>Espaço O Grito</t>
  </si>
  <si>
    <t>Rede O Grito</t>
  </si>
  <si>
    <t>MKT</t>
  </si>
  <si>
    <t>SEGUIDORES</t>
  </si>
  <si>
    <t>DOADOR RECOR.</t>
  </si>
  <si>
    <t>Meta boa é Meta batida!</t>
  </si>
  <si>
    <t>Cursos</t>
  </si>
  <si>
    <t>Empreendedorismo EAD</t>
  </si>
  <si>
    <t>Marketing Digital</t>
  </si>
  <si>
    <t>1- Manicure e Pedicure</t>
  </si>
  <si>
    <t>Assistente Jurirido</t>
  </si>
  <si>
    <t>1-Canva</t>
  </si>
  <si>
    <t>1- Departamento Pessoal EAD</t>
  </si>
  <si>
    <t>1- Preparo de Massas Senac</t>
  </si>
  <si>
    <t>1- Fashion Marketing Digital</t>
  </si>
  <si>
    <t>1- Farmacia e Drogaria</t>
  </si>
  <si>
    <t>1 - Formação Jovem</t>
  </si>
  <si>
    <t>Artesanato Natalino 01 - Programa 40+</t>
  </si>
  <si>
    <t>Logistica EAD</t>
  </si>
  <si>
    <t>Decoração de festa com Balões</t>
  </si>
  <si>
    <t>2 - Excel</t>
  </si>
  <si>
    <t xml:space="preserve">Atendente de Farmacia </t>
  </si>
  <si>
    <t>2-Gestão de Projetos</t>
  </si>
  <si>
    <t xml:space="preserve">2- Edição de Video </t>
  </si>
  <si>
    <t>2- Contabilidade EAD</t>
  </si>
  <si>
    <t xml:space="preserve">2- Formação Jovem </t>
  </si>
  <si>
    <t>2- Preparo de Pães, Roscas e Biscoitos Tradicionais</t>
  </si>
  <si>
    <t>2 - Atendente de Telemarketing</t>
  </si>
  <si>
    <t>Atividade Física e Nutricional - Programa 40+</t>
  </si>
  <si>
    <t>Recursos Humanos</t>
  </si>
  <si>
    <t>Trancista Profissional</t>
  </si>
  <si>
    <t>3- Administração EAD</t>
  </si>
  <si>
    <t>Design de Sobrancelha</t>
  </si>
  <si>
    <t>3- Jovem Falcão</t>
  </si>
  <si>
    <t xml:space="preserve">3-Auto maquiagem </t>
  </si>
  <si>
    <t>3- Capacitação e Assistência Basica ao Idoso EAD</t>
  </si>
  <si>
    <t>3- Design de Sobrancelha e Epilação Egípcia</t>
  </si>
  <si>
    <t>3- Tecnicas de Depilação</t>
  </si>
  <si>
    <t>3 - Design de Sobranacelhas</t>
  </si>
  <si>
    <t>Artesanato Natalino 02 - Programa 40+</t>
  </si>
  <si>
    <t>Informatica</t>
  </si>
  <si>
    <t>4- Jovem Falcão</t>
  </si>
  <si>
    <t xml:space="preserve">4- Design De Sobrancelha A Ponte </t>
  </si>
  <si>
    <t xml:space="preserve">4- Informatica </t>
  </si>
  <si>
    <t>4- Preparo de Pães,Roscas e Biscoitos Tradicionais Senac</t>
  </si>
  <si>
    <t>4- Preparo de Bolos e Tortas</t>
  </si>
  <si>
    <t>4- Preparo de Salgado</t>
  </si>
  <si>
    <t>4 - Quitandas tradicionais Mineiras</t>
  </si>
  <si>
    <t xml:space="preserve">5- Oficina Introdutoria </t>
  </si>
  <si>
    <t>5- Montagem de Computadores Senac</t>
  </si>
  <si>
    <t xml:space="preserve">5- Preparo de Salgados </t>
  </si>
  <si>
    <t>5-  Preparo de Pizza</t>
  </si>
  <si>
    <t>5 - Preparo de Bolos e Tortas</t>
  </si>
  <si>
    <t>6- Costura</t>
  </si>
  <si>
    <t>6- Design de Sobrancelha e Epilação Egipicia</t>
  </si>
  <si>
    <t xml:space="preserve">6- Preparo de Molhos Quentes e Frios </t>
  </si>
  <si>
    <t xml:space="preserve">6- Formação Jovem </t>
  </si>
  <si>
    <t>6- Porteiro</t>
  </si>
  <si>
    <t xml:space="preserve">7- Preparo de Bolos e Tortas </t>
  </si>
  <si>
    <t>7- Preparo de Pães, Roscas e Biscoitos Tradicionais</t>
  </si>
  <si>
    <t>7- Hardware: Montagem de Computador</t>
  </si>
  <si>
    <t>7- Atividade fisica e nutricional</t>
  </si>
  <si>
    <t>8- Preparo de Pizza</t>
  </si>
  <si>
    <t>8- Tecnicas Basicas para Porteiro</t>
  </si>
  <si>
    <t>9- Tecnicas Basicas de Depilação</t>
  </si>
  <si>
    <t xml:space="preserve">10- Tecnicas Basicas Para Pizza </t>
  </si>
  <si>
    <t>11- Qualidade no Atendimento</t>
  </si>
  <si>
    <t>12- Preparo de Massa</t>
  </si>
  <si>
    <t>13- Design de Sobrancelha Senac</t>
  </si>
  <si>
    <t>14 - Técnicas basicas de salgados</t>
  </si>
  <si>
    <t xml:space="preserve">Canva </t>
  </si>
  <si>
    <t>Gestão de Projetos</t>
  </si>
  <si>
    <t>Formação Jovem</t>
  </si>
  <si>
    <t>3- Design de Sobrancelha e Epilação Egipicia</t>
  </si>
  <si>
    <t xml:space="preserve">Oficina Introdutoria </t>
  </si>
  <si>
    <t>4 - Quitandas Mineiras</t>
  </si>
  <si>
    <t>Costura</t>
  </si>
  <si>
    <t xml:space="preserve">3- Design de Sobrancelha Epilação Egipicia </t>
  </si>
  <si>
    <t xml:space="preserve">Design De Sobrancelha A Ponte </t>
  </si>
  <si>
    <t>5- Preparo de Salgados</t>
  </si>
  <si>
    <t xml:space="preserve">6- Preparo de Bolos e Tortas </t>
  </si>
  <si>
    <t>7- Preparo de Pizza</t>
  </si>
  <si>
    <t>EMPREGABILIDADE</t>
  </si>
  <si>
    <t>EMPREENDEDORISMO</t>
  </si>
  <si>
    <t>Polo BH - A Ponte</t>
  </si>
  <si>
    <t>Oficina xxxx</t>
  </si>
  <si>
    <t>FUTEBOL</t>
  </si>
  <si>
    <t>JIU-JITSU</t>
  </si>
  <si>
    <t>SKATE</t>
  </si>
  <si>
    <t>BALLET</t>
  </si>
  <si>
    <t xml:space="preserve">PERCUSSÃO </t>
  </si>
  <si>
    <t>TEATRO</t>
  </si>
  <si>
    <t>Polo Casa Patrimar</t>
  </si>
  <si>
    <t>FINANCEIRO</t>
  </si>
  <si>
    <t>CAPTAÇÃO RECURSOS SETORIZADO</t>
  </si>
  <si>
    <t>JANEIRO/FEVEREIRO</t>
  </si>
  <si>
    <t>DESCRIÇÃO</t>
  </si>
  <si>
    <t>ESPERADO</t>
  </si>
  <si>
    <t>REAL</t>
  </si>
  <si>
    <t>SALDO</t>
  </si>
  <si>
    <t>%</t>
  </si>
  <si>
    <t>APORTE GF</t>
  </si>
  <si>
    <t>DOADOR RECORRENTE</t>
  </si>
  <si>
    <t>DOADOR PONTUAL</t>
  </si>
  <si>
    <t>OUTLET</t>
  </si>
  <si>
    <t>EVENTOS</t>
  </si>
  <si>
    <t>GRIFFTE</t>
  </si>
  <si>
    <t>PEC</t>
  </si>
  <si>
    <t>Q.PROFISSIONAL</t>
  </si>
  <si>
    <t>CIDADANIA</t>
  </si>
  <si>
    <t>CUSTOS SETORIZADO</t>
  </si>
  <si>
    <t>QP</t>
  </si>
  <si>
    <t>MARKETING</t>
  </si>
  <si>
    <t>ADM</t>
  </si>
  <si>
    <t>REALIZADO X CAPTADO</t>
  </si>
  <si>
    <t>INDICADORES</t>
  </si>
  <si>
    <t>Q. PROFISSIONAL</t>
  </si>
  <si>
    <t>PSICOSSOCIAL</t>
  </si>
  <si>
    <t>VENDA PRODUTOS</t>
  </si>
  <si>
    <t>ATENDIMENTO</t>
  </si>
  <si>
    <t>QTIDADE ALUNOS</t>
  </si>
  <si>
    <t>JORNAL GRITO NEWS</t>
  </si>
  <si>
    <t>EVAÇÃO</t>
  </si>
  <si>
    <t>DOADORES R.</t>
  </si>
  <si>
    <t>QUALIDADE ALUNOS</t>
  </si>
  <si>
    <t>PREMIAÇÕES</t>
  </si>
  <si>
    <t>PROGRAMA</t>
  </si>
  <si>
    <t>PROJETO</t>
  </si>
  <si>
    <t xml:space="preserve">META </t>
  </si>
  <si>
    <t>RECORRÊNCIA</t>
  </si>
  <si>
    <t>JANEIRO</t>
  </si>
  <si>
    <t>MÉDIA TRIMESTRAL</t>
  </si>
  <si>
    <t>MÉDIA SEMESTRAL</t>
  </si>
  <si>
    <t>ANUAL</t>
  </si>
  <si>
    <t>PROGRAMA DE CULTURA E ESPORTE</t>
  </si>
  <si>
    <t xml:space="preserve">SALA SERENATA </t>
  </si>
  <si>
    <t>FREQUÊNCIA</t>
  </si>
  <si>
    <t>Mensal</t>
  </si>
  <si>
    <t>&lt; 10 ALUNOS</t>
  </si>
  <si>
    <t>AVALIAÇÃO DE APRENDIZAGEM</t>
  </si>
  <si>
    <t>Semestral</t>
  </si>
  <si>
    <t xml:space="preserve">POLO               GLORIA </t>
  </si>
  <si>
    <t>&lt; 20 ALUNOS</t>
  </si>
  <si>
    <t>CASA                SONHAR</t>
  </si>
  <si>
    <t>PROGRAMA DE INCLUSÃO PRODUTIVA</t>
  </si>
  <si>
    <t>LAB. VOZES DO FUTURO</t>
  </si>
  <si>
    <t>&lt; 06 ALUNOS</t>
  </si>
  <si>
    <t>Trimestral</t>
  </si>
  <si>
    <t>CURSOS 30H PRESENCIAL</t>
  </si>
  <si>
    <t>&lt; 40 ALUNOS</t>
  </si>
  <si>
    <t>CURSOS EAD  CGD</t>
  </si>
  <si>
    <t>&lt; 50 ALUNOS</t>
  </si>
  <si>
    <t>CARAVANA O GRITO</t>
  </si>
  <si>
    <t xml:space="preserve">EVENTOS (RUA DE LAZER) </t>
  </si>
  <si>
    <t>PESSOAS PRESENTES</t>
  </si>
  <si>
    <t>ATIVIDADE TRANSVERSAL</t>
  </si>
  <si>
    <t>PESQUISA DE CLIMA</t>
  </si>
  <si>
    <t>AÇÕES COM OS COLABORADORES</t>
  </si>
  <si>
    <t>ESPAÇOS COLETIVOS COM O TIME</t>
  </si>
  <si>
    <t>VISITAS</t>
  </si>
  <si>
    <t>ATENDIMENTOS INDIVIDUAIS</t>
  </si>
  <si>
    <t>INTERVENÇÕES DO METODO O GRITO</t>
  </si>
  <si>
    <t>9°</t>
  </si>
  <si>
    <t>FAVELA 3D</t>
  </si>
  <si>
    <t>DECOLAGEM</t>
  </si>
  <si>
    <t>VISITAS MENTORES</t>
  </si>
  <si>
    <t xml:space="preserve">FAMILIAS TRIÂNGULO </t>
  </si>
  <si>
    <t>DESENVOLVIMENTO SOCIAL</t>
  </si>
  <si>
    <t>ATENDIMENTOS GERAIS</t>
  </si>
  <si>
    <t>GERANDO LIDERANÇAS</t>
  </si>
  <si>
    <t>RODA DE CONVERSA</t>
  </si>
  <si>
    <t>GRUPO DE MULHERES</t>
  </si>
  <si>
    <t>ASSEMBLEIA COMUNITARIA</t>
  </si>
  <si>
    <t>MOBILIZA D</t>
  </si>
  <si>
    <t>EMPREGO E RENDA</t>
  </si>
  <si>
    <t>FORMANDOS</t>
  </si>
  <si>
    <t>EMPREGADOS</t>
  </si>
  <si>
    <r>
      <t xml:space="preserve">75% </t>
    </r>
    <r>
      <rPr>
        <sz val="10"/>
        <color theme="1"/>
        <rFont val="Calibri"/>
        <family val="2"/>
        <scheme val="minor"/>
      </rPr>
      <t>do territorio que tem interesse em trabalhar.</t>
    </r>
  </si>
  <si>
    <t>EMPREENDEDORES MAPEADOS</t>
  </si>
  <si>
    <t>MORADIA E URBANISMO</t>
  </si>
  <si>
    <t xml:space="preserve">EQUIPAMENTOS </t>
  </si>
  <si>
    <t xml:space="preserve">MELHORIA HABITACIONAL </t>
  </si>
  <si>
    <t>Articulacão com as politicas publicas e rede socioassistencial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</si>
</sst>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4"/>
      <color theme="1"/>
      <name val="Comic Sans MS"/>
      <family val="4"/>
    </font>
    <font>
      <b/>
      <u/>
      <sz val="11"/>
      <color rgb="FFFF0000"/>
      <name val="Calibri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b/>
      <sz val="12"/>
      <color rgb="FF8EA9DB"/>
      <name val="Calibri"/>
      <family val="2"/>
    </font>
    <font>
      <b/>
      <sz val="16"/>
      <color rgb="FFFF0000"/>
      <name val="Calibri"/>
      <family val="2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FF0000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</fills>
  <borders count="1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medium">
        <color theme="1"/>
      </right>
      <top/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/>
      <top style="medium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rgb="FF000000"/>
      </left>
      <right/>
      <top/>
      <bottom style="thin">
        <color theme="1"/>
      </bottom>
      <diagonal/>
    </border>
    <border>
      <left/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rgb="FF000000"/>
      </left>
      <right/>
      <top style="thin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thin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1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3" applyFont="1" applyBorder="1"/>
    <xf numFmtId="0" fontId="3" fillId="0" borderId="0" xfId="0" applyFont="1" applyAlignment="1">
      <alignment horizontal="left" vertical="center"/>
    </xf>
    <xf numFmtId="44" fontId="0" fillId="0" borderId="0" xfId="2" applyFont="1" applyBorder="1"/>
    <xf numFmtId="0" fontId="3" fillId="0" borderId="0" xfId="0" applyFont="1"/>
    <xf numFmtId="1" fontId="0" fillId="0" borderId="0" xfId="0" applyNumberFormat="1"/>
    <xf numFmtId="43" fontId="0" fillId="0" borderId="0" xfId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1" fontId="7" fillId="3" borderId="5" xfId="3" applyNumberFormat="1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1" fontId="7" fillId="8" borderId="0" xfId="3" applyNumberFormat="1" applyFont="1" applyFill="1" applyBorder="1" applyAlignment="1">
      <alignment horizontal="center" vertical="center"/>
    </xf>
    <xf numFmtId="2" fontId="7" fillId="8" borderId="20" xfId="0" applyNumberFormat="1" applyFont="1" applyFill="1" applyBorder="1" applyAlignment="1">
      <alignment horizontal="center" vertical="center"/>
    </xf>
    <xf numFmtId="1" fontId="7" fillId="8" borderId="26" xfId="3" applyNumberFormat="1" applyFont="1" applyFill="1" applyBorder="1" applyAlignment="1">
      <alignment horizontal="center" vertical="center"/>
    </xf>
    <xf numFmtId="2" fontId="7" fillId="8" borderId="21" xfId="3" applyNumberFormat="1" applyFont="1" applyFill="1" applyBorder="1" applyAlignment="1">
      <alignment horizontal="center" vertical="center"/>
    </xf>
    <xf numFmtId="2" fontId="7" fillId="8" borderId="20" xfId="3" applyNumberFormat="1" applyFont="1" applyFill="1" applyBorder="1" applyAlignment="1">
      <alignment horizontal="center" vertical="center"/>
    </xf>
    <xf numFmtId="1" fontId="7" fillId="7" borderId="22" xfId="3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16" fillId="0" borderId="1" xfId="0" applyFont="1" applyBorder="1"/>
    <xf numFmtId="10" fontId="12" fillId="7" borderId="25" xfId="3" applyNumberFormat="1" applyFont="1" applyFill="1" applyBorder="1" applyAlignment="1">
      <alignment horizontal="center" vertical="center"/>
    </xf>
    <xf numFmtId="10" fontId="12" fillId="10" borderId="0" xfId="0" applyNumberFormat="1" applyFont="1" applyFill="1" applyAlignment="1">
      <alignment horizontal="center" vertical="center"/>
    </xf>
    <xf numFmtId="10" fontId="17" fillId="12" borderId="0" xfId="3" applyNumberFormat="1" applyFont="1" applyFill="1" applyBorder="1" applyAlignment="1">
      <alignment horizontal="center" vertical="center"/>
    </xf>
    <xf numFmtId="10" fontId="17" fillId="12" borderId="26" xfId="3" applyNumberFormat="1" applyFont="1" applyFill="1" applyBorder="1" applyAlignment="1">
      <alignment horizontal="center" vertical="center"/>
    </xf>
    <xf numFmtId="10" fontId="18" fillId="12" borderId="26" xfId="3" applyNumberFormat="1" applyFont="1" applyFill="1" applyBorder="1" applyAlignment="1">
      <alignment horizontal="center" vertical="center"/>
    </xf>
    <xf numFmtId="10" fontId="19" fillId="7" borderId="25" xfId="3" applyNumberFormat="1" applyFont="1" applyFill="1" applyBorder="1" applyAlignment="1">
      <alignment horizontal="center" vertical="center"/>
    </xf>
    <xf numFmtId="10" fontId="19" fillId="10" borderId="0" xfId="0" applyNumberFormat="1" applyFont="1" applyFill="1" applyAlignment="1">
      <alignment horizontal="center" vertical="center"/>
    </xf>
    <xf numFmtId="10" fontId="15" fillId="13" borderId="0" xfId="0" applyNumberFormat="1" applyFont="1" applyFill="1" applyAlignment="1">
      <alignment horizontal="center"/>
    </xf>
    <xf numFmtId="0" fontId="16" fillId="0" borderId="2" xfId="0" applyFont="1" applyBorder="1"/>
    <xf numFmtId="10" fontId="20" fillId="12" borderId="0" xfId="3" applyNumberFormat="1" applyFont="1" applyFill="1" applyBorder="1" applyAlignment="1">
      <alignment horizontal="center" vertical="center"/>
    </xf>
    <xf numFmtId="10" fontId="19" fillId="10" borderId="0" xfId="0" applyNumberFormat="1" applyFont="1" applyFill="1" applyAlignment="1">
      <alignment horizontal="center"/>
    </xf>
    <xf numFmtId="10" fontId="20" fillId="12" borderId="26" xfId="3" applyNumberFormat="1" applyFont="1" applyFill="1" applyBorder="1" applyAlignment="1">
      <alignment horizontal="center" vertical="center"/>
    </xf>
    <xf numFmtId="10" fontId="21" fillId="13" borderId="0" xfId="0" applyNumberFormat="1" applyFont="1" applyFill="1" applyAlignment="1">
      <alignment horizontal="center"/>
    </xf>
    <xf numFmtId="10" fontId="22" fillId="13" borderId="0" xfId="0" applyNumberFormat="1" applyFont="1" applyFill="1" applyAlignment="1">
      <alignment horizontal="center"/>
    </xf>
    <xf numFmtId="0" fontId="16" fillId="0" borderId="3" xfId="0" applyFont="1" applyBorder="1"/>
    <xf numFmtId="10" fontId="12" fillId="7" borderId="19" xfId="3" applyNumberFormat="1" applyFont="1" applyFill="1" applyBorder="1" applyAlignment="1">
      <alignment horizontal="center" vertical="center"/>
    </xf>
    <xf numFmtId="10" fontId="12" fillId="10" borderId="20" xfId="0" applyNumberFormat="1" applyFont="1" applyFill="1" applyBorder="1" applyAlignment="1">
      <alignment horizontal="center" vertical="center"/>
    </xf>
    <xf numFmtId="10" fontId="20" fillId="12" borderId="20" xfId="3" applyNumberFormat="1" applyFont="1" applyFill="1" applyBorder="1" applyAlignment="1">
      <alignment horizontal="center" vertical="center"/>
    </xf>
    <xf numFmtId="10" fontId="19" fillId="10" borderId="20" xfId="0" applyNumberFormat="1" applyFont="1" applyFill="1" applyBorder="1" applyAlignment="1">
      <alignment horizontal="center"/>
    </xf>
    <xf numFmtId="10" fontId="20" fillId="12" borderId="21" xfId="3" applyNumberFormat="1" applyFont="1" applyFill="1" applyBorder="1" applyAlignment="1">
      <alignment horizontal="center" vertical="center"/>
    </xf>
    <xf numFmtId="10" fontId="19" fillId="7" borderId="19" xfId="3" applyNumberFormat="1" applyFont="1" applyFill="1" applyBorder="1" applyAlignment="1">
      <alignment horizontal="center" vertical="center"/>
    </xf>
    <xf numFmtId="10" fontId="18" fillId="12" borderId="21" xfId="3" applyNumberFormat="1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10" fontId="12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" fontId="7" fillId="3" borderId="29" xfId="3" applyNumberFormat="1" applyFont="1" applyFill="1" applyBorder="1" applyAlignment="1">
      <alignment horizontal="center" vertical="center"/>
    </xf>
    <xf numFmtId="164" fontId="7" fillId="3" borderId="29" xfId="3" applyNumberFormat="1" applyFont="1" applyFill="1" applyBorder="1" applyAlignment="1">
      <alignment horizontal="center" vertical="center"/>
    </xf>
    <xf numFmtId="2" fontId="7" fillId="3" borderId="5" xfId="3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1" fontId="7" fillId="3" borderId="31" xfId="3" applyNumberFormat="1" applyFont="1" applyFill="1" applyBorder="1" applyAlignment="1">
      <alignment horizontal="center" vertical="center"/>
    </xf>
    <xf numFmtId="1" fontId="7" fillId="3" borderId="32" xfId="3" applyNumberFormat="1" applyFont="1" applyFill="1" applyBorder="1" applyAlignment="1">
      <alignment horizontal="center" vertical="center"/>
    </xf>
    <xf numFmtId="1" fontId="7" fillId="3" borderId="33" xfId="3" applyNumberFormat="1" applyFont="1" applyFill="1" applyBorder="1" applyAlignment="1">
      <alignment horizontal="center" vertical="center"/>
    </xf>
    <xf numFmtId="1" fontId="7" fillId="16" borderId="29" xfId="3" applyNumberFormat="1" applyFont="1" applyFill="1" applyBorder="1" applyAlignment="1">
      <alignment horizontal="center" vertical="center"/>
    </xf>
    <xf numFmtId="2" fontId="7" fillId="16" borderId="5" xfId="3" applyNumberFormat="1" applyFont="1" applyFill="1" applyBorder="1" applyAlignment="1">
      <alignment horizontal="center" vertical="center"/>
    </xf>
    <xf numFmtId="1" fontId="7" fillId="16" borderId="31" xfId="3" applyNumberFormat="1" applyFont="1" applyFill="1" applyBorder="1" applyAlignment="1">
      <alignment horizontal="center" vertical="center"/>
    </xf>
    <xf numFmtId="1" fontId="7" fillId="16" borderId="32" xfId="3" applyNumberFormat="1" applyFont="1" applyFill="1" applyBorder="1" applyAlignment="1">
      <alignment horizontal="center" vertical="center"/>
    </xf>
    <xf numFmtId="164" fontId="7" fillId="16" borderId="29" xfId="3" applyNumberFormat="1" applyFont="1" applyFill="1" applyBorder="1" applyAlignment="1">
      <alignment horizontal="center" vertical="center"/>
    </xf>
    <xf numFmtId="1" fontId="7" fillId="16" borderId="0" xfId="3" applyNumberFormat="1" applyFont="1" applyFill="1" applyBorder="1" applyAlignment="1">
      <alignment horizontal="center" vertical="center"/>
    </xf>
    <xf numFmtId="1" fontId="7" fillId="16" borderId="12" xfId="3" applyNumberFormat="1" applyFont="1" applyFill="1" applyBorder="1" applyAlignment="1">
      <alignment horizontal="center" vertical="center"/>
    </xf>
    <xf numFmtId="1" fontId="7" fillId="7" borderId="1" xfId="3" applyNumberFormat="1" applyFont="1" applyFill="1" applyBorder="1" applyAlignment="1">
      <alignment horizontal="center" vertical="center"/>
    </xf>
    <xf numFmtId="1" fontId="7" fillId="7" borderId="30" xfId="3" applyNumberFormat="1" applyFont="1" applyFill="1" applyBorder="1" applyAlignment="1">
      <alignment horizontal="center" vertical="center"/>
    </xf>
    <xf numFmtId="1" fontId="7" fillId="7" borderId="4" xfId="3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1" fontId="7" fillId="8" borderId="30" xfId="3" applyNumberFormat="1" applyFont="1" applyFill="1" applyBorder="1" applyAlignment="1">
      <alignment horizontal="center" vertical="center"/>
    </xf>
    <xf numFmtId="1" fontId="7" fillId="8" borderId="4" xfId="3" applyNumberFormat="1" applyFont="1" applyFill="1" applyBorder="1" applyAlignment="1">
      <alignment horizontal="center" vertical="center"/>
    </xf>
    <xf numFmtId="1" fontId="7" fillId="16" borderId="33" xfId="3" applyNumberFormat="1" applyFont="1" applyFill="1" applyBorder="1" applyAlignment="1">
      <alignment horizontal="center" vertical="center"/>
    </xf>
    <xf numFmtId="1" fontId="7" fillId="16" borderId="35" xfId="3" applyNumberFormat="1" applyFont="1" applyFill="1" applyBorder="1" applyAlignment="1">
      <alignment horizontal="center" vertical="center"/>
    </xf>
    <xf numFmtId="1" fontId="7" fillId="16" borderId="36" xfId="3" applyNumberFormat="1" applyFont="1" applyFill="1" applyBorder="1" applyAlignment="1">
      <alignment horizontal="center" vertical="center"/>
    </xf>
    <xf numFmtId="164" fontId="7" fillId="16" borderId="33" xfId="3" applyNumberFormat="1" applyFont="1" applyFill="1" applyBorder="1" applyAlignment="1">
      <alignment horizontal="center" vertical="center"/>
    </xf>
    <xf numFmtId="1" fontId="7" fillId="16" borderId="30" xfId="3" applyNumberFormat="1" applyFont="1" applyFill="1" applyBorder="1" applyAlignment="1">
      <alignment horizontal="center" vertical="center"/>
    </xf>
    <xf numFmtId="1" fontId="7" fillId="16" borderId="11" xfId="3" applyNumberFormat="1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64" fontId="7" fillId="3" borderId="33" xfId="3" applyNumberFormat="1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left" vertical="center"/>
    </xf>
    <xf numFmtId="0" fontId="8" fillId="0" borderId="44" xfId="0" applyFont="1" applyBorder="1" applyAlignment="1">
      <alignment horizontal="center" vertical="center"/>
    </xf>
    <xf numFmtId="0" fontId="8" fillId="16" borderId="41" xfId="0" applyFont="1" applyFill="1" applyBorder="1" applyAlignment="1">
      <alignment vertical="center"/>
    </xf>
    <xf numFmtId="0" fontId="2" fillId="16" borderId="25" xfId="0" applyFont="1" applyFill="1" applyBorder="1" applyAlignment="1">
      <alignment horizontal="left" vertical="center"/>
    </xf>
    <xf numFmtId="2" fontId="7" fillId="16" borderId="26" xfId="3" applyNumberFormat="1" applyFont="1" applyFill="1" applyBorder="1" applyAlignment="1">
      <alignment horizontal="center" vertical="center"/>
    </xf>
    <xf numFmtId="1" fontId="7" fillId="16" borderId="46" xfId="3" applyNumberFormat="1" applyFont="1" applyFill="1" applyBorder="1" applyAlignment="1">
      <alignment horizontal="center" vertical="center"/>
    </xf>
    <xf numFmtId="0" fontId="2" fillId="16" borderId="41" xfId="0" applyFont="1" applyFill="1" applyBorder="1" applyAlignment="1">
      <alignment vertical="center"/>
    </xf>
    <xf numFmtId="0" fontId="2" fillId="16" borderId="47" xfId="0" applyFont="1" applyFill="1" applyBorder="1" applyAlignment="1">
      <alignment horizontal="left" vertical="center"/>
    </xf>
    <xf numFmtId="1" fontId="7" fillId="16" borderId="48" xfId="3" applyNumberFormat="1" applyFont="1" applyFill="1" applyBorder="1" applyAlignment="1">
      <alignment horizontal="center" vertical="center"/>
    </xf>
    <xf numFmtId="0" fontId="2" fillId="16" borderId="49" xfId="0" applyFont="1" applyFill="1" applyBorder="1" applyAlignment="1">
      <alignment vertical="center"/>
    </xf>
    <xf numFmtId="0" fontId="2" fillId="16" borderId="49" xfId="0" applyFont="1" applyFill="1" applyBorder="1" applyAlignment="1">
      <alignment horizontal="left" vertical="center"/>
    </xf>
    <xf numFmtId="1" fontId="7" fillId="16" borderId="50" xfId="3" applyNumberFormat="1" applyFont="1" applyFill="1" applyBorder="1" applyAlignment="1">
      <alignment horizontal="center" vertical="center"/>
    </xf>
    <xf numFmtId="0" fontId="2" fillId="16" borderId="51" xfId="0" applyFont="1" applyFill="1" applyBorder="1" applyAlignment="1">
      <alignment horizontal="left" vertical="center"/>
    </xf>
    <xf numFmtId="1" fontId="7" fillId="16" borderId="52" xfId="3" applyNumberFormat="1" applyFont="1" applyFill="1" applyBorder="1" applyAlignment="1">
      <alignment horizontal="center" vertical="center"/>
    </xf>
    <xf numFmtId="0" fontId="2" fillId="16" borderId="53" xfId="0" applyFont="1" applyFill="1" applyBorder="1" applyAlignment="1">
      <alignment horizontal="left" vertical="center"/>
    </xf>
    <xf numFmtId="1" fontId="7" fillId="16" borderId="20" xfId="3" applyNumberFormat="1" applyFont="1" applyFill="1" applyBorder="1" applyAlignment="1">
      <alignment horizontal="center" vertical="center"/>
    </xf>
    <xf numFmtId="1" fontId="7" fillId="16" borderId="54" xfId="3" applyNumberFormat="1" applyFont="1" applyFill="1" applyBorder="1" applyAlignment="1">
      <alignment horizontal="center" vertical="center"/>
    </xf>
    <xf numFmtId="1" fontId="7" fillId="16" borderId="55" xfId="3" applyNumberFormat="1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left" vertical="center"/>
    </xf>
    <xf numFmtId="2" fontId="7" fillId="3" borderId="26" xfId="3" applyNumberFormat="1" applyFont="1" applyFill="1" applyBorder="1" applyAlignment="1">
      <alignment horizontal="center" vertical="center"/>
    </xf>
    <xf numFmtId="1" fontId="7" fillId="3" borderId="48" xfId="3" applyNumberFormat="1" applyFont="1" applyFill="1" applyBorder="1" applyAlignment="1">
      <alignment horizontal="center" vertical="center"/>
    </xf>
    <xf numFmtId="1" fontId="7" fillId="3" borderId="26" xfId="3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left" vertical="center"/>
    </xf>
    <xf numFmtId="1" fontId="7" fillId="3" borderId="56" xfId="3" applyNumberFormat="1" applyFont="1" applyFill="1" applyBorder="1" applyAlignment="1">
      <alignment horizontal="center" vertical="center"/>
    </xf>
    <xf numFmtId="2" fontId="7" fillId="3" borderId="57" xfId="3" applyNumberFormat="1" applyFont="1" applyFill="1" applyBorder="1" applyAlignment="1">
      <alignment horizontal="center" vertical="center"/>
    </xf>
    <xf numFmtId="2" fontId="7" fillId="3" borderId="21" xfId="3" applyNumberFormat="1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5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left" vertical="center"/>
    </xf>
    <xf numFmtId="0" fontId="2" fillId="8" borderId="25" xfId="0" applyFont="1" applyFill="1" applyBorder="1" applyAlignment="1">
      <alignment horizontal="left" vertical="center"/>
    </xf>
    <xf numFmtId="0" fontId="2" fillId="8" borderId="19" xfId="0" applyFont="1" applyFill="1" applyBorder="1" applyAlignment="1">
      <alignment horizontal="left" vertical="center"/>
    </xf>
    <xf numFmtId="2" fontId="7" fillId="8" borderId="62" xfId="0" applyNumberFormat="1" applyFont="1" applyFill="1" applyBorder="1" applyAlignment="1">
      <alignment horizontal="center" vertical="center"/>
    </xf>
    <xf numFmtId="2" fontId="7" fillId="8" borderId="57" xfId="3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30" xfId="0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164" fontId="7" fillId="3" borderId="5" xfId="3" applyNumberFormat="1" applyFont="1" applyFill="1" applyBorder="1" applyAlignment="1">
      <alignment horizontal="center" vertical="center"/>
    </xf>
    <xf numFmtId="164" fontId="7" fillId="3" borderId="31" xfId="3" applyNumberFormat="1" applyFont="1" applyFill="1" applyBorder="1" applyAlignment="1">
      <alignment horizontal="center" vertical="center"/>
    </xf>
    <xf numFmtId="164" fontId="7" fillId="3" borderId="32" xfId="3" applyNumberFormat="1" applyFont="1" applyFill="1" applyBorder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1" fontId="7" fillId="16" borderId="66" xfId="3" applyNumberFormat="1" applyFont="1" applyFill="1" applyBorder="1" applyAlignment="1">
      <alignment horizontal="center" vertical="center"/>
    </xf>
    <xf numFmtId="0" fontId="2" fillId="16" borderId="0" xfId="0" applyFont="1" applyFill="1" applyAlignment="1">
      <alignment horizontal="left" vertical="center"/>
    </xf>
    <xf numFmtId="1" fontId="7" fillId="16" borderId="67" xfId="3" applyNumberFormat="1" applyFont="1" applyFill="1" applyBorder="1" applyAlignment="1">
      <alignment horizontal="center" vertical="center"/>
    </xf>
    <xf numFmtId="1" fontId="7" fillId="16" borderId="68" xfId="3" applyNumberFormat="1" applyFont="1" applyFill="1" applyBorder="1" applyAlignment="1">
      <alignment horizontal="center" vertical="center"/>
    </xf>
    <xf numFmtId="1" fontId="7" fillId="16" borderId="69" xfId="3" applyNumberFormat="1" applyFont="1" applyFill="1" applyBorder="1" applyAlignment="1">
      <alignment horizontal="center" vertical="center"/>
    </xf>
    <xf numFmtId="1" fontId="7" fillId="16" borderId="70" xfId="3" applyNumberFormat="1" applyFont="1" applyFill="1" applyBorder="1" applyAlignment="1">
      <alignment horizontal="center" vertical="center"/>
    </xf>
    <xf numFmtId="1" fontId="7" fillId="16" borderId="71" xfId="3" applyNumberFormat="1" applyFont="1" applyFill="1" applyBorder="1" applyAlignment="1">
      <alignment horizontal="center" vertical="center"/>
    </xf>
    <xf numFmtId="1" fontId="7" fillId="16" borderId="72" xfId="3" applyNumberFormat="1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left" vertical="center"/>
    </xf>
    <xf numFmtId="0" fontId="2" fillId="16" borderId="73" xfId="0" applyFont="1" applyFill="1" applyBorder="1" applyAlignment="1">
      <alignment horizontal="left" vertical="center"/>
    </xf>
    <xf numFmtId="0" fontId="2" fillId="16" borderId="22" xfId="0" applyFont="1" applyFill="1" applyBorder="1" applyAlignment="1">
      <alignment horizontal="left" vertical="center"/>
    </xf>
    <xf numFmtId="0" fontId="2" fillId="16" borderId="24" xfId="0" applyFont="1" applyFill="1" applyBorder="1" applyAlignment="1">
      <alignment horizontal="left" vertical="center"/>
    </xf>
    <xf numFmtId="0" fontId="2" fillId="16" borderId="23" xfId="0" applyFont="1" applyFill="1" applyBorder="1" applyAlignment="1">
      <alignment horizontal="left" vertical="center"/>
    </xf>
    <xf numFmtId="1" fontId="7" fillId="16" borderId="74" xfId="3" applyNumberFormat="1" applyFont="1" applyFill="1" applyBorder="1" applyAlignment="1">
      <alignment horizontal="center" vertical="center"/>
    </xf>
    <xf numFmtId="1" fontId="7" fillId="16" borderId="75" xfId="3" applyNumberFormat="1" applyFont="1" applyFill="1" applyBorder="1" applyAlignment="1">
      <alignment horizontal="center" vertical="center"/>
    </xf>
    <xf numFmtId="1" fontId="7" fillId="16" borderId="76" xfId="3" applyNumberFormat="1" applyFont="1" applyFill="1" applyBorder="1" applyAlignment="1">
      <alignment horizontal="center" vertical="center"/>
    </xf>
    <xf numFmtId="164" fontId="7" fillId="16" borderId="77" xfId="3" applyNumberFormat="1" applyFont="1" applyFill="1" applyBorder="1" applyAlignment="1">
      <alignment horizontal="center" vertical="center"/>
    </xf>
    <xf numFmtId="164" fontId="7" fillId="16" borderId="75" xfId="3" applyNumberFormat="1" applyFont="1" applyFill="1" applyBorder="1" applyAlignment="1">
      <alignment horizontal="center" vertical="center"/>
    </xf>
    <xf numFmtId="1" fontId="7" fillId="16" borderId="78" xfId="3" applyNumberFormat="1" applyFont="1" applyFill="1" applyBorder="1" applyAlignment="1">
      <alignment horizontal="center" vertical="center"/>
    </xf>
    <xf numFmtId="0" fontId="2" fillId="16" borderId="51" xfId="0" applyFont="1" applyFill="1" applyBorder="1" applyAlignment="1">
      <alignment vertical="center"/>
    </xf>
    <xf numFmtId="1" fontId="7" fillId="16" borderId="77" xfId="3" applyNumberFormat="1" applyFont="1" applyFill="1" applyBorder="1" applyAlignment="1">
      <alignment horizontal="center" vertical="center"/>
    </xf>
    <xf numFmtId="1" fontId="7" fillId="16" borderId="80" xfId="3" applyNumberFormat="1" applyFont="1" applyFill="1" applyBorder="1" applyAlignment="1">
      <alignment horizontal="center" vertical="center"/>
    </xf>
    <xf numFmtId="0" fontId="8" fillId="16" borderId="79" xfId="0" applyFont="1" applyFill="1" applyBorder="1" applyAlignment="1">
      <alignment vertical="center"/>
    </xf>
    <xf numFmtId="0" fontId="2" fillId="16" borderId="81" xfId="0" applyFont="1" applyFill="1" applyBorder="1" applyAlignment="1">
      <alignment vertical="center"/>
    </xf>
    <xf numFmtId="0" fontId="8" fillId="16" borderId="9" xfId="0" applyFont="1" applyFill="1" applyBorder="1" applyAlignment="1">
      <alignment horizontal="center" vertical="center"/>
    </xf>
    <xf numFmtId="1" fontId="7" fillId="16" borderId="82" xfId="3" applyNumberFormat="1" applyFont="1" applyFill="1" applyBorder="1" applyAlignment="1">
      <alignment horizontal="center" vertical="center"/>
    </xf>
    <xf numFmtId="1" fontId="7" fillId="16" borderId="83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2" fontId="7" fillId="16" borderId="0" xfId="3" applyNumberFormat="1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left" vertical="center"/>
    </xf>
    <xf numFmtId="1" fontId="7" fillId="7" borderId="2" xfId="3" applyNumberFormat="1" applyFont="1" applyFill="1" applyBorder="1" applyAlignment="1">
      <alignment horizontal="center" vertical="center"/>
    </xf>
    <xf numFmtId="1" fontId="7" fillId="7" borderId="0" xfId="3" applyNumberFormat="1" applyFont="1" applyFill="1" applyBorder="1" applyAlignment="1">
      <alignment horizontal="center" vertical="center"/>
    </xf>
    <xf numFmtId="1" fontId="7" fillId="7" borderId="5" xfId="3" applyNumberFormat="1" applyFont="1" applyFill="1" applyBorder="1" applyAlignment="1">
      <alignment horizontal="center" vertical="center"/>
    </xf>
    <xf numFmtId="10" fontId="19" fillId="7" borderId="30" xfId="0" applyNumberFormat="1" applyFont="1" applyFill="1" applyBorder="1"/>
    <xf numFmtId="10" fontId="19" fillId="7" borderId="0" xfId="0" applyNumberFormat="1" applyFont="1" applyFill="1"/>
    <xf numFmtId="2" fontId="7" fillId="16" borderId="36" xfId="3" applyNumberFormat="1" applyFont="1" applyFill="1" applyBorder="1" applyAlignment="1">
      <alignment horizontal="center" vertical="center"/>
    </xf>
    <xf numFmtId="1" fontId="7" fillId="16" borderId="6" xfId="3" applyNumberFormat="1" applyFont="1" applyFill="1" applyBorder="1" applyAlignment="1">
      <alignment horizontal="center" vertical="center"/>
    </xf>
    <xf numFmtId="10" fontId="7" fillId="16" borderId="5" xfId="3" applyNumberFormat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2" fillId="16" borderId="84" xfId="0" applyFont="1" applyFill="1" applyBorder="1" applyAlignment="1">
      <alignment horizontal="left" vertical="center"/>
    </xf>
    <xf numFmtId="0" fontId="2" fillId="16" borderId="85" xfId="0" applyFont="1" applyFill="1" applyBorder="1" applyAlignment="1">
      <alignment horizontal="left" vertical="center"/>
    </xf>
    <xf numFmtId="1" fontId="7" fillId="16" borderId="1" xfId="3" applyNumberFormat="1" applyFont="1" applyFill="1" applyBorder="1" applyAlignment="1">
      <alignment horizontal="center" vertical="center"/>
    </xf>
    <xf numFmtId="1" fontId="7" fillId="16" borderId="2" xfId="3" applyNumberFormat="1" applyFont="1" applyFill="1" applyBorder="1" applyAlignment="1">
      <alignment horizontal="center" vertical="center"/>
    </xf>
    <xf numFmtId="1" fontId="7" fillId="16" borderId="62" xfId="3" applyNumberFormat="1" applyFont="1" applyFill="1" applyBorder="1" applyAlignment="1">
      <alignment horizontal="center" vertical="center"/>
    </xf>
    <xf numFmtId="0" fontId="8" fillId="16" borderId="30" xfId="0" applyFont="1" applyFill="1" applyBorder="1" applyAlignment="1">
      <alignment horizontal="center" vertical="center"/>
    </xf>
    <xf numFmtId="0" fontId="2" fillId="16" borderId="86" xfId="0" applyFont="1" applyFill="1" applyBorder="1" applyAlignment="1">
      <alignment horizontal="left" vertical="center"/>
    </xf>
    <xf numFmtId="1" fontId="7" fillId="16" borderId="87" xfId="3" applyNumberFormat="1" applyFont="1" applyFill="1" applyBorder="1" applyAlignment="1">
      <alignment horizontal="center" vertical="center"/>
    </xf>
    <xf numFmtId="2" fontId="7" fillId="16" borderId="86" xfId="3" applyNumberFormat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25" fillId="4" borderId="49" xfId="0" applyFont="1" applyFill="1" applyBorder="1" applyAlignment="1">
      <alignment horizontal="center" vertical="center"/>
    </xf>
    <xf numFmtId="1" fontId="7" fillId="7" borderId="29" xfId="3" applyNumberFormat="1" applyFont="1" applyFill="1" applyBorder="1" applyAlignment="1">
      <alignment horizontal="center" vertical="center"/>
    </xf>
    <xf numFmtId="0" fontId="25" fillId="19" borderId="49" xfId="0" applyFont="1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8" fillId="19" borderId="29" xfId="0" applyFont="1" applyFill="1" applyBorder="1" applyAlignment="1">
      <alignment horizontal="center" vertical="center"/>
    </xf>
    <xf numFmtId="0" fontId="2" fillId="19" borderId="25" xfId="0" applyFont="1" applyFill="1" applyBorder="1" applyAlignment="1">
      <alignment horizontal="center" vertical="center"/>
    </xf>
    <xf numFmtId="164" fontId="7" fillId="19" borderId="31" xfId="3" applyNumberFormat="1" applyFont="1" applyFill="1" applyBorder="1" applyAlignment="1">
      <alignment horizontal="center" vertical="center"/>
    </xf>
    <xf numFmtId="164" fontId="7" fillId="19" borderId="32" xfId="3" applyNumberFormat="1" applyFont="1" applyFill="1" applyBorder="1" applyAlignment="1">
      <alignment horizontal="center" vertical="center"/>
    </xf>
    <xf numFmtId="1" fontId="7" fillId="19" borderId="32" xfId="3" applyNumberFormat="1" applyFont="1" applyFill="1" applyBorder="1" applyAlignment="1">
      <alignment horizontal="center" vertical="center"/>
    </xf>
    <xf numFmtId="1" fontId="7" fillId="19" borderId="31" xfId="3" applyNumberFormat="1" applyFont="1" applyFill="1" applyBorder="1" applyAlignment="1">
      <alignment horizontal="center" vertical="center"/>
    </xf>
    <xf numFmtId="1" fontId="7" fillId="19" borderId="48" xfId="3" applyNumberFormat="1" applyFont="1" applyFill="1" applyBorder="1" applyAlignment="1">
      <alignment horizontal="center" vertical="center"/>
    </xf>
    <xf numFmtId="0" fontId="2" fillId="19" borderId="47" xfId="0" applyFont="1" applyFill="1" applyBorder="1" applyAlignment="1">
      <alignment horizontal="center" vertical="center"/>
    </xf>
    <xf numFmtId="0" fontId="2" fillId="20" borderId="25" xfId="0" applyFont="1" applyFill="1" applyBorder="1" applyAlignment="1">
      <alignment horizontal="center" vertical="center"/>
    </xf>
    <xf numFmtId="164" fontId="7" fillId="20" borderId="33" xfId="3" applyNumberFormat="1" applyFont="1" applyFill="1" applyBorder="1" applyAlignment="1">
      <alignment horizontal="center" vertical="center"/>
    </xf>
    <xf numFmtId="164" fontId="7" fillId="20" borderId="5" xfId="3" applyNumberFormat="1" applyFont="1" applyFill="1" applyBorder="1" applyAlignment="1">
      <alignment horizontal="center" vertical="center"/>
    </xf>
    <xf numFmtId="1" fontId="7" fillId="20" borderId="33" xfId="3" applyNumberFormat="1" applyFont="1" applyFill="1" applyBorder="1" applyAlignment="1">
      <alignment horizontal="center" vertical="center"/>
    </xf>
    <xf numFmtId="2" fontId="7" fillId="20" borderId="5" xfId="3" applyNumberFormat="1" applyFont="1" applyFill="1" applyBorder="1" applyAlignment="1">
      <alignment horizontal="center" vertical="center"/>
    </xf>
    <xf numFmtId="1" fontId="7" fillId="20" borderId="29" xfId="3" applyNumberFormat="1" applyFont="1" applyFill="1" applyBorder="1" applyAlignment="1">
      <alignment horizontal="center" vertical="center"/>
    </xf>
    <xf numFmtId="2" fontId="7" fillId="20" borderId="26" xfId="3" applyNumberFormat="1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164" fontId="7" fillId="20" borderId="29" xfId="3" applyNumberFormat="1" applyFont="1" applyFill="1" applyBorder="1" applyAlignment="1">
      <alignment horizontal="center" vertical="center"/>
    </xf>
    <xf numFmtId="1" fontId="7" fillId="20" borderId="5" xfId="3" applyNumberFormat="1" applyFont="1" applyFill="1" applyBorder="1" applyAlignment="1">
      <alignment horizontal="center" vertical="center"/>
    </xf>
    <xf numFmtId="0" fontId="2" fillId="20" borderId="25" xfId="0" applyFont="1" applyFill="1" applyBorder="1" applyAlignment="1">
      <alignment horizontal="left" vertical="center"/>
    </xf>
    <xf numFmtId="0" fontId="2" fillId="20" borderId="19" xfId="0" applyFont="1" applyFill="1" applyBorder="1" applyAlignment="1">
      <alignment horizontal="left" vertical="center"/>
    </xf>
    <xf numFmtId="1" fontId="7" fillId="20" borderId="56" xfId="3" applyNumberFormat="1" applyFont="1" applyFill="1" applyBorder="1" applyAlignment="1">
      <alignment horizontal="center" vertical="center"/>
    </xf>
    <xf numFmtId="2" fontId="7" fillId="20" borderId="57" xfId="3" applyNumberFormat="1" applyFont="1" applyFill="1" applyBorder="1" applyAlignment="1">
      <alignment horizontal="center" vertical="center"/>
    </xf>
    <xf numFmtId="2" fontId="7" fillId="20" borderId="21" xfId="3" applyNumberFormat="1" applyFont="1" applyFill="1" applyBorder="1" applyAlignment="1">
      <alignment horizontal="center" vertical="center"/>
    </xf>
    <xf numFmtId="0" fontId="5" fillId="19" borderId="15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164" fontId="7" fillId="20" borderId="35" xfId="3" applyNumberFormat="1" applyFont="1" applyFill="1" applyBorder="1" applyAlignment="1">
      <alignment horizontal="center" vertical="center"/>
    </xf>
    <xf numFmtId="1" fontId="7" fillId="20" borderId="35" xfId="3" applyNumberFormat="1" applyFont="1" applyFill="1" applyBorder="1" applyAlignment="1">
      <alignment horizontal="center" vertical="center"/>
    </xf>
    <xf numFmtId="1" fontId="7" fillId="7" borderId="89" xfId="3" applyNumberFormat="1" applyFont="1" applyFill="1" applyBorder="1" applyAlignment="1">
      <alignment horizontal="center" vertical="center"/>
    </xf>
    <xf numFmtId="0" fontId="7" fillId="16" borderId="5" xfId="3" applyNumberFormat="1" applyFont="1" applyFill="1" applyBorder="1" applyAlignment="1">
      <alignment horizontal="center" vertical="center"/>
    </xf>
    <xf numFmtId="164" fontId="7" fillId="16" borderId="36" xfId="3" applyNumberFormat="1" applyFont="1" applyFill="1" applyBorder="1" applyAlignment="1">
      <alignment horizontal="center" vertical="center"/>
    </xf>
    <xf numFmtId="2" fontId="7" fillId="16" borderId="20" xfId="3" applyNumberFormat="1" applyFont="1" applyFill="1" applyBorder="1" applyAlignment="1">
      <alignment horizontal="center" vertical="center"/>
    </xf>
    <xf numFmtId="164" fontId="7" fillId="16" borderId="29" xfId="3" applyNumberFormat="1" applyFont="1" applyFill="1" applyBorder="1" applyAlignment="1">
      <alignment horizontal="left" vertical="center"/>
    </xf>
    <xf numFmtId="1" fontId="7" fillId="7" borderId="0" xfId="3" applyNumberFormat="1" applyFont="1" applyFill="1" applyAlignment="1">
      <alignment horizontal="center" vertical="center"/>
    </xf>
    <xf numFmtId="164" fontId="7" fillId="20" borderId="82" xfId="3" applyNumberFormat="1" applyFont="1" applyFill="1" applyBorder="1" applyAlignment="1">
      <alignment horizontal="center" vertical="center"/>
    </xf>
    <xf numFmtId="1" fontId="7" fillId="20" borderId="82" xfId="3" applyNumberFormat="1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164" fontId="7" fillId="10" borderId="29" xfId="3" applyNumberFormat="1" applyFont="1" applyFill="1" applyBorder="1" applyAlignment="1">
      <alignment horizontal="center" vertical="center"/>
    </xf>
    <xf numFmtId="164" fontId="7" fillId="10" borderId="5" xfId="3" applyNumberFormat="1" applyFont="1" applyFill="1" applyBorder="1" applyAlignment="1">
      <alignment horizontal="center" vertical="center"/>
    </xf>
    <xf numFmtId="1" fontId="7" fillId="10" borderId="29" xfId="3" applyNumberFormat="1" applyFont="1" applyFill="1" applyBorder="1" applyAlignment="1">
      <alignment horizontal="center" vertical="center"/>
    </xf>
    <xf numFmtId="2" fontId="7" fillId="10" borderId="5" xfId="3" applyNumberFormat="1" applyFont="1" applyFill="1" applyBorder="1" applyAlignment="1">
      <alignment horizontal="center" vertical="center"/>
    </xf>
    <xf numFmtId="1" fontId="7" fillId="10" borderId="5" xfId="3" applyNumberFormat="1" applyFont="1" applyFill="1" applyBorder="1" applyAlignment="1">
      <alignment horizontal="center" vertical="center"/>
    </xf>
    <xf numFmtId="2" fontId="7" fillId="10" borderId="26" xfId="3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7" fillId="16" borderId="80" xfId="3" applyNumberFormat="1" applyFont="1" applyFill="1" applyBorder="1" applyAlignment="1">
      <alignment horizontal="center" vertical="center"/>
    </xf>
    <xf numFmtId="164" fontId="7" fillId="16" borderId="35" xfId="3" applyNumberFormat="1" applyFont="1" applyFill="1" applyBorder="1" applyAlignment="1">
      <alignment horizontal="center" vertical="center"/>
    </xf>
    <xf numFmtId="1" fontId="7" fillId="16" borderId="92" xfId="3" applyNumberFormat="1" applyFont="1" applyFill="1" applyBorder="1" applyAlignment="1">
      <alignment horizontal="center" vertical="center"/>
    </xf>
    <xf numFmtId="1" fontId="7" fillId="16" borderId="26" xfId="3" applyNumberFormat="1" applyFont="1" applyFill="1" applyBorder="1" applyAlignment="1">
      <alignment horizontal="center" vertical="center"/>
    </xf>
    <xf numFmtId="164" fontId="7" fillId="16" borderId="87" xfId="3" applyNumberFormat="1" applyFont="1" applyFill="1" applyBorder="1" applyAlignment="1">
      <alignment horizontal="center" vertical="center"/>
    </xf>
    <xf numFmtId="1" fontId="7" fillId="16" borderId="5" xfId="3" applyNumberFormat="1" applyFont="1" applyFill="1" applyBorder="1" applyAlignment="1">
      <alignment horizontal="center" vertical="center"/>
    </xf>
    <xf numFmtId="1" fontId="7" fillId="16" borderId="86" xfId="3" applyNumberFormat="1" applyFont="1" applyFill="1" applyBorder="1" applyAlignment="1">
      <alignment horizontal="center" vertical="center"/>
    </xf>
    <xf numFmtId="0" fontId="2" fillId="16" borderId="93" xfId="0" applyFont="1" applyFill="1" applyBorder="1" applyAlignment="1">
      <alignment horizontal="left" vertical="center"/>
    </xf>
    <xf numFmtId="1" fontId="31" fillId="20" borderId="29" xfId="3" applyNumberFormat="1" applyFont="1" applyFill="1" applyBorder="1" applyAlignment="1">
      <alignment horizontal="center" vertical="center"/>
    </xf>
    <xf numFmtId="1" fontId="32" fillId="20" borderId="29" xfId="3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30" xfId="0" applyFont="1" applyBorder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7" fillId="2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 wrapText="1"/>
    </xf>
    <xf numFmtId="0" fontId="5" fillId="5" borderId="98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5" borderId="99" xfId="0" applyFont="1" applyFill="1" applyBorder="1" applyAlignment="1">
      <alignment horizontal="center" vertical="center"/>
    </xf>
    <xf numFmtId="0" fontId="5" fillId="5" borderId="95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2" fillId="0" borderId="102" xfId="0" applyFont="1" applyBorder="1" applyAlignment="1">
      <alignment horizontal="left" vertical="center"/>
    </xf>
    <xf numFmtId="0" fontId="28" fillId="24" borderId="119" xfId="0" applyFont="1" applyFill="1" applyBorder="1" applyAlignment="1">
      <alignment horizontal="left" vertical="center"/>
    </xf>
    <xf numFmtId="0" fontId="28" fillId="24" borderId="119" xfId="0" applyFont="1" applyFill="1" applyBorder="1" applyAlignment="1">
      <alignment horizontal="center" vertical="center"/>
    </xf>
    <xf numFmtId="0" fontId="28" fillId="24" borderId="117" xfId="0" applyFont="1" applyFill="1" applyBorder="1" applyAlignment="1">
      <alignment horizontal="center" vertical="center"/>
    </xf>
    <xf numFmtId="1" fontId="28" fillId="24" borderId="142" xfId="3" applyNumberFormat="1" applyFont="1" applyFill="1" applyBorder="1" applyAlignment="1">
      <alignment horizontal="center" vertical="center"/>
    </xf>
    <xf numFmtId="1" fontId="28" fillId="24" borderId="117" xfId="3" applyNumberFormat="1" applyFont="1" applyFill="1" applyBorder="1" applyAlignment="1">
      <alignment horizontal="center" vertical="center"/>
    </xf>
    <xf numFmtId="1" fontId="28" fillId="24" borderId="141" xfId="3" applyNumberFormat="1" applyFont="1" applyFill="1" applyBorder="1" applyAlignment="1">
      <alignment horizontal="center" vertical="center"/>
    </xf>
    <xf numFmtId="1" fontId="28" fillId="24" borderId="143" xfId="3" applyNumberFormat="1" applyFont="1" applyFill="1" applyBorder="1" applyAlignment="1">
      <alignment horizontal="center" vertical="center"/>
    </xf>
    <xf numFmtId="1" fontId="28" fillId="24" borderId="128" xfId="3" applyNumberFormat="1" applyFont="1" applyFill="1" applyBorder="1" applyAlignment="1">
      <alignment horizontal="center" vertical="center"/>
    </xf>
    <xf numFmtId="0" fontId="28" fillId="24" borderId="140" xfId="0" applyFont="1" applyFill="1" applyBorder="1" applyAlignment="1">
      <alignment horizontal="left" vertical="center"/>
    </xf>
    <xf numFmtId="0" fontId="28" fillId="24" borderId="140" xfId="0" applyFont="1" applyFill="1" applyBorder="1" applyAlignment="1">
      <alignment horizontal="center" vertical="center"/>
    </xf>
    <xf numFmtId="0" fontId="28" fillId="24" borderId="20" xfId="0" applyFont="1" applyFill="1" applyBorder="1" applyAlignment="1">
      <alignment horizontal="center" vertical="center"/>
    </xf>
    <xf numFmtId="1" fontId="28" fillId="24" borderId="19" xfId="3" applyNumberFormat="1" applyFont="1" applyFill="1" applyBorder="1" applyAlignment="1">
      <alignment horizontal="center" vertical="center"/>
    </xf>
    <xf numFmtId="1" fontId="28" fillId="24" borderId="20" xfId="3" applyNumberFormat="1" applyFont="1" applyFill="1" applyBorder="1" applyAlignment="1">
      <alignment horizontal="center" vertical="center"/>
    </xf>
    <xf numFmtId="1" fontId="28" fillId="24" borderId="21" xfId="3" applyNumberFormat="1" applyFont="1" applyFill="1" applyBorder="1" applyAlignment="1">
      <alignment horizontal="center" vertical="center"/>
    </xf>
    <xf numFmtId="1" fontId="28" fillId="24" borderId="23" xfId="3" applyNumberFormat="1" applyFont="1" applyFill="1" applyBorder="1" applyAlignment="1">
      <alignment horizontal="center" vertical="center"/>
    </xf>
    <xf numFmtId="1" fontId="28" fillId="24" borderId="6" xfId="3" applyNumberFormat="1" applyFont="1" applyFill="1" applyBorder="1" applyAlignment="1">
      <alignment horizontal="center" vertical="center"/>
    </xf>
    <xf numFmtId="1" fontId="28" fillId="24" borderId="7" xfId="3" applyNumberFormat="1" applyFont="1" applyFill="1" applyBorder="1" applyAlignment="1">
      <alignment horizontal="center" vertical="center"/>
    </xf>
    <xf numFmtId="0" fontId="28" fillId="24" borderId="0" xfId="0" applyFont="1" applyFill="1" applyAlignment="1">
      <alignment horizontal="center" vertical="center"/>
    </xf>
    <xf numFmtId="1" fontId="28" fillId="24" borderId="25" xfId="3" applyNumberFormat="1" applyFont="1" applyFill="1" applyBorder="1" applyAlignment="1">
      <alignment horizontal="center" vertical="center"/>
    </xf>
    <xf numFmtId="1" fontId="28" fillId="24" borderId="0" xfId="3" applyNumberFormat="1" applyFont="1" applyFill="1" applyBorder="1" applyAlignment="1">
      <alignment horizontal="center" vertical="center"/>
    </xf>
    <xf numFmtId="1" fontId="28" fillId="24" borderId="26" xfId="3" applyNumberFormat="1" applyFont="1" applyFill="1" applyBorder="1" applyAlignment="1">
      <alignment horizontal="center" vertical="center"/>
    </xf>
    <xf numFmtId="1" fontId="28" fillId="24" borderId="24" xfId="3" applyNumberFormat="1" applyFont="1" applyFill="1" applyBorder="1" applyAlignment="1">
      <alignment horizontal="center" vertical="center"/>
    </xf>
    <xf numFmtId="1" fontId="28" fillId="24" borderId="5" xfId="3" applyNumberFormat="1" applyFont="1" applyFill="1" applyBorder="1" applyAlignment="1">
      <alignment horizontal="center" vertical="center"/>
    </xf>
    <xf numFmtId="0" fontId="28" fillId="24" borderId="111" xfId="0" applyFont="1" applyFill="1" applyBorder="1" applyAlignment="1">
      <alignment horizontal="left" vertical="center"/>
    </xf>
    <xf numFmtId="0" fontId="28" fillId="24" borderId="111" xfId="0" applyFont="1" applyFill="1" applyBorder="1" applyAlignment="1">
      <alignment horizontal="center" vertical="center"/>
    </xf>
    <xf numFmtId="0" fontId="28" fillId="24" borderId="136" xfId="0" applyFont="1" applyFill="1" applyBorder="1" applyAlignment="1">
      <alignment horizontal="left" vertical="center"/>
    </xf>
    <xf numFmtId="0" fontId="28" fillId="24" borderId="135" xfId="0" applyFont="1" applyFill="1" applyBorder="1" applyAlignment="1">
      <alignment horizontal="left" vertical="center"/>
    </xf>
    <xf numFmtId="0" fontId="28" fillId="24" borderId="135" xfId="0" applyFont="1" applyFill="1" applyBorder="1" applyAlignment="1">
      <alignment horizontal="center" vertical="center"/>
    </xf>
    <xf numFmtId="0" fontId="28" fillId="24" borderId="110" xfId="0" applyFont="1" applyFill="1" applyBorder="1" applyAlignment="1">
      <alignment horizontal="center" vertical="center"/>
    </xf>
    <xf numFmtId="1" fontId="28" fillId="24" borderId="145" xfId="3" applyNumberFormat="1" applyFont="1" applyFill="1" applyBorder="1" applyAlignment="1">
      <alignment horizontal="center" vertical="center"/>
    </xf>
    <xf numFmtId="1" fontId="28" fillId="24" borderId="102" xfId="3" applyNumberFormat="1" applyFont="1" applyFill="1" applyBorder="1" applyAlignment="1">
      <alignment horizontal="center" vertical="center"/>
    </xf>
    <xf numFmtId="1" fontId="28" fillId="24" borderId="146" xfId="3" applyNumberFormat="1" applyFont="1" applyFill="1" applyBorder="1" applyAlignment="1">
      <alignment horizontal="center" vertical="center"/>
    </xf>
    <xf numFmtId="1" fontId="28" fillId="24" borderId="147" xfId="3" applyNumberFormat="1" applyFont="1" applyFill="1" applyBorder="1" applyAlignment="1">
      <alignment horizontal="center" vertical="center"/>
    </xf>
    <xf numFmtId="1" fontId="28" fillId="24" borderId="101" xfId="3" applyNumberFormat="1" applyFont="1" applyFill="1" applyBorder="1" applyAlignment="1">
      <alignment horizontal="center" vertical="center"/>
    </xf>
    <xf numFmtId="0" fontId="28" fillId="24" borderId="102" xfId="0" applyFont="1" applyFill="1" applyBorder="1" applyAlignment="1">
      <alignment horizontal="center" vertical="center"/>
    </xf>
    <xf numFmtId="0" fontId="28" fillId="26" borderId="100" xfId="0" applyFont="1" applyFill="1" applyBorder="1" applyAlignment="1">
      <alignment horizontal="left" vertical="center"/>
    </xf>
    <xf numFmtId="0" fontId="28" fillId="26" borderId="100" xfId="0" applyFont="1" applyFill="1" applyBorder="1" applyAlignment="1">
      <alignment horizontal="center" vertical="center"/>
    </xf>
    <xf numFmtId="0" fontId="28" fillId="26" borderId="25" xfId="0" applyFont="1" applyFill="1" applyBorder="1" applyAlignment="1">
      <alignment horizontal="center" vertical="center"/>
    </xf>
    <xf numFmtId="1" fontId="28" fillId="26" borderId="26" xfId="0" applyNumberFormat="1" applyFont="1" applyFill="1" applyBorder="1" applyAlignment="1">
      <alignment horizontal="center" vertical="center"/>
    </xf>
    <xf numFmtId="1" fontId="28" fillId="26" borderId="0" xfId="3" applyNumberFormat="1" applyFont="1" applyFill="1" applyBorder="1" applyAlignment="1">
      <alignment horizontal="center" vertical="center"/>
    </xf>
    <xf numFmtId="1" fontId="28" fillId="26" borderId="26" xfId="3" applyNumberFormat="1" applyFont="1" applyFill="1" applyBorder="1" applyAlignment="1">
      <alignment horizontal="center" vertical="center"/>
    </xf>
    <xf numFmtId="1" fontId="28" fillId="26" borderId="25" xfId="3" applyNumberFormat="1" applyFont="1" applyFill="1" applyBorder="1" applyAlignment="1">
      <alignment horizontal="center" vertical="center"/>
    </xf>
    <xf numFmtId="1" fontId="28" fillId="26" borderId="5" xfId="3" applyNumberFormat="1" applyFont="1" applyFill="1" applyBorder="1" applyAlignment="1">
      <alignment horizontal="center" vertical="center"/>
    </xf>
    <xf numFmtId="2" fontId="28" fillId="26" borderId="100" xfId="0" applyNumberFormat="1" applyFont="1" applyFill="1" applyBorder="1" applyAlignment="1">
      <alignment horizontal="center" vertical="center"/>
    </xf>
    <xf numFmtId="2" fontId="28" fillId="26" borderId="0" xfId="0" applyNumberFormat="1" applyFont="1" applyFill="1" applyAlignment="1">
      <alignment horizontal="center" vertical="center"/>
    </xf>
    <xf numFmtId="2" fontId="28" fillId="26" borderId="25" xfId="0" applyNumberFormat="1" applyFont="1" applyFill="1" applyBorder="1" applyAlignment="1">
      <alignment horizontal="center" vertical="center"/>
    </xf>
    <xf numFmtId="2" fontId="28" fillId="26" borderId="26" xfId="0" applyNumberFormat="1" applyFont="1" applyFill="1" applyBorder="1" applyAlignment="1">
      <alignment horizontal="center" vertical="center"/>
    </xf>
    <xf numFmtId="2" fontId="28" fillId="26" borderId="0" xfId="3" applyNumberFormat="1" applyFont="1" applyFill="1" applyBorder="1" applyAlignment="1">
      <alignment horizontal="center" vertical="center"/>
    </xf>
    <xf numFmtId="2" fontId="28" fillId="26" borderId="26" xfId="3" applyNumberFormat="1" applyFont="1" applyFill="1" applyBorder="1" applyAlignment="1">
      <alignment horizontal="center" vertical="center"/>
    </xf>
    <xf numFmtId="2" fontId="28" fillId="26" borderId="25" xfId="3" applyNumberFormat="1" applyFont="1" applyFill="1" applyBorder="1" applyAlignment="1">
      <alignment horizontal="center" vertical="center"/>
    </xf>
    <xf numFmtId="2" fontId="28" fillId="26" borderId="5" xfId="3" applyNumberFormat="1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9" fontId="28" fillId="28" borderId="113" xfId="3" applyFont="1" applyFill="1" applyBorder="1" applyAlignment="1">
      <alignment horizontal="center" vertical="center"/>
    </xf>
    <xf numFmtId="0" fontId="26" fillId="28" borderId="117" xfId="0" applyFont="1" applyFill="1" applyBorder="1" applyAlignment="1">
      <alignment horizontal="center" vertical="center"/>
    </xf>
    <xf numFmtId="0" fontId="26" fillId="28" borderId="118" xfId="0" applyFont="1" applyFill="1" applyBorder="1" applyAlignment="1">
      <alignment horizontal="center" vertical="center"/>
    </xf>
    <xf numFmtId="0" fontId="25" fillId="28" borderId="119" xfId="0" applyFont="1" applyFill="1" applyBorder="1" applyAlignment="1">
      <alignment horizontal="center" vertical="center"/>
    </xf>
    <xf numFmtId="1" fontId="28" fillId="28" borderId="91" xfId="3" applyNumberFormat="1" applyFont="1" applyFill="1" applyBorder="1" applyAlignment="1">
      <alignment horizontal="center" vertical="center"/>
    </xf>
    <xf numFmtId="0" fontId="25" fillId="28" borderId="114" xfId="0" applyFont="1" applyFill="1" applyBorder="1" applyAlignment="1">
      <alignment horizontal="center" vertical="center"/>
    </xf>
    <xf numFmtId="0" fontId="26" fillId="28" borderId="0" xfId="0" applyFont="1" applyFill="1" applyAlignment="1">
      <alignment horizontal="center" vertical="center"/>
    </xf>
    <xf numFmtId="0" fontId="26" fillId="28" borderId="100" xfId="0" applyFont="1" applyFill="1" applyBorder="1" applyAlignment="1">
      <alignment horizontal="center" vertical="center"/>
    </xf>
    <xf numFmtId="0" fontId="25" fillId="28" borderId="111" xfId="0" applyFont="1" applyFill="1" applyBorder="1" applyAlignment="1">
      <alignment horizontal="center" vertical="center"/>
    </xf>
    <xf numFmtId="9" fontId="28" fillId="28" borderId="91" xfId="3" applyFont="1" applyFill="1" applyBorder="1" applyAlignment="1">
      <alignment horizontal="center" vertical="center"/>
    </xf>
    <xf numFmtId="0" fontId="28" fillId="28" borderId="91" xfId="0" applyFont="1" applyFill="1" applyBorder="1" applyAlignment="1">
      <alignment horizontal="center" vertical="center"/>
    </xf>
    <xf numFmtId="0" fontId="25" fillId="28" borderId="112" xfId="0" applyFont="1" applyFill="1" applyBorder="1" applyAlignment="1">
      <alignment horizontal="center" vertical="center"/>
    </xf>
    <xf numFmtId="0" fontId="26" fillId="28" borderId="109" xfId="0" applyFont="1" applyFill="1" applyBorder="1" applyAlignment="1">
      <alignment horizontal="center" vertical="center"/>
    </xf>
    <xf numFmtId="0" fontId="26" fillId="28" borderId="102" xfId="0" applyFont="1" applyFill="1" applyBorder="1" applyAlignment="1">
      <alignment horizontal="center" vertical="center"/>
    </xf>
    <xf numFmtId="0" fontId="26" fillId="28" borderId="103" xfId="0" applyFont="1" applyFill="1" applyBorder="1" applyAlignment="1">
      <alignment horizontal="center" vertical="center"/>
    </xf>
    <xf numFmtId="9" fontId="28" fillId="28" borderId="80" xfId="3" applyFont="1" applyFill="1" applyBorder="1" applyAlignment="1">
      <alignment horizontal="center" vertical="center"/>
    </xf>
    <xf numFmtId="164" fontId="28" fillId="28" borderId="92" xfId="3" applyNumberFormat="1" applyFont="1" applyFill="1" applyBorder="1" applyAlignment="1">
      <alignment horizontal="center" vertical="center"/>
    </xf>
    <xf numFmtId="164" fontId="28" fillId="28" borderId="108" xfId="3" applyNumberFormat="1" applyFont="1" applyFill="1" applyBorder="1" applyAlignment="1">
      <alignment horizontal="center" vertical="center"/>
    </xf>
    <xf numFmtId="164" fontId="28" fillId="28" borderId="80" xfId="3" applyNumberFormat="1" applyFont="1" applyFill="1" applyBorder="1" applyAlignment="1">
      <alignment horizontal="center" vertical="center"/>
    </xf>
    <xf numFmtId="164" fontId="28" fillId="28" borderId="82" xfId="3" applyNumberFormat="1" applyFont="1" applyFill="1" applyBorder="1" applyAlignment="1">
      <alignment horizontal="center" vertical="center"/>
    </xf>
    <xf numFmtId="1" fontId="28" fillId="28" borderId="92" xfId="3" applyNumberFormat="1" applyFont="1" applyFill="1" applyBorder="1" applyAlignment="1">
      <alignment horizontal="center" vertical="center"/>
    </xf>
    <xf numFmtId="1" fontId="28" fillId="28" borderId="80" xfId="3" applyNumberFormat="1" applyFont="1" applyFill="1" applyBorder="1" applyAlignment="1">
      <alignment horizontal="center" vertical="center"/>
    </xf>
    <xf numFmtId="164" fontId="28" fillId="28" borderId="35" xfId="3" applyNumberFormat="1" applyFont="1" applyFill="1" applyBorder="1" applyAlignment="1">
      <alignment horizontal="center" vertical="center"/>
    </xf>
    <xf numFmtId="1" fontId="28" fillId="28" borderId="0" xfId="3" applyNumberFormat="1" applyFont="1" applyFill="1" applyBorder="1" applyAlignment="1">
      <alignment horizontal="center" vertical="center"/>
    </xf>
    <xf numFmtId="164" fontId="28" fillId="28" borderId="91" xfId="3" applyNumberFormat="1" applyFont="1" applyFill="1" applyBorder="1" applyAlignment="1">
      <alignment horizontal="center" vertical="center"/>
    </xf>
    <xf numFmtId="164" fontId="28" fillId="28" borderId="0" xfId="3" applyNumberFormat="1" applyFont="1" applyFill="1" applyBorder="1" applyAlignment="1">
      <alignment horizontal="center" vertical="center"/>
    </xf>
    <xf numFmtId="164" fontId="28" fillId="28" borderId="100" xfId="3" applyNumberFormat="1" applyFont="1" applyFill="1" applyBorder="1" applyAlignment="1">
      <alignment horizontal="center" vertical="center"/>
    </xf>
    <xf numFmtId="1" fontId="28" fillId="28" borderId="87" xfId="3" applyNumberFormat="1" applyFont="1" applyFill="1" applyBorder="1" applyAlignment="1">
      <alignment horizontal="center" vertical="center"/>
    </xf>
    <xf numFmtId="1" fontId="28" fillId="28" borderId="97" xfId="3" applyNumberFormat="1" applyFont="1" applyFill="1" applyBorder="1" applyAlignment="1">
      <alignment horizontal="center" vertical="center"/>
    </xf>
    <xf numFmtId="1" fontId="28" fillId="28" borderId="100" xfId="3" applyNumberFormat="1" applyFont="1" applyFill="1" applyBorder="1" applyAlignment="1">
      <alignment horizontal="center" vertical="center"/>
    </xf>
    <xf numFmtId="1" fontId="29" fillId="28" borderId="91" xfId="3" applyNumberFormat="1" applyFont="1" applyFill="1" applyBorder="1" applyAlignment="1">
      <alignment horizontal="center" vertical="center"/>
    </xf>
    <xf numFmtId="1" fontId="29" fillId="28" borderId="0" xfId="3" applyNumberFormat="1" applyFont="1" applyFill="1" applyBorder="1" applyAlignment="1">
      <alignment horizontal="center" vertical="center"/>
    </xf>
    <xf numFmtId="0" fontId="28" fillId="28" borderId="114" xfId="0" applyFont="1" applyFill="1" applyBorder="1" applyAlignment="1">
      <alignment horizontal="center" vertical="center"/>
    </xf>
    <xf numFmtId="0" fontId="28" fillId="28" borderId="77" xfId="0" applyFont="1" applyFill="1" applyBorder="1" applyAlignment="1">
      <alignment horizontal="center" vertical="center"/>
    </xf>
    <xf numFmtId="1" fontId="28" fillId="28" borderId="90" xfId="3" applyNumberFormat="1" applyFont="1" applyFill="1" applyBorder="1" applyAlignment="1">
      <alignment horizontal="center" vertical="center"/>
    </xf>
    <xf numFmtId="1" fontId="28" fillId="28" borderId="109" xfId="3" applyNumberFormat="1" applyFont="1" applyFill="1" applyBorder="1" applyAlignment="1">
      <alignment horizontal="center" vertical="center"/>
    </xf>
    <xf numFmtId="1" fontId="28" fillId="28" borderId="77" xfId="3" applyNumberFormat="1" applyFont="1" applyFill="1" applyBorder="1" applyAlignment="1">
      <alignment horizontal="center" vertical="center"/>
    </xf>
    <xf numFmtId="1" fontId="28" fillId="28" borderId="77" xfId="0" applyNumberFormat="1" applyFont="1" applyFill="1" applyBorder="1" applyAlignment="1">
      <alignment horizontal="center" vertical="center"/>
    </xf>
    <xf numFmtId="1" fontId="28" fillId="28" borderId="94" xfId="3" applyNumberFormat="1" applyFont="1" applyFill="1" applyBorder="1" applyAlignment="1">
      <alignment horizontal="center" vertical="center"/>
    </xf>
    <xf numFmtId="1" fontId="28" fillId="28" borderId="33" xfId="3" applyNumberFormat="1" applyFont="1" applyFill="1" applyBorder="1" applyAlignment="1">
      <alignment horizontal="center" vertical="center"/>
    </xf>
    <xf numFmtId="1" fontId="28" fillId="28" borderId="108" xfId="3" applyNumberFormat="1" applyFont="1" applyFill="1" applyBorder="1" applyAlignment="1">
      <alignment vertical="center"/>
    </xf>
    <xf numFmtId="1" fontId="28" fillId="28" borderId="80" xfId="3" applyNumberFormat="1" applyFont="1" applyFill="1" applyBorder="1" applyAlignment="1">
      <alignment vertical="center"/>
    </xf>
    <xf numFmtId="1" fontId="28" fillId="28" borderId="0" xfId="3" applyNumberFormat="1" applyFont="1" applyFill="1" applyBorder="1" applyAlignment="1">
      <alignment vertical="center"/>
    </xf>
    <xf numFmtId="1" fontId="28" fillId="28" borderId="91" xfId="3" applyNumberFormat="1" applyFont="1" applyFill="1" applyBorder="1" applyAlignment="1">
      <alignment vertical="center"/>
    </xf>
    <xf numFmtId="1" fontId="28" fillId="28" borderId="100" xfId="3" applyNumberFormat="1" applyFont="1" applyFill="1" applyBorder="1" applyAlignment="1">
      <alignment vertical="center"/>
    </xf>
    <xf numFmtId="0" fontId="28" fillId="29" borderId="119" xfId="0" applyFont="1" applyFill="1" applyBorder="1" applyAlignment="1">
      <alignment horizontal="left" vertical="center"/>
    </xf>
    <xf numFmtId="9" fontId="28" fillId="29" borderId="113" xfId="3" applyFont="1" applyFill="1" applyBorder="1" applyAlignment="1">
      <alignment horizontal="center" vertical="center"/>
    </xf>
    <xf numFmtId="1" fontId="28" fillId="29" borderId="117" xfId="3" applyNumberFormat="1" applyFont="1" applyFill="1" applyBorder="1" applyAlignment="1">
      <alignment horizontal="center" vertical="center"/>
    </xf>
    <xf numFmtId="1" fontId="28" fillId="29" borderId="118" xfId="3" applyNumberFormat="1" applyFont="1" applyFill="1" applyBorder="1" applyAlignment="1">
      <alignment horizontal="center" vertical="center"/>
    </xf>
    <xf numFmtId="1" fontId="28" fillId="29" borderId="128" xfId="3" applyNumberFormat="1" applyFont="1" applyFill="1" applyBorder="1" applyAlignment="1">
      <alignment horizontal="center" vertical="center"/>
    </xf>
    <xf numFmtId="1" fontId="28" fillId="29" borderId="129" xfId="3" applyNumberFormat="1" applyFont="1" applyFill="1" applyBorder="1" applyAlignment="1">
      <alignment horizontal="center" vertical="center"/>
    </xf>
    <xf numFmtId="0" fontId="28" fillId="29" borderId="111" xfId="0" applyFont="1" applyFill="1" applyBorder="1" applyAlignment="1">
      <alignment horizontal="left" vertical="center"/>
    </xf>
    <xf numFmtId="0" fontId="28" fillId="29" borderId="111" xfId="3" applyNumberFormat="1" applyFont="1" applyFill="1" applyBorder="1" applyAlignment="1">
      <alignment horizontal="center" vertical="center"/>
    </xf>
    <xf numFmtId="1" fontId="28" fillId="29" borderId="0" xfId="3" applyNumberFormat="1" applyFont="1" applyFill="1" applyBorder="1" applyAlignment="1">
      <alignment horizontal="center" vertical="center"/>
    </xf>
    <xf numFmtId="1" fontId="28" fillId="29" borderId="100" xfId="3" applyNumberFormat="1" applyFont="1" applyFill="1" applyBorder="1" applyAlignment="1">
      <alignment horizontal="center" vertical="center"/>
    </xf>
    <xf numFmtId="164" fontId="28" fillId="29" borderId="5" xfId="3" applyNumberFormat="1" applyFont="1" applyFill="1" applyBorder="1" applyAlignment="1">
      <alignment horizontal="center" vertical="center"/>
    </xf>
    <xf numFmtId="164" fontId="28" fillId="29" borderId="0" xfId="3" applyNumberFormat="1" applyFont="1" applyFill="1" applyBorder="1" applyAlignment="1">
      <alignment horizontal="center" vertical="center"/>
    </xf>
    <xf numFmtId="1" fontId="28" fillId="29" borderId="12" xfId="3" applyNumberFormat="1" applyFont="1" applyFill="1" applyBorder="1" applyAlignment="1">
      <alignment horizontal="center" vertical="center"/>
    </xf>
    <xf numFmtId="2" fontId="28" fillId="29" borderId="0" xfId="3" applyNumberFormat="1" applyFont="1" applyFill="1" applyBorder="1" applyAlignment="1">
      <alignment horizontal="center" vertical="center"/>
    </xf>
    <xf numFmtId="164" fontId="28" fillId="29" borderId="100" xfId="3" applyNumberFormat="1" applyFont="1" applyFill="1" applyBorder="1" applyAlignment="1">
      <alignment horizontal="center" vertical="center"/>
    </xf>
    <xf numFmtId="9" fontId="28" fillId="29" borderId="111" xfId="3" applyFont="1" applyFill="1" applyBorder="1" applyAlignment="1">
      <alignment horizontal="center" vertical="center"/>
    </xf>
    <xf numFmtId="9" fontId="28" fillId="29" borderId="5" xfId="3" applyFont="1" applyFill="1" applyBorder="1" applyAlignment="1">
      <alignment horizontal="center" vertical="center"/>
    </xf>
    <xf numFmtId="1" fontId="28" fillId="29" borderId="5" xfId="3" applyNumberFormat="1" applyFont="1" applyFill="1" applyBorder="1" applyAlignment="1">
      <alignment horizontal="center" vertical="center"/>
    </xf>
    <xf numFmtId="0" fontId="28" fillId="29" borderId="111" xfId="0" applyFont="1" applyFill="1" applyBorder="1" applyAlignment="1">
      <alignment horizontal="center" vertical="center"/>
    </xf>
    <xf numFmtId="0" fontId="28" fillId="29" borderId="135" xfId="0" applyFont="1" applyFill="1" applyBorder="1" applyAlignment="1">
      <alignment horizontal="left" vertical="center"/>
    </xf>
    <xf numFmtId="0" fontId="28" fillId="29" borderId="135" xfId="0" applyFont="1" applyFill="1" applyBorder="1" applyAlignment="1">
      <alignment horizontal="center" vertical="center"/>
    </xf>
    <xf numFmtId="0" fontId="28" fillId="29" borderId="101" xfId="0" applyFont="1" applyFill="1" applyBorder="1" applyAlignment="1">
      <alignment horizontal="center" vertical="center"/>
    </xf>
    <xf numFmtId="1" fontId="28" fillId="29" borderId="102" xfId="3" applyNumberFormat="1" applyFont="1" applyFill="1" applyBorder="1" applyAlignment="1">
      <alignment horizontal="center" vertical="center"/>
    </xf>
    <xf numFmtId="1" fontId="28" fillId="29" borderId="103" xfId="3" applyNumberFormat="1" applyFont="1" applyFill="1" applyBorder="1" applyAlignment="1">
      <alignment horizontal="center" vertical="center"/>
    </xf>
    <xf numFmtId="1" fontId="28" fillId="29" borderId="101" xfId="3" applyNumberFormat="1" applyFont="1" applyFill="1" applyBorder="1" applyAlignment="1">
      <alignment horizontal="center" vertical="center"/>
    </xf>
    <xf numFmtId="1" fontId="28" fillId="29" borderId="133" xfId="3" applyNumberFormat="1" applyFont="1" applyFill="1" applyBorder="1" applyAlignment="1">
      <alignment horizontal="center" vertical="center"/>
    </xf>
    <xf numFmtId="0" fontId="28" fillId="29" borderId="134" xfId="0" applyFont="1" applyFill="1" applyBorder="1" applyAlignment="1">
      <alignment horizontal="left" vertical="center"/>
    </xf>
    <xf numFmtId="0" fontId="28" fillId="29" borderId="134" xfId="0" applyFont="1" applyFill="1" applyBorder="1" applyAlignment="1">
      <alignment horizontal="center" vertical="center"/>
    </xf>
    <xf numFmtId="0" fontId="28" fillId="29" borderId="131" xfId="0" applyFont="1" applyFill="1" applyBorder="1" applyAlignment="1">
      <alignment horizontal="center" vertical="center"/>
    </xf>
    <xf numFmtId="1" fontId="28" fillId="29" borderId="120" xfId="3" applyNumberFormat="1" applyFont="1" applyFill="1" applyBorder="1" applyAlignment="1">
      <alignment horizontal="center" vertical="center"/>
    </xf>
    <xf numFmtId="1" fontId="28" fillId="29" borderId="121" xfId="3" applyNumberFormat="1" applyFont="1" applyFill="1" applyBorder="1" applyAlignment="1">
      <alignment horizontal="center" vertical="center"/>
    </xf>
    <xf numFmtId="1" fontId="28" fillId="29" borderId="131" xfId="3" applyNumberFormat="1" applyFont="1" applyFill="1" applyBorder="1" applyAlignment="1">
      <alignment horizontal="center" vertical="center"/>
    </xf>
    <xf numFmtId="1" fontId="28" fillId="29" borderId="130" xfId="3" applyNumberFormat="1" applyFont="1" applyFill="1" applyBorder="1" applyAlignment="1">
      <alignment horizontal="center" vertical="center"/>
    </xf>
    <xf numFmtId="0" fontId="28" fillId="28" borderId="113" xfId="0" applyFont="1" applyFill="1" applyBorder="1" applyAlignment="1">
      <alignment vertical="center"/>
    </xf>
    <xf numFmtId="0" fontId="28" fillId="28" borderId="91" xfId="0" applyFont="1" applyFill="1" applyBorder="1" applyAlignment="1">
      <alignment vertical="center"/>
    </xf>
    <xf numFmtId="0" fontId="28" fillId="28" borderId="80" xfId="0" applyFont="1" applyFill="1" applyBorder="1" applyAlignment="1">
      <alignment vertical="center"/>
    </xf>
    <xf numFmtId="0" fontId="28" fillId="28" borderId="77" xfId="0" applyFont="1" applyFill="1" applyBorder="1" applyAlignment="1">
      <alignment vertical="center"/>
    </xf>
    <xf numFmtId="0" fontId="28" fillId="30" borderId="153" xfId="0" applyFont="1" applyFill="1" applyBorder="1" applyAlignment="1">
      <alignment horizontal="left" vertical="center"/>
    </xf>
    <xf numFmtId="0" fontId="2" fillId="30" borderId="154" xfId="0" applyFont="1" applyFill="1" applyBorder="1" applyAlignment="1">
      <alignment horizontal="center" vertical="center"/>
    </xf>
    <xf numFmtId="0" fontId="2" fillId="30" borderId="30" xfId="0" applyFont="1" applyFill="1" applyBorder="1" applyAlignment="1">
      <alignment horizontal="center" vertical="center"/>
    </xf>
    <xf numFmtId="0" fontId="28" fillId="30" borderId="100" xfId="0" applyFont="1" applyFill="1" applyBorder="1" applyAlignment="1">
      <alignment horizontal="left" vertical="center"/>
    </xf>
    <xf numFmtId="0" fontId="2" fillId="30" borderId="111" xfId="0" applyFont="1" applyFill="1" applyBorder="1" applyAlignment="1">
      <alignment horizontal="center" vertical="center"/>
    </xf>
    <xf numFmtId="0" fontId="2" fillId="30" borderId="110" xfId="0" applyFont="1" applyFill="1" applyBorder="1" applyAlignment="1">
      <alignment horizontal="center" vertical="center"/>
    </xf>
    <xf numFmtId="0" fontId="2" fillId="30" borderId="135" xfId="0" applyFont="1" applyFill="1" applyBorder="1" applyAlignment="1">
      <alignment horizontal="center" vertical="center"/>
    </xf>
    <xf numFmtId="0" fontId="2" fillId="30" borderId="102" xfId="0" applyFont="1" applyFill="1" applyBorder="1" applyAlignment="1">
      <alignment horizontal="center" vertical="center"/>
    </xf>
    <xf numFmtId="0" fontId="2" fillId="30" borderId="103" xfId="0" applyFont="1" applyFill="1" applyBorder="1" applyAlignment="1">
      <alignment horizontal="center" vertical="center"/>
    </xf>
    <xf numFmtId="0" fontId="28" fillId="30" borderId="106" xfId="0" applyFont="1" applyFill="1" applyBorder="1" applyAlignment="1">
      <alignment horizontal="left" vertical="center"/>
    </xf>
    <xf numFmtId="0" fontId="2" fillId="30" borderId="136" xfId="0" applyFont="1" applyFill="1" applyBorder="1" applyAlignment="1">
      <alignment horizontal="center" vertical="center"/>
    </xf>
    <xf numFmtId="0" fontId="2" fillId="30" borderId="105" xfId="0" applyFont="1" applyFill="1" applyBorder="1" applyAlignment="1">
      <alignment horizontal="center" vertical="center"/>
    </xf>
    <xf numFmtId="0" fontId="2" fillId="30" borderId="106" xfId="0" applyFont="1" applyFill="1" applyBorder="1" applyAlignment="1">
      <alignment horizontal="center" vertical="center"/>
    </xf>
    <xf numFmtId="0" fontId="2" fillId="30" borderId="104" xfId="0" applyFont="1" applyFill="1" applyBorder="1" applyAlignment="1">
      <alignment horizontal="center" vertical="center"/>
    </xf>
    <xf numFmtId="0" fontId="28" fillId="30" borderId="103" xfId="0" applyFont="1" applyFill="1" applyBorder="1" applyAlignment="1">
      <alignment horizontal="left" vertical="center"/>
    </xf>
    <xf numFmtId="0" fontId="28" fillId="30" borderId="158" xfId="0" applyFont="1" applyFill="1" applyBorder="1" applyAlignment="1">
      <alignment horizontal="left" vertical="center"/>
    </xf>
    <xf numFmtId="0" fontId="2" fillId="30" borderId="159" xfId="0" applyFont="1" applyFill="1" applyBorder="1" applyAlignment="1">
      <alignment horizontal="center" vertical="center"/>
    </xf>
    <xf numFmtId="0" fontId="2" fillId="30" borderId="6" xfId="0" applyFont="1" applyFill="1" applyBorder="1" applyAlignment="1">
      <alignment horizontal="center" vertical="center"/>
    </xf>
    <xf numFmtId="0" fontId="25" fillId="28" borderId="117" xfId="0" applyFont="1" applyFill="1" applyBorder="1" applyAlignment="1">
      <alignment horizontal="center" vertical="center"/>
    </xf>
    <xf numFmtId="0" fontId="25" fillId="28" borderId="0" xfId="0" applyFont="1" applyFill="1" applyAlignment="1">
      <alignment horizontal="center" vertical="center"/>
    </xf>
    <xf numFmtId="0" fontId="25" fillId="28" borderId="102" xfId="0" applyFont="1" applyFill="1" applyBorder="1" applyAlignment="1">
      <alignment horizontal="center" vertical="center"/>
    </xf>
    <xf numFmtId="1" fontId="28" fillId="29" borderId="160" xfId="3" applyNumberFormat="1" applyFont="1" applyFill="1" applyBorder="1" applyAlignment="1">
      <alignment horizontal="center" vertical="center"/>
    </xf>
    <xf numFmtId="1" fontId="28" fillId="29" borderId="107" xfId="3" applyNumberFormat="1" applyFont="1" applyFill="1" applyBorder="1" applyAlignment="1">
      <alignment horizontal="center" vertical="center"/>
    </xf>
    <xf numFmtId="1" fontId="28" fillId="29" borderId="110" xfId="3" applyNumberFormat="1" applyFont="1" applyFill="1" applyBorder="1" applyAlignment="1">
      <alignment horizontal="center" vertical="center"/>
    </xf>
    <xf numFmtId="1" fontId="28" fillId="29" borderId="161" xfId="3" applyNumberFormat="1" applyFont="1" applyFill="1" applyBorder="1" applyAlignment="1">
      <alignment horizontal="center" vertical="center"/>
    </xf>
    <xf numFmtId="1" fontId="28" fillId="24" borderId="162" xfId="3" applyNumberFormat="1" applyFont="1" applyFill="1" applyBorder="1" applyAlignment="1">
      <alignment horizontal="center" vertical="center"/>
    </xf>
    <xf numFmtId="0" fontId="25" fillId="22" borderId="11" xfId="0" applyFont="1" applyFill="1" applyBorder="1" applyAlignment="1">
      <alignment horizontal="center" vertical="center"/>
    </xf>
    <xf numFmtId="0" fontId="25" fillId="22" borderId="12" xfId="0" applyFont="1" applyFill="1" applyBorder="1" applyAlignment="1">
      <alignment horizontal="center" vertical="center"/>
    </xf>
    <xf numFmtId="0" fontId="25" fillId="22" borderId="133" xfId="0" applyFont="1" applyFill="1" applyBorder="1" applyAlignment="1">
      <alignment horizontal="center" vertical="center"/>
    </xf>
    <xf numFmtId="164" fontId="28" fillId="22" borderId="12" xfId="3" applyNumberFormat="1" applyFont="1" applyFill="1" applyBorder="1" applyAlignment="1">
      <alignment horizontal="center" vertical="center"/>
    </xf>
    <xf numFmtId="1" fontId="28" fillId="22" borderId="12" xfId="3" applyNumberFormat="1" applyFont="1" applyFill="1" applyBorder="1" applyAlignment="1">
      <alignment horizontal="center" vertical="center"/>
    </xf>
    <xf numFmtId="1" fontId="28" fillId="22" borderId="163" xfId="3" applyNumberFormat="1" applyFont="1" applyFill="1" applyBorder="1" applyAlignment="1">
      <alignment horizontal="center" vertical="center"/>
    </xf>
    <xf numFmtId="1" fontId="28" fillId="22" borderId="129" xfId="3" applyNumberFormat="1" applyFont="1" applyFill="1" applyBorder="1" applyAlignment="1">
      <alignment horizontal="center" vertical="center"/>
    </xf>
    <xf numFmtId="1" fontId="28" fillId="22" borderId="133" xfId="3" applyNumberFormat="1" applyFont="1" applyFill="1" applyBorder="1" applyAlignment="1">
      <alignment horizontal="center" vertical="center"/>
    </xf>
    <xf numFmtId="1" fontId="28" fillId="22" borderId="164" xfId="3" applyNumberFormat="1" applyFont="1" applyFill="1" applyBorder="1" applyAlignment="1">
      <alignment horizontal="center" vertical="center"/>
    </xf>
    <xf numFmtId="1" fontId="28" fillId="22" borderId="130" xfId="3" applyNumberFormat="1" applyFont="1" applyFill="1" applyBorder="1" applyAlignment="1">
      <alignment horizontal="center" vertical="center"/>
    </xf>
    <xf numFmtId="1" fontId="28" fillId="22" borderId="54" xfId="3" applyNumberFormat="1" applyFont="1" applyFill="1" applyBorder="1" applyAlignment="1">
      <alignment horizontal="center" vertical="center"/>
    </xf>
    <xf numFmtId="2" fontId="28" fillId="22" borderId="12" xfId="3" applyNumberFormat="1" applyFont="1" applyFill="1" applyBorder="1" applyAlignment="1">
      <alignment horizontal="center" vertical="center"/>
    </xf>
    <xf numFmtId="0" fontId="2" fillId="22" borderId="11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center" vertical="center"/>
    </xf>
    <xf numFmtId="0" fontId="2" fillId="22" borderId="164" xfId="0" applyFont="1" applyFill="1" applyBorder="1" applyAlignment="1">
      <alignment horizontal="center" vertical="center"/>
    </xf>
    <xf numFmtId="0" fontId="2" fillId="22" borderId="133" xfId="0" applyFont="1" applyFill="1" applyBorder="1" applyAlignment="1">
      <alignment horizontal="center" vertical="center"/>
    </xf>
    <xf numFmtId="0" fontId="2" fillId="22" borderId="13" xfId="0" applyFont="1" applyFill="1" applyBorder="1" applyAlignment="1">
      <alignment horizontal="center" vertical="center"/>
    </xf>
    <xf numFmtId="3" fontId="2" fillId="30" borderId="111" xfId="0" applyNumberFormat="1" applyFont="1" applyFill="1" applyBorder="1" applyAlignment="1">
      <alignment horizontal="center" vertical="center"/>
    </xf>
    <xf numFmtId="0" fontId="27" fillId="28" borderId="114" xfId="0" applyFont="1" applyFill="1" applyBorder="1" applyAlignment="1">
      <alignment horizontal="center" vertical="center"/>
    </xf>
    <xf numFmtId="0" fontId="34" fillId="30" borderId="111" xfId="0" applyFont="1" applyFill="1" applyBorder="1" applyAlignment="1">
      <alignment horizontal="center" vertical="center" wrapText="1"/>
    </xf>
    <xf numFmtId="0" fontId="2" fillId="30" borderId="165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30" borderId="166" xfId="0" applyFont="1" applyFill="1" applyBorder="1" applyAlignment="1">
      <alignment horizontal="center" vertical="center"/>
    </xf>
    <xf numFmtId="0" fontId="2" fillId="30" borderId="167" xfId="0" applyFont="1" applyFill="1" applyBorder="1" applyAlignment="1">
      <alignment horizontal="center" vertical="center"/>
    </xf>
    <xf numFmtId="0" fontId="2" fillId="30" borderId="168" xfId="0" applyFont="1" applyFill="1" applyBorder="1" applyAlignment="1">
      <alignment horizontal="center" vertical="center"/>
    </xf>
    <xf numFmtId="1" fontId="26" fillId="28" borderId="92" xfId="3" applyNumberFormat="1" applyFont="1" applyFill="1" applyBorder="1" applyAlignment="1">
      <alignment horizontal="center" vertical="center"/>
    </xf>
    <xf numFmtId="1" fontId="26" fillId="28" borderId="0" xfId="3" applyNumberFormat="1" applyFont="1" applyFill="1" applyBorder="1" applyAlignment="1">
      <alignment horizontal="center" vertical="center"/>
    </xf>
    <xf numFmtId="0" fontId="36" fillId="28" borderId="117" xfId="0" applyFont="1" applyFill="1" applyBorder="1" applyAlignment="1">
      <alignment horizontal="center" vertical="center"/>
    </xf>
    <xf numFmtId="0" fontId="36" fillId="28" borderId="0" xfId="0" applyFont="1" applyFill="1" applyAlignment="1">
      <alignment horizontal="center" vertical="center"/>
    </xf>
    <xf numFmtId="1" fontId="36" fillId="29" borderId="172" xfId="3" applyNumberFormat="1" applyFont="1" applyFill="1" applyBorder="1" applyAlignment="1">
      <alignment horizontal="center" vertical="center"/>
    </xf>
    <xf numFmtId="1" fontId="36" fillId="29" borderId="2" xfId="3" applyNumberFormat="1" applyFont="1" applyFill="1" applyBorder="1" applyAlignment="1">
      <alignment horizontal="center" vertical="center"/>
    </xf>
    <xf numFmtId="1" fontId="36" fillId="29" borderId="132" xfId="3" applyNumberFormat="1" applyFont="1" applyFill="1" applyBorder="1" applyAlignment="1">
      <alignment horizontal="center" vertical="center"/>
    </xf>
    <xf numFmtId="0" fontId="29" fillId="28" borderId="117" xfId="0" applyFont="1" applyFill="1" applyBorder="1" applyAlignment="1">
      <alignment horizontal="center" vertical="center"/>
    </xf>
    <xf numFmtId="1" fontId="28" fillId="29" borderId="0" xfId="3" applyNumberFormat="1" applyFont="1" applyFill="1" applyBorder="1" applyAlignment="1">
      <alignment vertical="center"/>
    </xf>
    <xf numFmtId="1" fontId="28" fillId="29" borderId="102" xfId="3" applyNumberFormat="1" applyFont="1" applyFill="1" applyBorder="1" applyAlignment="1">
      <alignment vertical="center"/>
    </xf>
    <xf numFmtId="1" fontId="28" fillId="29" borderId="120" xfId="3" applyNumberFormat="1" applyFont="1" applyFill="1" applyBorder="1" applyAlignment="1">
      <alignment vertical="center"/>
    </xf>
    <xf numFmtId="1" fontId="28" fillId="24" borderId="0" xfId="3" applyNumberFormat="1" applyFont="1" applyFill="1" applyBorder="1" applyAlignment="1">
      <alignment vertical="center"/>
    </xf>
    <xf numFmtId="1" fontId="28" fillId="24" borderId="102" xfId="3" applyNumberFormat="1" applyFont="1" applyFill="1" applyBorder="1" applyAlignment="1">
      <alignment vertical="center"/>
    </xf>
    <xf numFmtId="1" fontId="28" fillId="24" borderId="20" xfId="3" applyNumberFormat="1" applyFont="1" applyFill="1" applyBorder="1" applyAlignment="1">
      <alignment vertical="center"/>
    </xf>
    <xf numFmtId="1" fontId="28" fillId="26" borderId="0" xfId="0" applyNumberFormat="1" applyFont="1" applyFill="1" applyAlignment="1">
      <alignment vertical="center"/>
    </xf>
    <xf numFmtId="2" fontId="28" fillId="26" borderId="0" xfId="0" applyNumberFormat="1" applyFont="1" applyFill="1" applyAlignment="1">
      <alignment vertical="center"/>
    </xf>
    <xf numFmtId="0" fontId="2" fillId="30" borderId="30" xfId="0" applyFont="1" applyFill="1" applyBorder="1" applyAlignment="1">
      <alignment vertical="center"/>
    </xf>
    <xf numFmtId="0" fontId="2" fillId="30" borderId="0" xfId="0" applyFont="1" applyFill="1" applyAlignment="1">
      <alignment vertical="center"/>
    </xf>
    <xf numFmtId="0" fontId="2" fillId="30" borderId="105" xfId="0" applyFont="1" applyFill="1" applyBorder="1" applyAlignment="1">
      <alignment vertical="center"/>
    </xf>
    <xf numFmtId="0" fontId="2" fillId="30" borderId="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9" fillId="28" borderId="0" xfId="0" applyFont="1" applyFill="1" applyAlignment="1">
      <alignment horizontal="center" vertical="center"/>
    </xf>
    <xf numFmtId="9" fontId="25" fillId="28" borderId="114" xfId="3" applyFont="1" applyFill="1" applyBorder="1" applyAlignment="1">
      <alignment horizontal="center" vertical="center"/>
    </xf>
    <xf numFmtId="0" fontId="25" fillId="28" borderId="116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8" fillId="30" borderId="148" xfId="0" applyFont="1" applyFill="1" applyBorder="1" applyAlignment="1">
      <alignment horizontal="center" vertical="center" wrapText="1"/>
    </xf>
    <xf numFmtId="0" fontId="37" fillId="28" borderId="0" xfId="0" applyFont="1" applyFill="1" applyAlignment="1">
      <alignment horizontal="center" vertical="center"/>
    </xf>
    <xf numFmtId="0" fontId="37" fillId="28" borderId="0" xfId="0" applyFont="1" applyFill="1" applyAlignment="1">
      <alignment vertical="center"/>
    </xf>
    <xf numFmtId="1" fontId="37" fillId="28" borderId="0" xfId="3" applyNumberFormat="1" applyFont="1" applyFill="1" applyBorder="1" applyAlignment="1">
      <alignment horizontal="center" vertical="center"/>
    </xf>
    <xf numFmtId="1" fontId="37" fillId="28" borderId="0" xfId="3" applyNumberFormat="1" applyFont="1" applyFill="1" applyBorder="1" applyAlignment="1">
      <alignment vertical="center"/>
    </xf>
    <xf numFmtId="1" fontId="37" fillId="28" borderId="90" xfId="3" applyNumberFormat="1" applyFont="1" applyFill="1" applyBorder="1" applyAlignment="1">
      <alignment horizontal="center" vertical="center"/>
    </xf>
    <xf numFmtId="1" fontId="37" fillId="28" borderId="90" xfId="3" applyNumberFormat="1" applyFont="1" applyFill="1" applyBorder="1" applyAlignment="1">
      <alignment vertical="center"/>
    </xf>
    <xf numFmtId="1" fontId="37" fillId="29" borderId="0" xfId="3" applyNumberFormat="1" applyFont="1" applyFill="1" applyBorder="1" applyAlignment="1">
      <alignment horizontal="center" vertical="center"/>
    </xf>
    <xf numFmtId="1" fontId="37" fillId="29" borderId="2" xfId="3" applyNumberFormat="1" applyFont="1" applyFill="1" applyBorder="1" applyAlignment="1">
      <alignment horizontal="center" vertical="center"/>
    </xf>
    <xf numFmtId="1" fontId="37" fillId="29" borderId="102" xfId="3" applyNumberFormat="1" applyFont="1" applyFill="1" applyBorder="1" applyAlignment="1">
      <alignment horizontal="center" vertical="center"/>
    </xf>
    <xf numFmtId="1" fontId="37" fillId="29" borderId="120" xfId="3" applyNumberFormat="1" applyFont="1" applyFill="1" applyBorder="1" applyAlignment="1">
      <alignment horizontal="center" vertical="center"/>
    </xf>
    <xf numFmtId="1" fontId="37" fillId="24" borderId="117" xfId="3" applyNumberFormat="1" applyFont="1" applyFill="1" applyBorder="1" applyAlignment="1">
      <alignment horizontal="center" vertical="center"/>
    </xf>
    <xf numFmtId="1" fontId="37" fillId="24" borderId="102" xfId="3" applyNumberFormat="1" applyFont="1" applyFill="1" applyBorder="1" applyAlignment="1">
      <alignment horizontal="center" vertical="center"/>
    </xf>
    <xf numFmtId="1" fontId="37" fillId="24" borderId="117" xfId="3" applyNumberFormat="1" applyFont="1" applyFill="1" applyBorder="1" applyAlignment="1">
      <alignment vertical="center"/>
    </xf>
    <xf numFmtId="1" fontId="37" fillId="24" borderId="102" xfId="3" applyNumberFormat="1" applyFont="1" applyFill="1" applyBorder="1" applyAlignment="1">
      <alignment vertical="center"/>
    </xf>
    <xf numFmtId="1" fontId="37" fillId="24" borderId="26" xfId="3" applyNumberFormat="1" applyFont="1" applyFill="1" applyBorder="1" applyAlignment="1">
      <alignment horizontal="center" vertical="center"/>
    </xf>
    <xf numFmtId="1" fontId="37" fillId="24" borderId="0" xfId="3" applyNumberFormat="1" applyFont="1" applyFill="1" applyBorder="1" applyAlignment="1">
      <alignment vertical="center"/>
    </xf>
    <xf numFmtId="1" fontId="37" fillId="24" borderId="0" xfId="3" applyNumberFormat="1" applyFont="1" applyFill="1" applyBorder="1" applyAlignment="1">
      <alignment horizontal="center" vertical="center"/>
    </xf>
    <xf numFmtId="0" fontId="2" fillId="30" borderId="107" xfId="0" applyFont="1" applyFill="1" applyBorder="1" applyAlignment="1">
      <alignment horizontal="center" vertical="center"/>
    </xf>
    <xf numFmtId="0" fontId="38" fillId="30" borderId="0" xfId="0" applyFont="1" applyFill="1" applyAlignment="1">
      <alignment horizontal="center" vertical="center"/>
    </xf>
    <xf numFmtId="0" fontId="38" fillId="30" borderId="102" xfId="0" applyFont="1" applyFill="1" applyBorder="1" applyAlignment="1">
      <alignment horizontal="center" vertical="center"/>
    </xf>
    <xf numFmtId="0" fontId="38" fillId="30" borderId="102" xfId="0" applyFont="1" applyFill="1" applyBorder="1" applyAlignment="1">
      <alignment vertical="center"/>
    </xf>
    <xf numFmtId="0" fontId="38" fillId="30" borderId="110" xfId="0" applyFont="1" applyFill="1" applyBorder="1" applyAlignment="1">
      <alignment horizontal="center" vertical="center"/>
    </xf>
    <xf numFmtId="0" fontId="2" fillId="30" borderId="90" xfId="0" applyFont="1" applyFill="1" applyBorder="1" applyAlignment="1">
      <alignment horizontal="center" vertical="center"/>
    </xf>
    <xf numFmtId="0" fontId="25" fillId="29" borderId="5" xfId="0" applyFont="1" applyFill="1" applyBorder="1" applyAlignment="1">
      <alignment horizontal="center" vertical="center"/>
    </xf>
    <xf numFmtId="1" fontId="28" fillId="28" borderId="92" xfId="3" applyNumberFormat="1" applyFont="1" applyFill="1" applyBorder="1" applyAlignment="1">
      <alignment vertical="center"/>
    </xf>
    <xf numFmtId="1" fontId="28" fillId="26" borderId="0" xfId="0" applyNumberFormat="1" applyFont="1" applyFill="1" applyAlignment="1">
      <alignment horizontal="center" vertical="center"/>
    </xf>
    <xf numFmtId="0" fontId="2" fillId="30" borderId="100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9" borderId="30" xfId="0" applyFont="1" applyFill="1" applyBorder="1" applyAlignment="1">
      <alignment horizontal="center" vertical="center"/>
    </xf>
    <xf numFmtId="0" fontId="8" fillId="19" borderId="44" xfId="0" applyFont="1" applyFill="1" applyBorder="1" applyAlignment="1">
      <alignment horizontal="center" vertical="center"/>
    </xf>
    <xf numFmtId="0" fontId="8" fillId="19" borderId="43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0" fontId="8" fillId="19" borderId="9" xfId="0" applyFont="1" applyFill="1" applyBorder="1" applyAlignment="1">
      <alignment horizontal="center" vertical="center"/>
    </xf>
    <xf numFmtId="0" fontId="8" fillId="19" borderId="10" xfId="0" applyFont="1" applyFill="1" applyBorder="1" applyAlignment="1">
      <alignment horizontal="center" vertical="center"/>
    </xf>
    <xf numFmtId="0" fontId="8" fillId="21" borderId="8" xfId="0" applyFont="1" applyFill="1" applyBorder="1" applyAlignment="1">
      <alignment horizontal="center" vertical="center"/>
    </xf>
    <xf numFmtId="0" fontId="8" fillId="21" borderId="9" xfId="0" applyFont="1" applyFill="1" applyBorder="1" applyAlignment="1">
      <alignment horizontal="center" vertical="center"/>
    </xf>
    <xf numFmtId="0" fontId="8" fillId="21" borderId="10" xfId="0" applyFont="1" applyFill="1" applyBorder="1" applyAlignment="1">
      <alignment horizontal="center" vertical="center"/>
    </xf>
    <xf numFmtId="0" fontId="10" fillId="6" borderId="88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5" fillId="21" borderId="38" xfId="0" applyFont="1" applyFill="1" applyBorder="1" applyAlignment="1">
      <alignment horizontal="center" vertical="center"/>
    </xf>
    <xf numFmtId="0" fontId="5" fillId="21" borderId="39" xfId="0" applyFont="1" applyFill="1" applyBorder="1" applyAlignment="1">
      <alignment horizontal="center" vertical="center"/>
    </xf>
    <xf numFmtId="0" fontId="5" fillId="21" borderId="37" xfId="0" applyFont="1" applyFill="1" applyBorder="1" applyAlignment="1">
      <alignment horizontal="center" vertical="center"/>
    </xf>
    <xf numFmtId="0" fontId="5" fillId="19" borderId="38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37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textRotation="90" wrapText="1"/>
    </xf>
    <xf numFmtId="0" fontId="7" fillId="8" borderId="3" xfId="0" applyFont="1" applyFill="1" applyBorder="1" applyAlignment="1">
      <alignment horizontal="center" vertical="center" textRotation="90" wrapText="1"/>
    </xf>
    <xf numFmtId="0" fontId="10" fillId="6" borderId="30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5" borderId="65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8" fillId="16" borderId="45" xfId="0" applyFont="1" applyFill="1" applyBorder="1" applyAlignment="1">
      <alignment horizontal="center" vertical="center"/>
    </xf>
    <xf numFmtId="0" fontId="8" fillId="16" borderId="15" xfId="0" applyFont="1" applyFill="1" applyBorder="1" applyAlignment="1">
      <alignment horizontal="center" vertical="center"/>
    </xf>
    <xf numFmtId="0" fontId="8" fillId="16" borderId="34" xfId="0" applyFont="1" applyFill="1" applyBorder="1" applyAlignment="1">
      <alignment horizontal="center" vertical="center"/>
    </xf>
    <xf numFmtId="0" fontId="8" fillId="16" borderId="10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16" borderId="30" xfId="0" applyFont="1" applyFill="1" applyBorder="1" applyAlignment="1">
      <alignment horizontal="center" vertical="center"/>
    </xf>
    <xf numFmtId="0" fontId="8" fillId="16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/>
    </xf>
    <xf numFmtId="0" fontId="8" fillId="17" borderId="9" xfId="0" applyFont="1" applyFill="1" applyBorder="1" applyAlignment="1">
      <alignment horizontal="center" vertical="center"/>
    </xf>
    <xf numFmtId="0" fontId="8" fillId="17" borderId="10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10" fontId="23" fillId="15" borderId="27" xfId="0" applyNumberFormat="1" applyFont="1" applyFill="1" applyBorder="1" applyAlignment="1">
      <alignment horizontal="center" vertical="center"/>
    </xf>
    <xf numFmtId="10" fontId="23" fillId="15" borderId="28" xfId="0" applyNumberFormat="1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6" fillId="6" borderId="0" xfId="0" applyFont="1" applyFill="1" applyAlignment="1">
      <alignment horizontal="center" vertical="center"/>
    </xf>
    <xf numFmtId="0" fontId="9" fillId="0" borderId="122" xfId="0" applyFont="1" applyBorder="1" applyAlignment="1">
      <alignment horizontal="center" vertical="center"/>
    </xf>
    <xf numFmtId="0" fontId="9" fillId="0" borderId="123" xfId="0" applyFont="1" applyBorder="1" applyAlignment="1">
      <alignment horizontal="center" vertical="center"/>
    </xf>
    <xf numFmtId="0" fontId="9" fillId="0" borderId="124" xfId="0" applyFont="1" applyBorder="1" applyAlignment="1">
      <alignment horizontal="center" vertical="center"/>
    </xf>
    <xf numFmtId="0" fontId="28" fillId="28" borderId="138" xfId="0" applyFont="1" applyFill="1" applyBorder="1" applyAlignment="1">
      <alignment horizontal="center" vertical="center" wrapText="1"/>
    </xf>
    <xf numFmtId="0" fontId="28" fillId="28" borderId="126" xfId="0" applyFont="1" applyFill="1" applyBorder="1" applyAlignment="1">
      <alignment horizontal="center" vertical="center" wrapText="1"/>
    </xf>
    <xf numFmtId="0" fontId="28" fillId="28" borderId="127" xfId="0" applyFont="1" applyFill="1" applyBorder="1" applyAlignment="1">
      <alignment horizontal="center" vertical="center" wrapText="1"/>
    </xf>
    <xf numFmtId="0" fontId="33" fillId="4" borderId="137" xfId="0" applyFont="1" applyFill="1" applyBorder="1" applyAlignment="1">
      <alignment horizontal="center" vertical="center" textRotation="90"/>
    </xf>
    <xf numFmtId="0" fontId="28" fillId="28" borderId="139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/>
    </xf>
    <xf numFmtId="0" fontId="28" fillId="28" borderId="125" xfId="0" applyFont="1" applyFill="1" applyBorder="1" applyAlignment="1">
      <alignment horizontal="center" vertical="center" wrapText="1"/>
    </xf>
    <xf numFmtId="0" fontId="37" fillId="28" borderId="0" xfId="0" applyFont="1" applyFill="1" applyAlignment="1">
      <alignment horizontal="center" vertical="center"/>
    </xf>
    <xf numFmtId="0" fontId="37" fillId="28" borderId="90" xfId="0" applyFont="1" applyFill="1" applyBorder="1" applyAlignment="1">
      <alignment horizontal="center" vertical="center"/>
    </xf>
    <xf numFmtId="1" fontId="37" fillId="28" borderId="169" xfId="3" applyNumberFormat="1" applyFont="1" applyFill="1" applyBorder="1" applyAlignment="1">
      <alignment horizontal="center" vertical="center"/>
    </xf>
    <xf numFmtId="1" fontId="37" fillId="28" borderId="170" xfId="3" applyNumberFormat="1" applyFont="1" applyFill="1" applyBorder="1" applyAlignment="1">
      <alignment horizontal="center" vertical="center"/>
    </xf>
    <xf numFmtId="1" fontId="37" fillId="28" borderId="171" xfId="3" applyNumberFormat="1" applyFont="1" applyFill="1" applyBorder="1" applyAlignment="1">
      <alignment horizontal="center" vertical="center"/>
    </xf>
    <xf numFmtId="9" fontId="25" fillId="28" borderId="176" xfId="3" applyFont="1" applyFill="1" applyBorder="1" applyAlignment="1">
      <alignment horizontal="center" vertical="center"/>
    </xf>
    <xf numFmtId="9" fontId="25" fillId="28" borderId="87" xfId="3" applyFont="1" applyFill="1" applyBorder="1" applyAlignment="1">
      <alignment horizontal="center" vertical="center"/>
    </xf>
    <xf numFmtId="9" fontId="25" fillId="28" borderId="115" xfId="3" applyFont="1" applyFill="1" applyBorder="1" applyAlignment="1">
      <alignment horizontal="center" vertical="center"/>
    </xf>
    <xf numFmtId="9" fontId="25" fillId="28" borderId="114" xfId="3" applyFont="1" applyFill="1" applyBorder="1" applyAlignment="1">
      <alignment horizontal="center" vertical="center"/>
    </xf>
    <xf numFmtId="0" fontId="5" fillId="5" borderId="178" xfId="0" applyFont="1" applyFill="1" applyBorder="1" applyAlignment="1">
      <alignment horizontal="center" vertical="center"/>
    </xf>
    <xf numFmtId="0" fontId="5" fillId="5" borderId="179" xfId="0" applyFont="1" applyFill="1" applyBorder="1" applyAlignment="1">
      <alignment horizontal="center" vertical="center"/>
    </xf>
    <xf numFmtId="0" fontId="33" fillId="23" borderId="137" xfId="0" applyFont="1" applyFill="1" applyBorder="1" applyAlignment="1">
      <alignment horizontal="center" vertical="center" textRotation="90"/>
    </xf>
    <xf numFmtId="0" fontId="33" fillId="20" borderId="137" xfId="0" applyFont="1" applyFill="1" applyBorder="1" applyAlignment="1">
      <alignment horizontal="center" vertical="center" textRotation="90"/>
    </xf>
    <xf numFmtId="0" fontId="28" fillId="29" borderId="0" xfId="0" applyFont="1" applyFill="1" applyAlignment="1">
      <alignment horizontal="center" vertical="center" wrapText="1"/>
    </xf>
    <xf numFmtId="0" fontId="28" fillId="29" borderId="117" xfId="0" applyFont="1" applyFill="1" applyBorder="1" applyAlignment="1">
      <alignment horizontal="center" vertical="center" wrapText="1"/>
    </xf>
    <xf numFmtId="0" fontId="28" fillId="29" borderId="102" xfId="0" applyFont="1" applyFill="1" applyBorder="1" applyAlignment="1">
      <alignment horizontal="center" vertical="center" wrapText="1"/>
    </xf>
    <xf numFmtId="0" fontId="28" fillId="26" borderId="0" xfId="0" applyFont="1" applyFill="1" applyAlignment="1">
      <alignment horizontal="center" vertical="center" textRotation="90" wrapText="1"/>
    </xf>
    <xf numFmtId="0" fontId="28" fillId="24" borderId="118" xfId="0" applyFont="1" applyFill="1" applyBorder="1" applyAlignment="1">
      <alignment horizontal="center" vertical="center" wrapText="1"/>
    </xf>
    <xf numFmtId="0" fontId="28" fillId="24" borderId="100" xfId="0" applyFont="1" applyFill="1" applyBorder="1" applyAlignment="1">
      <alignment horizontal="center" vertical="center" wrapText="1"/>
    </xf>
    <xf numFmtId="0" fontId="28" fillId="29" borderId="105" xfId="0" applyFont="1" applyFill="1" applyBorder="1" applyAlignment="1">
      <alignment horizontal="center" vertical="center" wrapText="1"/>
    </xf>
    <xf numFmtId="0" fontId="28" fillId="29" borderId="120" xfId="0" applyFont="1" applyFill="1" applyBorder="1" applyAlignment="1">
      <alignment horizontal="center" vertical="center" wrapText="1"/>
    </xf>
    <xf numFmtId="0" fontId="28" fillId="30" borderId="150" xfId="0" applyFont="1" applyFill="1" applyBorder="1" applyAlignment="1">
      <alignment horizontal="center" vertical="center" wrapText="1"/>
    </xf>
    <xf numFmtId="0" fontId="28" fillId="30" borderId="148" xfId="0" applyFont="1" applyFill="1" applyBorder="1" applyAlignment="1">
      <alignment horizontal="center" vertical="center" wrapText="1"/>
    </xf>
    <xf numFmtId="0" fontId="28" fillId="30" borderId="149" xfId="0" applyFont="1" applyFill="1" applyBorder="1" applyAlignment="1">
      <alignment horizontal="center" vertical="center" wrapText="1"/>
    </xf>
    <xf numFmtId="0" fontId="28" fillId="30" borderId="157" xfId="0" applyFont="1" applyFill="1" applyBorder="1" applyAlignment="1">
      <alignment horizontal="center" vertical="center" wrapText="1"/>
    </xf>
    <xf numFmtId="0" fontId="33" fillId="27" borderId="151" xfId="0" applyFont="1" applyFill="1" applyBorder="1" applyAlignment="1">
      <alignment horizontal="center" vertical="center" textRotation="90" wrapText="1"/>
    </xf>
    <xf numFmtId="0" fontId="33" fillId="27" borderId="155" xfId="0" applyFont="1" applyFill="1" applyBorder="1" applyAlignment="1">
      <alignment horizontal="center" vertical="center" textRotation="90" wrapText="1"/>
    </xf>
    <xf numFmtId="0" fontId="33" fillId="27" borderId="156" xfId="0" applyFont="1" applyFill="1" applyBorder="1" applyAlignment="1">
      <alignment horizontal="center" vertical="center" textRotation="90" wrapText="1"/>
    </xf>
    <xf numFmtId="0" fontId="33" fillId="25" borderId="137" xfId="0" applyFont="1" applyFill="1" applyBorder="1" applyAlignment="1">
      <alignment horizontal="center" vertical="center" textRotation="90"/>
    </xf>
    <xf numFmtId="0" fontId="28" fillId="24" borderId="144" xfId="0" applyFont="1" applyFill="1" applyBorder="1" applyAlignment="1">
      <alignment horizontal="center" vertical="center" wrapText="1"/>
    </xf>
    <xf numFmtId="0" fontId="28" fillId="24" borderId="126" xfId="0" applyFont="1" applyFill="1" applyBorder="1" applyAlignment="1">
      <alignment horizontal="center" vertical="center" wrapText="1"/>
    </xf>
    <xf numFmtId="0" fontId="28" fillId="24" borderId="127" xfId="0" applyFont="1" applyFill="1" applyBorder="1" applyAlignment="1">
      <alignment horizontal="center" vertical="center" wrapText="1"/>
    </xf>
    <xf numFmtId="0" fontId="28" fillId="30" borderId="152" xfId="0" applyFont="1" applyFill="1" applyBorder="1" applyAlignment="1">
      <alignment horizontal="center" vertical="center" wrapText="1"/>
    </xf>
    <xf numFmtId="0" fontId="5" fillId="5" borderId="180" xfId="0" applyFont="1" applyFill="1" applyBorder="1" applyAlignment="1">
      <alignment horizontal="center" vertical="center"/>
    </xf>
    <xf numFmtId="9" fontId="25" fillId="29" borderId="128" xfId="3" applyFont="1" applyFill="1" applyBorder="1" applyAlignment="1">
      <alignment horizontal="center" vertical="center"/>
    </xf>
    <xf numFmtId="9" fontId="25" fillId="29" borderId="5" xfId="3" applyFont="1" applyFill="1" applyBorder="1" applyAlignment="1">
      <alignment horizontal="center" vertical="center"/>
    </xf>
    <xf numFmtId="9" fontId="25" fillId="29" borderId="177" xfId="3" applyFont="1" applyFill="1" applyBorder="1" applyAlignment="1">
      <alignment horizontal="center" vertical="center"/>
    </xf>
    <xf numFmtId="9" fontId="25" fillId="29" borderId="166" xfId="3" applyFont="1" applyFill="1" applyBorder="1" applyAlignment="1">
      <alignment horizontal="center" vertical="center"/>
    </xf>
    <xf numFmtId="9" fontId="25" fillId="29" borderId="167" xfId="3" applyFont="1" applyFill="1" applyBorder="1" applyAlignment="1">
      <alignment horizontal="center" vertical="center"/>
    </xf>
    <xf numFmtId="1" fontId="37" fillId="29" borderId="105" xfId="3" applyNumberFormat="1" applyFont="1" applyFill="1" applyBorder="1" applyAlignment="1">
      <alignment horizontal="center" vertical="center"/>
    </xf>
    <xf numFmtId="1" fontId="37" fillId="29" borderId="0" xfId="3" applyNumberFormat="1" applyFont="1" applyFill="1" applyBorder="1" applyAlignment="1">
      <alignment horizontal="center" vertical="center"/>
    </xf>
    <xf numFmtId="1" fontId="37" fillId="29" borderId="102" xfId="3" applyNumberFormat="1" applyFont="1" applyFill="1" applyBorder="1" applyAlignment="1">
      <alignment horizontal="center" vertical="center"/>
    </xf>
    <xf numFmtId="1" fontId="37" fillId="24" borderId="117" xfId="3" applyNumberFormat="1" applyFont="1" applyFill="1" applyBorder="1" applyAlignment="1">
      <alignment horizontal="center" vertical="center"/>
    </xf>
    <xf numFmtId="1" fontId="37" fillId="24" borderId="102" xfId="3" applyNumberFormat="1" applyFont="1" applyFill="1" applyBorder="1" applyAlignment="1">
      <alignment horizontal="center" vertical="center"/>
    </xf>
    <xf numFmtId="1" fontId="37" fillId="24" borderId="117" xfId="3" applyNumberFormat="1" applyFont="1" applyFill="1" applyBorder="1" applyAlignment="1">
      <alignment vertical="center"/>
    </xf>
    <xf numFmtId="1" fontId="37" fillId="24" borderId="102" xfId="3" applyNumberFormat="1" applyFont="1" applyFill="1" applyBorder="1" applyAlignment="1">
      <alignment vertical="center"/>
    </xf>
    <xf numFmtId="1" fontId="28" fillId="24" borderId="105" xfId="3" applyNumberFormat="1" applyFont="1" applyFill="1" applyBorder="1" applyAlignment="1">
      <alignment horizontal="center" vertical="center"/>
    </xf>
    <xf numFmtId="1" fontId="28" fillId="24" borderId="0" xfId="3" applyNumberFormat="1" applyFont="1" applyFill="1" applyBorder="1" applyAlignment="1">
      <alignment horizontal="center" vertical="center"/>
    </xf>
    <xf numFmtId="1" fontId="37" fillId="29" borderId="173" xfId="3" applyNumberFormat="1" applyFont="1" applyFill="1" applyBorder="1" applyAlignment="1">
      <alignment horizontal="center" vertical="center"/>
    </xf>
    <xf numFmtId="1" fontId="37" fillId="29" borderId="2" xfId="3" applyNumberFormat="1" applyFont="1" applyFill="1" applyBorder="1" applyAlignment="1">
      <alignment horizontal="center" vertical="center"/>
    </xf>
    <xf numFmtId="1" fontId="37" fillId="29" borderId="132" xfId="3" applyNumberFormat="1" applyFont="1" applyFill="1" applyBorder="1" applyAlignment="1">
      <alignment horizontal="center" vertical="center"/>
    </xf>
    <xf numFmtId="1" fontId="37" fillId="29" borderId="174" xfId="3" applyNumberFormat="1" applyFont="1" applyFill="1" applyBorder="1" applyAlignment="1">
      <alignment horizontal="center" vertical="center"/>
    </xf>
    <xf numFmtId="1" fontId="37" fillId="24" borderId="142" xfId="3" applyNumberFormat="1" applyFont="1" applyFill="1" applyBorder="1" applyAlignment="1">
      <alignment horizontal="center" vertical="center"/>
    </xf>
    <xf numFmtId="1" fontId="37" fillId="24" borderId="145" xfId="3" applyNumberFormat="1" applyFont="1" applyFill="1" applyBorder="1" applyAlignment="1">
      <alignment horizontal="center" vertical="center"/>
    </xf>
    <xf numFmtId="1" fontId="37" fillId="24" borderId="175" xfId="3" applyNumberFormat="1" applyFont="1" applyFill="1" applyBorder="1" applyAlignment="1">
      <alignment horizontal="center" vertical="center"/>
    </xf>
    <xf numFmtId="1" fontId="37" fillId="24" borderId="25" xfId="3" applyNumberFormat="1" applyFont="1" applyFill="1" applyBorder="1" applyAlignment="1">
      <alignment horizontal="center" vertical="center"/>
    </xf>
    <xf numFmtId="1" fontId="37" fillId="24" borderId="19" xfId="3" applyNumberFormat="1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colors>
    <mruColors>
      <color rgb="FFFFCCFF"/>
      <color rgb="FFCC99FF"/>
      <color rgb="FFCC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7984FD69-A3F7-4C2C-A3F8-12A1427BAEBA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1B25-1EA1-4B62-AC82-1BFF6F285C8C}">
  <dimension ref="A1:AK42"/>
  <sheetViews>
    <sheetView showGridLines="0" zoomScale="89" zoomScaleNormal="89" workbookViewId="0">
      <pane xSplit="1" topLeftCell="H6" activePane="topRight" state="frozen"/>
      <selection pane="topRight" activeCell="H6" sqref="H6:K12"/>
    </sheetView>
  </sheetViews>
  <sheetFormatPr defaultColWidth="5.7109375" defaultRowHeight="15"/>
  <cols>
    <col min="1" max="1" width="33.28515625" style="10" customWidth="1"/>
    <col min="2" max="4" width="14.7109375" style="9" bestFit="1" customWidth="1"/>
    <col min="5" max="6" width="14.42578125" style="9" bestFit="1" customWidth="1"/>
    <col min="7" max="7" width="18" style="9" customWidth="1"/>
    <col min="8" max="8" width="11.85546875" style="1" customWidth="1"/>
    <col min="9" max="9" width="11.42578125" style="1" customWidth="1"/>
    <col min="10" max="10" width="11.85546875" style="1" customWidth="1"/>
    <col min="11" max="11" width="11.7109375" style="1" customWidth="1"/>
    <col min="12" max="12" width="11.28515625" style="1" customWidth="1"/>
    <col min="13" max="14" width="11.7109375" style="1" customWidth="1"/>
    <col min="15" max="15" width="11.42578125" style="1" customWidth="1"/>
    <col min="16" max="16" width="11.85546875" style="1" customWidth="1"/>
    <col min="17" max="17" width="11.7109375" style="1" customWidth="1"/>
    <col min="18" max="18" width="10.85546875" style="1" customWidth="1"/>
    <col min="19" max="19" width="11.42578125" style="1" customWidth="1"/>
    <col min="20" max="20" width="11.85546875" style="1" customWidth="1"/>
    <col min="21" max="21" width="11.42578125" style="1" customWidth="1"/>
    <col min="22" max="22" width="11.85546875" style="1" customWidth="1"/>
    <col min="23" max="23" width="11.28515625" style="1" customWidth="1"/>
    <col min="24" max="24" width="12.42578125" style="1" customWidth="1"/>
    <col min="25" max="28" width="11.7109375" style="1" customWidth="1"/>
    <col min="29" max="29" width="11.85546875" style="1" customWidth="1"/>
    <col min="30" max="30" width="10.85546875" style="1" customWidth="1"/>
    <col min="31" max="31" width="13.140625" style="1" customWidth="1"/>
    <col min="32" max="33" width="11.7109375" style="1" customWidth="1"/>
    <col min="34" max="34" width="11.42578125" style="1" customWidth="1"/>
    <col min="35" max="35" width="11.7109375" style="1" customWidth="1"/>
    <col min="36" max="36" width="11.42578125" style="1" customWidth="1"/>
    <col min="37" max="37" width="11.7109375" style="1" customWidth="1"/>
    <col min="38" max="16384" width="5.7109375" style="1"/>
  </cols>
  <sheetData>
    <row r="1" spans="1:37" ht="40.5" customHeight="1" thickBot="1">
      <c r="A1" s="110"/>
      <c r="B1" s="1"/>
      <c r="C1" s="1"/>
      <c r="D1" s="1"/>
      <c r="E1" s="1"/>
      <c r="F1" s="1"/>
      <c r="G1" s="1"/>
    </row>
    <row r="2" spans="1:37" ht="40.5" customHeight="1" thickBot="1">
      <c r="A2" s="87"/>
      <c r="B2" s="517" t="s">
        <v>0</v>
      </c>
      <c r="C2" s="518"/>
      <c r="D2" s="518"/>
      <c r="E2" s="518"/>
      <c r="F2" s="518"/>
      <c r="G2" s="89"/>
      <c r="H2" s="519" t="s">
        <v>1</v>
      </c>
      <c r="I2" s="518"/>
      <c r="J2" s="518"/>
      <c r="K2" s="518"/>
      <c r="L2" s="518"/>
      <c r="M2" s="88"/>
      <c r="N2" s="517" t="s">
        <v>2</v>
      </c>
      <c r="O2" s="518"/>
      <c r="P2" s="518"/>
      <c r="Q2" s="518"/>
      <c r="R2" s="518"/>
      <c r="S2" s="88"/>
      <c r="T2" s="517" t="s">
        <v>3</v>
      </c>
      <c r="U2" s="518"/>
      <c r="V2" s="518"/>
      <c r="W2" s="518"/>
      <c r="X2" s="518"/>
      <c r="Y2" s="88"/>
      <c r="Z2" s="517" t="s">
        <v>4</v>
      </c>
      <c r="AA2" s="518"/>
      <c r="AB2" s="518"/>
      <c r="AC2" s="518"/>
      <c r="AD2" s="518"/>
      <c r="AE2" s="88"/>
      <c r="AF2" s="517" t="s">
        <v>5</v>
      </c>
      <c r="AG2" s="518"/>
      <c r="AH2" s="518"/>
      <c r="AI2" s="518"/>
      <c r="AJ2" s="518"/>
      <c r="AK2" s="88"/>
    </row>
    <row r="3" spans="1:37" ht="39" customHeight="1" thickBot="1">
      <c r="A3" s="90" t="s">
        <v>6</v>
      </c>
      <c r="B3" s="218" t="s">
        <v>7</v>
      </c>
      <c r="C3" s="218" t="s">
        <v>8</v>
      </c>
      <c r="D3" s="218" t="s">
        <v>9</v>
      </c>
      <c r="E3" s="218" t="s">
        <v>10</v>
      </c>
      <c r="F3" s="218" t="s">
        <v>11</v>
      </c>
      <c r="G3" s="91" t="s">
        <v>12</v>
      </c>
      <c r="H3" s="218" t="s">
        <v>7</v>
      </c>
      <c r="I3" s="218" t="s">
        <v>8</v>
      </c>
      <c r="J3" s="218" t="s">
        <v>9</v>
      </c>
      <c r="K3" s="218" t="s">
        <v>10</v>
      </c>
      <c r="L3" s="218" t="s">
        <v>11</v>
      </c>
      <c r="M3" s="14" t="s">
        <v>12</v>
      </c>
      <c r="N3" s="218" t="s">
        <v>7</v>
      </c>
      <c r="O3" s="218" t="s">
        <v>8</v>
      </c>
      <c r="P3" s="218" t="s">
        <v>9</v>
      </c>
      <c r="Q3" s="218" t="s">
        <v>10</v>
      </c>
      <c r="R3" s="218" t="s">
        <v>11</v>
      </c>
      <c r="S3" s="14" t="s">
        <v>12</v>
      </c>
      <c r="T3" s="218" t="s">
        <v>7</v>
      </c>
      <c r="U3" s="218" t="s">
        <v>8</v>
      </c>
      <c r="V3" s="218" t="s">
        <v>9</v>
      </c>
      <c r="W3" s="218" t="s">
        <v>10</v>
      </c>
      <c r="X3" s="218" t="s">
        <v>11</v>
      </c>
      <c r="Y3" s="14" t="s">
        <v>12</v>
      </c>
      <c r="Z3" s="218" t="s">
        <v>7</v>
      </c>
      <c r="AA3" s="218" t="s">
        <v>8</v>
      </c>
      <c r="AB3" s="218" t="s">
        <v>9</v>
      </c>
      <c r="AC3" s="218" t="s">
        <v>10</v>
      </c>
      <c r="AD3" s="218" t="s">
        <v>11</v>
      </c>
      <c r="AE3" s="14" t="s">
        <v>12</v>
      </c>
      <c r="AF3" s="218" t="s">
        <v>7</v>
      </c>
      <c r="AG3" s="218" t="s">
        <v>8</v>
      </c>
      <c r="AH3" s="218" t="s">
        <v>9</v>
      </c>
      <c r="AI3" s="218" t="s">
        <v>10</v>
      </c>
      <c r="AJ3" s="218" t="s">
        <v>11</v>
      </c>
      <c r="AK3" s="14" t="s">
        <v>12</v>
      </c>
    </row>
    <row r="4" spans="1:37" ht="22.5" customHeight="1" thickBot="1">
      <c r="A4" s="92"/>
      <c r="B4" s="516" t="s">
        <v>13</v>
      </c>
      <c r="C4" s="516"/>
      <c r="D4" s="516"/>
      <c r="E4" s="516"/>
      <c r="F4" s="516"/>
      <c r="G4" s="111"/>
      <c r="H4" s="515" t="s">
        <v>13</v>
      </c>
      <c r="I4" s="516"/>
      <c r="J4" s="516"/>
      <c r="K4" s="516"/>
      <c r="L4" s="516"/>
      <c r="M4" s="85"/>
      <c r="N4" s="516" t="s">
        <v>13</v>
      </c>
      <c r="O4" s="516"/>
      <c r="P4" s="516"/>
      <c r="Q4" s="516"/>
      <c r="R4" s="516"/>
      <c r="S4" s="85"/>
      <c r="T4" s="516" t="s">
        <v>13</v>
      </c>
      <c r="U4" s="516"/>
      <c r="V4" s="516"/>
      <c r="W4" s="516"/>
      <c r="X4" s="516"/>
      <c r="Y4" s="85"/>
      <c r="Z4" s="516" t="s">
        <v>13</v>
      </c>
      <c r="AA4" s="516"/>
      <c r="AB4" s="516"/>
      <c r="AC4" s="516"/>
      <c r="AD4" s="516"/>
      <c r="AE4" s="85"/>
      <c r="AF4" s="516" t="s">
        <v>13</v>
      </c>
      <c r="AG4" s="516"/>
      <c r="AH4" s="516"/>
      <c r="AI4" s="516"/>
      <c r="AJ4" s="516"/>
      <c r="AK4" s="85"/>
    </row>
    <row r="5" spans="1:37" s="194" customFormat="1" ht="22.5" customHeight="1" thickBot="1">
      <c r="A5" s="193" t="s">
        <v>14</v>
      </c>
      <c r="B5" s="512" t="s">
        <v>15</v>
      </c>
      <c r="C5" s="513"/>
      <c r="D5" s="513"/>
      <c r="E5" s="513"/>
      <c r="F5" s="513"/>
      <c r="G5" s="514"/>
      <c r="H5" s="512" t="s">
        <v>15</v>
      </c>
      <c r="I5" s="513"/>
      <c r="J5" s="513"/>
      <c r="K5" s="513"/>
      <c r="L5" s="513"/>
      <c r="M5" s="514"/>
      <c r="N5" s="512" t="s">
        <v>15</v>
      </c>
      <c r="O5" s="513"/>
      <c r="P5" s="513"/>
      <c r="Q5" s="513"/>
      <c r="R5" s="513"/>
      <c r="S5" s="514"/>
      <c r="T5" s="512" t="s">
        <v>15</v>
      </c>
      <c r="U5" s="513"/>
      <c r="V5" s="513"/>
      <c r="W5" s="513"/>
      <c r="X5" s="513"/>
      <c r="Y5" s="514"/>
      <c r="Z5" s="512" t="s">
        <v>15</v>
      </c>
      <c r="AA5" s="513"/>
      <c r="AB5" s="513"/>
      <c r="AC5" s="513"/>
      <c r="AD5" s="513"/>
      <c r="AE5" s="514"/>
      <c r="AF5" s="512" t="s">
        <v>15</v>
      </c>
      <c r="AG5" s="513"/>
      <c r="AH5" s="513"/>
      <c r="AI5" s="513"/>
      <c r="AJ5" s="513"/>
      <c r="AK5" s="514"/>
    </row>
    <row r="6" spans="1:37" s="210" customFormat="1" ht="22.5" customHeight="1">
      <c r="A6" s="203" t="s">
        <v>16</v>
      </c>
      <c r="B6" s="208"/>
      <c r="C6" s="208"/>
      <c r="D6" s="208"/>
      <c r="E6" s="208"/>
      <c r="F6" s="208"/>
      <c r="G6" s="209" t="e">
        <f>AVERAGE(B6:F6)</f>
        <v>#DIV/0!</v>
      </c>
      <c r="H6" s="204"/>
      <c r="I6" s="204"/>
      <c r="J6" s="204"/>
      <c r="K6" s="208"/>
      <c r="L6" s="204"/>
      <c r="M6" s="205" t="e">
        <f>AVERAGE(H6:L6)</f>
        <v>#DIV/0!</v>
      </c>
      <c r="N6" s="204"/>
      <c r="O6" s="204">
        <v>90</v>
      </c>
      <c r="P6" s="206">
        <v>100</v>
      </c>
      <c r="Q6" s="206">
        <v>100</v>
      </c>
      <c r="R6" s="206">
        <v>98</v>
      </c>
      <c r="S6" s="207">
        <f>AVERAGE(N6:R6)</f>
        <v>97</v>
      </c>
      <c r="T6" s="208">
        <v>90</v>
      </c>
      <c r="U6" s="208">
        <v>90</v>
      </c>
      <c r="V6" s="208">
        <v>98</v>
      </c>
      <c r="W6" s="208">
        <v>95</v>
      </c>
      <c r="X6" s="208">
        <v>100</v>
      </c>
      <c r="Y6" s="207">
        <f>AVERAGE(T6:X6)</f>
        <v>94.6</v>
      </c>
      <c r="Z6" s="208"/>
      <c r="AA6" s="208">
        <v>88</v>
      </c>
      <c r="AB6" s="208">
        <v>90</v>
      </c>
      <c r="AC6" s="208">
        <v>95</v>
      </c>
      <c r="AD6" s="208">
        <v>100</v>
      </c>
      <c r="AE6" s="207">
        <f>AVERAGE(Z6:AD6)</f>
        <v>93.25</v>
      </c>
      <c r="AF6" s="208"/>
      <c r="AG6" s="208">
        <v>85</v>
      </c>
      <c r="AH6" s="208"/>
      <c r="AI6" s="208"/>
      <c r="AJ6" s="208"/>
      <c r="AK6" s="207">
        <f>AVERAGE(AF6:AJ6)</f>
        <v>85</v>
      </c>
    </row>
    <row r="7" spans="1:37" s="210" customFormat="1" ht="22.5" customHeight="1">
      <c r="A7" s="203" t="s">
        <v>17</v>
      </c>
      <c r="B7" s="208"/>
      <c r="C7" s="208"/>
      <c r="D7" s="208"/>
      <c r="E7" s="208"/>
      <c r="F7" s="208"/>
      <c r="G7" s="209" t="e">
        <f t="shared" ref="G7:G12" si="0">AVERAGE(B7:F7)</f>
        <v>#DIV/0!</v>
      </c>
      <c r="H7" s="211"/>
      <c r="I7" s="211"/>
      <c r="J7" s="211"/>
      <c r="K7" s="208"/>
      <c r="L7" s="211"/>
      <c r="M7" s="205" t="e">
        <f>AVERAGE(H7:L7)</f>
        <v>#DIV/0!</v>
      </c>
      <c r="N7" s="211"/>
      <c r="O7" s="211">
        <v>75</v>
      </c>
      <c r="P7" s="208">
        <v>80</v>
      </c>
      <c r="Q7" s="208">
        <v>75</v>
      </c>
      <c r="R7" s="208">
        <v>90</v>
      </c>
      <c r="S7" s="207">
        <f t="shared" ref="S7:S12" si="1">AVERAGE(N7:R7)</f>
        <v>80</v>
      </c>
      <c r="T7" s="208">
        <v>100</v>
      </c>
      <c r="U7" s="211">
        <v>100</v>
      </c>
      <c r="V7" s="208">
        <v>100</v>
      </c>
      <c r="W7" s="208">
        <v>100</v>
      </c>
      <c r="X7" s="208">
        <v>94</v>
      </c>
      <c r="Y7" s="207">
        <f t="shared" ref="Y7:Y13" si="2">AVERAGE(T7:X7)</f>
        <v>98.8</v>
      </c>
      <c r="Z7" s="208">
        <v>88</v>
      </c>
      <c r="AA7" s="208">
        <v>88</v>
      </c>
      <c r="AB7" s="208">
        <v>88</v>
      </c>
      <c r="AC7" s="208"/>
      <c r="AD7" s="208"/>
      <c r="AE7" s="207">
        <f t="shared" ref="AE7:AE15" si="3">AVERAGE(Z7:AD7)</f>
        <v>88</v>
      </c>
      <c r="AF7" s="208"/>
      <c r="AG7" s="208">
        <v>86</v>
      </c>
      <c r="AH7" s="208"/>
      <c r="AI7" s="208"/>
      <c r="AJ7" s="208"/>
      <c r="AK7" s="207">
        <f>AVERAGE(AF7:AJ7)</f>
        <v>86</v>
      </c>
    </row>
    <row r="8" spans="1:37" s="210" customFormat="1" ht="22.5" customHeight="1">
      <c r="A8" s="203" t="s">
        <v>18</v>
      </c>
      <c r="B8" s="208"/>
      <c r="C8" s="208"/>
      <c r="D8" s="208"/>
      <c r="E8" s="208"/>
      <c r="F8" s="208"/>
      <c r="G8" s="209" t="e">
        <f t="shared" si="0"/>
        <v>#DIV/0!</v>
      </c>
      <c r="H8" s="211"/>
      <c r="I8" s="211"/>
      <c r="J8" s="211"/>
      <c r="K8" s="208"/>
      <c r="L8" s="211"/>
      <c r="M8" s="205" t="e">
        <f t="shared" ref="M8:M10" si="4">AVERAGE(H8:L8)</f>
        <v>#DIV/0!</v>
      </c>
      <c r="N8" s="211">
        <v>100</v>
      </c>
      <c r="O8" s="211">
        <v>92</v>
      </c>
      <c r="P8" s="208">
        <v>100</v>
      </c>
      <c r="Q8" s="208">
        <v>100</v>
      </c>
      <c r="R8" s="208">
        <v>100</v>
      </c>
      <c r="S8" s="207">
        <f t="shared" si="1"/>
        <v>98.4</v>
      </c>
      <c r="T8" s="211">
        <v>92</v>
      </c>
      <c r="U8" s="211">
        <v>81</v>
      </c>
      <c r="V8" s="208">
        <v>92</v>
      </c>
      <c r="W8" s="208">
        <v>81</v>
      </c>
      <c r="X8" s="208">
        <v>86</v>
      </c>
      <c r="Y8" s="207">
        <f t="shared" si="2"/>
        <v>86.4</v>
      </c>
      <c r="Z8" s="208">
        <v>89</v>
      </c>
      <c r="AA8" s="208">
        <v>91</v>
      </c>
      <c r="AB8" s="208">
        <v>88</v>
      </c>
      <c r="AC8" s="208">
        <v>81</v>
      </c>
      <c r="AD8" s="208">
        <v>83</v>
      </c>
      <c r="AE8" s="207">
        <f t="shared" si="3"/>
        <v>86.4</v>
      </c>
      <c r="AF8" s="208"/>
      <c r="AG8" s="208"/>
      <c r="AH8" s="208"/>
      <c r="AI8" s="208"/>
      <c r="AJ8" s="208"/>
      <c r="AK8" s="207"/>
    </row>
    <row r="9" spans="1:37" s="210" customFormat="1" ht="22.5" customHeight="1">
      <c r="A9" s="203" t="s">
        <v>19</v>
      </c>
      <c r="B9" s="208"/>
      <c r="C9" s="208"/>
      <c r="D9" s="208"/>
      <c r="E9" s="208"/>
      <c r="F9" s="208"/>
      <c r="G9" s="209" t="e">
        <f t="shared" si="0"/>
        <v>#DIV/0!</v>
      </c>
      <c r="H9" s="211"/>
      <c r="I9" s="211"/>
      <c r="J9" s="211"/>
      <c r="K9" s="208"/>
      <c r="L9" s="211"/>
      <c r="M9" s="205" t="e">
        <f t="shared" si="4"/>
        <v>#DIV/0!</v>
      </c>
      <c r="N9" s="211"/>
      <c r="O9" s="211">
        <v>74</v>
      </c>
      <c r="P9" s="208">
        <v>80</v>
      </c>
      <c r="Q9" s="208">
        <v>97</v>
      </c>
      <c r="R9" s="208">
        <v>100</v>
      </c>
      <c r="S9" s="207">
        <f t="shared" si="1"/>
        <v>87.75</v>
      </c>
      <c r="T9" s="211">
        <v>100</v>
      </c>
      <c r="U9" s="211">
        <v>79</v>
      </c>
      <c r="V9" s="208">
        <v>96</v>
      </c>
      <c r="W9" s="208">
        <v>95</v>
      </c>
      <c r="X9" s="208">
        <v>92</v>
      </c>
      <c r="Y9" s="207">
        <f t="shared" si="2"/>
        <v>92.4</v>
      </c>
      <c r="Z9" s="208">
        <v>95</v>
      </c>
      <c r="AA9" s="208">
        <v>93</v>
      </c>
      <c r="AB9" s="208">
        <v>78</v>
      </c>
      <c r="AC9" s="208">
        <v>91</v>
      </c>
      <c r="AD9" s="208">
        <v>98</v>
      </c>
      <c r="AE9" s="207">
        <f t="shared" si="3"/>
        <v>91</v>
      </c>
      <c r="AF9" s="208"/>
      <c r="AG9" s="208"/>
      <c r="AH9" s="208"/>
      <c r="AI9" s="208"/>
      <c r="AJ9" s="208"/>
      <c r="AK9" s="207"/>
    </row>
    <row r="10" spans="1:37" s="210" customFormat="1" ht="22.5" customHeight="1">
      <c r="A10" s="203" t="s">
        <v>20</v>
      </c>
      <c r="B10" s="208"/>
      <c r="C10" s="208"/>
      <c r="D10" s="208"/>
      <c r="E10" s="208"/>
      <c r="F10" s="208"/>
      <c r="G10" s="209" t="e">
        <f t="shared" si="0"/>
        <v>#DIV/0!</v>
      </c>
      <c r="H10" s="211"/>
      <c r="I10" s="211"/>
      <c r="J10" s="211"/>
      <c r="K10" s="208"/>
      <c r="L10" s="211"/>
      <c r="M10" s="205" t="e">
        <f t="shared" si="4"/>
        <v>#DIV/0!</v>
      </c>
      <c r="N10" s="211"/>
      <c r="O10" s="211">
        <v>100</v>
      </c>
      <c r="P10" s="208">
        <v>100</v>
      </c>
      <c r="Q10" s="208">
        <v>100</v>
      </c>
      <c r="R10" s="208">
        <v>100</v>
      </c>
      <c r="S10" s="207">
        <f t="shared" si="1"/>
        <v>100</v>
      </c>
      <c r="T10" s="211">
        <v>85</v>
      </c>
      <c r="U10" s="211" t="s">
        <v>21</v>
      </c>
      <c r="V10" s="208">
        <v>90</v>
      </c>
      <c r="W10" s="208">
        <v>100</v>
      </c>
      <c r="X10" s="208" t="s">
        <v>21</v>
      </c>
      <c r="Y10" s="207">
        <f t="shared" si="2"/>
        <v>91.666666666666671</v>
      </c>
      <c r="Z10" s="208">
        <v>100</v>
      </c>
      <c r="AA10" s="208">
        <v>100</v>
      </c>
      <c r="AB10" s="208"/>
      <c r="AC10" s="208">
        <v>89</v>
      </c>
      <c r="AD10" s="208">
        <v>89</v>
      </c>
      <c r="AE10" s="207">
        <f t="shared" si="3"/>
        <v>94.5</v>
      </c>
      <c r="AF10" s="208"/>
      <c r="AG10" s="208"/>
      <c r="AH10" s="208"/>
      <c r="AI10" s="208"/>
      <c r="AJ10" s="208"/>
      <c r="AK10" s="207"/>
    </row>
    <row r="11" spans="1:37" s="210" customFormat="1" ht="22.5" customHeight="1">
      <c r="A11" s="203" t="s">
        <v>22</v>
      </c>
      <c r="B11" s="221"/>
      <c r="C11" s="221"/>
      <c r="D11" s="221"/>
      <c r="E11" s="221"/>
      <c r="F11" s="221"/>
      <c r="G11" s="209"/>
      <c r="H11" s="220"/>
      <c r="I11" s="220"/>
      <c r="J11" s="220"/>
      <c r="K11" s="221"/>
      <c r="L11" s="220"/>
      <c r="M11" s="205"/>
      <c r="N11" s="228"/>
      <c r="O11" s="228">
        <v>93</v>
      </c>
      <c r="P11" s="229">
        <v>87</v>
      </c>
      <c r="Q11" s="229">
        <v>97</v>
      </c>
      <c r="R11" s="229">
        <v>87</v>
      </c>
      <c r="S11" s="207">
        <f t="shared" si="1"/>
        <v>91</v>
      </c>
      <c r="T11" s="220">
        <v>87</v>
      </c>
      <c r="U11" s="220">
        <v>80</v>
      </c>
      <c r="V11" s="221">
        <v>87</v>
      </c>
      <c r="W11" s="221">
        <v>100</v>
      </c>
      <c r="X11" s="221" t="s">
        <v>21</v>
      </c>
      <c r="Y11" s="207">
        <f t="shared" si="2"/>
        <v>88.5</v>
      </c>
      <c r="Z11" s="221"/>
      <c r="AA11" s="221">
        <v>100</v>
      </c>
      <c r="AB11" s="221">
        <v>93</v>
      </c>
      <c r="AC11" s="221">
        <v>100</v>
      </c>
      <c r="AD11" s="221"/>
      <c r="AE11" s="207">
        <f t="shared" si="3"/>
        <v>97.666666666666671</v>
      </c>
      <c r="AF11" s="221"/>
      <c r="AG11" s="221"/>
      <c r="AH11" s="221"/>
      <c r="AI11" s="221"/>
      <c r="AJ11" s="221"/>
      <c r="AK11" s="207"/>
    </row>
    <row r="12" spans="1:37" s="210" customFormat="1" ht="22.5" customHeight="1">
      <c r="A12" s="203" t="s">
        <v>23</v>
      </c>
      <c r="B12" s="221"/>
      <c r="C12" s="221"/>
      <c r="D12" s="221"/>
      <c r="E12" s="221"/>
      <c r="F12" s="221"/>
      <c r="G12" s="209" t="e">
        <f t="shared" si="0"/>
        <v>#DIV/0!</v>
      </c>
      <c r="H12" s="220"/>
      <c r="I12" s="220"/>
      <c r="J12" s="220"/>
      <c r="K12" s="220"/>
      <c r="L12" s="220"/>
      <c r="M12" s="205"/>
      <c r="N12" s="228"/>
      <c r="O12" s="228"/>
      <c r="P12" s="229">
        <v>100</v>
      </c>
      <c r="Q12" s="229"/>
      <c r="R12" s="229"/>
      <c r="S12" s="207">
        <f t="shared" si="1"/>
        <v>100</v>
      </c>
      <c r="T12" s="220" t="s">
        <v>21</v>
      </c>
      <c r="U12" s="220" t="s">
        <v>21</v>
      </c>
      <c r="V12" s="221" t="s">
        <v>21</v>
      </c>
      <c r="W12" s="221" t="s">
        <v>21</v>
      </c>
      <c r="X12" s="221" t="s">
        <v>21</v>
      </c>
      <c r="Y12" s="207"/>
      <c r="Z12" s="221" t="s">
        <v>21</v>
      </c>
      <c r="AA12" s="221"/>
      <c r="AB12" s="221"/>
      <c r="AC12" s="221"/>
      <c r="AD12" s="221"/>
      <c r="AE12" s="207"/>
      <c r="AF12" s="221"/>
      <c r="AG12" s="221"/>
      <c r="AH12" s="221"/>
      <c r="AI12" s="221"/>
      <c r="AJ12" s="221"/>
      <c r="AK12" s="207"/>
    </row>
    <row r="13" spans="1:37" s="210" customFormat="1" ht="22.5" customHeight="1">
      <c r="A13" s="203" t="s">
        <v>24</v>
      </c>
      <c r="B13" s="221"/>
      <c r="C13" s="221"/>
      <c r="D13" s="221"/>
      <c r="E13" s="221"/>
      <c r="F13" s="221"/>
      <c r="G13" s="209"/>
      <c r="H13" s="220"/>
      <c r="I13" s="220"/>
      <c r="J13" s="220"/>
      <c r="K13" s="220"/>
      <c r="L13" s="220"/>
      <c r="M13" s="205"/>
      <c r="N13" s="228"/>
      <c r="O13" s="228"/>
      <c r="P13" s="229"/>
      <c r="Q13" s="229"/>
      <c r="R13" s="229"/>
      <c r="S13" s="207"/>
      <c r="T13" s="220">
        <v>85</v>
      </c>
      <c r="U13" s="220" t="s">
        <v>21</v>
      </c>
      <c r="V13" s="221">
        <v>90</v>
      </c>
      <c r="W13" s="221" t="s">
        <v>21</v>
      </c>
      <c r="X13" s="221" t="s">
        <v>21</v>
      </c>
      <c r="Y13" s="207">
        <f t="shared" si="2"/>
        <v>87.5</v>
      </c>
      <c r="Z13" s="221">
        <v>90</v>
      </c>
      <c r="AA13" s="221">
        <v>85</v>
      </c>
      <c r="AB13" s="221"/>
      <c r="AC13" s="221">
        <v>90</v>
      </c>
      <c r="AD13" s="221">
        <v>95</v>
      </c>
      <c r="AE13" s="207">
        <f t="shared" si="3"/>
        <v>90</v>
      </c>
      <c r="AF13" s="221"/>
      <c r="AG13" s="221"/>
      <c r="AH13" s="221"/>
      <c r="AI13" s="221"/>
      <c r="AJ13" s="221"/>
      <c r="AK13" s="207"/>
    </row>
    <row r="14" spans="1:37" s="210" customFormat="1" ht="22.5" customHeight="1">
      <c r="A14" s="203" t="s">
        <v>25</v>
      </c>
      <c r="B14" s="221"/>
      <c r="C14" s="221"/>
      <c r="D14" s="221"/>
      <c r="E14" s="221"/>
      <c r="F14" s="221"/>
      <c r="G14" s="209"/>
      <c r="H14" s="220"/>
      <c r="I14" s="220"/>
      <c r="J14" s="220"/>
      <c r="K14" s="220"/>
      <c r="L14" s="220"/>
      <c r="M14" s="205"/>
      <c r="N14" s="228"/>
      <c r="O14" s="228"/>
      <c r="P14" s="229"/>
      <c r="Q14" s="229"/>
      <c r="R14" s="229"/>
      <c r="S14" s="207"/>
      <c r="T14" s="220"/>
      <c r="U14" s="220"/>
      <c r="V14" s="221"/>
      <c r="W14" s="221"/>
      <c r="X14" s="221"/>
      <c r="Y14" s="207"/>
      <c r="Z14" s="221"/>
      <c r="AA14" s="221"/>
      <c r="AB14" s="221"/>
      <c r="AC14" s="221"/>
      <c r="AD14" s="221"/>
      <c r="AE14" s="207"/>
      <c r="AF14" s="221"/>
      <c r="AG14" s="221"/>
      <c r="AH14" s="221"/>
      <c r="AI14" s="221"/>
      <c r="AJ14" s="221"/>
      <c r="AK14" s="207"/>
    </row>
    <row r="15" spans="1:37" s="210" customFormat="1" ht="22.5" customHeight="1">
      <c r="A15" s="203" t="s">
        <v>26</v>
      </c>
      <c r="B15" s="221"/>
      <c r="C15" s="221"/>
      <c r="D15" s="221"/>
      <c r="E15" s="221"/>
      <c r="F15" s="221"/>
      <c r="G15" s="209"/>
      <c r="H15" s="220"/>
      <c r="I15" s="220"/>
      <c r="J15" s="220"/>
      <c r="K15" s="220"/>
      <c r="L15" s="220"/>
      <c r="M15" s="205"/>
      <c r="N15" s="228"/>
      <c r="O15" s="228"/>
      <c r="P15" s="229"/>
      <c r="Q15" s="229"/>
      <c r="R15" s="229"/>
      <c r="S15" s="207"/>
      <c r="T15" s="220"/>
      <c r="U15" s="220"/>
      <c r="V15" s="221"/>
      <c r="W15" s="221"/>
      <c r="X15" s="221"/>
      <c r="Y15" s="207"/>
      <c r="Z15" s="221"/>
      <c r="AA15" s="221"/>
      <c r="AB15" s="221">
        <v>100</v>
      </c>
      <c r="AC15" s="221">
        <v>80</v>
      </c>
      <c r="AD15" s="221"/>
      <c r="AE15" s="207">
        <f t="shared" si="3"/>
        <v>90</v>
      </c>
      <c r="AF15" s="221"/>
      <c r="AG15" s="221"/>
      <c r="AH15" s="221"/>
      <c r="AI15" s="221"/>
      <c r="AJ15" s="221"/>
      <c r="AK15" s="207"/>
    </row>
    <row r="16" spans="1:37" s="194" customFormat="1" ht="22.5" customHeight="1" thickBot="1">
      <c r="A16" s="196" t="s">
        <v>12</v>
      </c>
      <c r="B16" s="200" t="e">
        <f>AVERAGE(B6:B10)</f>
        <v>#DIV/0!</v>
      </c>
      <c r="C16" s="200" t="e">
        <f>AVERAGE(C6:C10)</f>
        <v>#DIV/0!</v>
      </c>
      <c r="D16" s="200" t="e">
        <f>AVERAGE(D6:D10)</f>
        <v>#DIV/0!</v>
      </c>
      <c r="E16" s="200" t="e">
        <f>AVERAGE(E6:E10)</f>
        <v>#DIV/0!</v>
      </c>
      <c r="F16" s="200" t="e">
        <f>AVERAGE(F6:F10)</f>
        <v>#DIV/0!</v>
      </c>
      <c r="G16" s="201" t="e">
        <f>AVERAGE(G6:G12)</f>
        <v>#DIV/0!</v>
      </c>
      <c r="H16" s="197" t="e">
        <f t="shared" ref="H16:N16" si="5">AVERAGE(H6:H10)</f>
        <v>#DIV/0!</v>
      </c>
      <c r="I16" s="197" t="e">
        <f t="shared" si="5"/>
        <v>#DIV/0!</v>
      </c>
      <c r="J16" s="197" t="e">
        <f t="shared" si="5"/>
        <v>#DIV/0!</v>
      </c>
      <c r="K16" s="197" t="e">
        <f t="shared" si="5"/>
        <v>#DIV/0!</v>
      </c>
      <c r="L16" s="197" t="e">
        <f t="shared" si="5"/>
        <v>#DIV/0!</v>
      </c>
      <c r="M16" s="198" t="e">
        <f t="shared" si="5"/>
        <v>#DIV/0!</v>
      </c>
      <c r="N16" s="198">
        <f t="shared" si="5"/>
        <v>100</v>
      </c>
      <c r="O16" s="199">
        <f>AVERAGE(O6:O11)</f>
        <v>87.333333333333329</v>
      </c>
      <c r="P16" s="199">
        <f>AVERAGE(P6:P11)</f>
        <v>91.166666666666671</v>
      </c>
      <c r="Q16" s="199">
        <f>AVERAGE(Q6:Q10)</f>
        <v>94.4</v>
      </c>
      <c r="R16" s="199">
        <f>AVERAGE(R6:R10)</f>
        <v>97.6</v>
      </c>
      <c r="S16" s="199">
        <f>AVERAGE(S6:S12)</f>
        <v>93.45</v>
      </c>
      <c r="T16" s="200">
        <f>AVERAGE(T6:T10)</f>
        <v>93.4</v>
      </c>
      <c r="U16" s="200">
        <f>AVERAGE(U6:U10)</f>
        <v>87.5</v>
      </c>
      <c r="V16" s="200">
        <f>AVERAGE(V6:V10)</f>
        <v>95.2</v>
      </c>
      <c r="W16" s="200">
        <f>AVERAGE(W6:W10)</f>
        <v>94.2</v>
      </c>
      <c r="X16" s="200">
        <f>AVERAGE(X6:X10)</f>
        <v>93</v>
      </c>
      <c r="Y16" s="199">
        <f>AVERAGE(Y6:Y13)</f>
        <v>91.40952380952379</v>
      </c>
      <c r="Z16" s="197">
        <f>AVERAGE(Z6:Z10)</f>
        <v>93</v>
      </c>
      <c r="AA16" s="197">
        <f>AVERAGE(AA6:AA10)</f>
        <v>92</v>
      </c>
      <c r="AB16" s="200">
        <f>AVERAGE(AB6:AB10)</f>
        <v>86</v>
      </c>
      <c r="AC16" s="200">
        <f>AVERAGE(AC6:AC10)</f>
        <v>89</v>
      </c>
      <c r="AD16" s="200">
        <f>AVERAGE(AD6:AD10)</f>
        <v>92.5</v>
      </c>
      <c r="AE16" s="198">
        <f>AVERAGE(AE6:AE13)</f>
        <v>91.545238095238091</v>
      </c>
      <c r="AF16" s="200" t="e">
        <f t="shared" ref="AF16:AK16" si="6">AVERAGE(AF6:AF10)</f>
        <v>#DIV/0!</v>
      </c>
      <c r="AG16" s="200">
        <f t="shared" si="6"/>
        <v>85.5</v>
      </c>
      <c r="AH16" s="200" t="e">
        <f t="shared" si="6"/>
        <v>#DIV/0!</v>
      </c>
      <c r="AI16" s="200" t="e">
        <f t="shared" si="6"/>
        <v>#DIV/0!</v>
      </c>
      <c r="AJ16" s="200" t="e">
        <f t="shared" si="6"/>
        <v>#DIV/0!</v>
      </c>
      <c r="AK16" s="198">
        <f t="shared" si="6"/>
        <v>85.5</v>
      </c>
    </row>
    <row r="17" spans="1:37" s="194" customFormat="1" ht="22.5" customHeight="1" thickBot="1">
      <c r="A17" s="195" t="s">
        <v>27</v>
      </c>
      <c r="B17" s="509" t="s">
        <v>28</v>
      </c>
      <c r="C17" s="510"/>
      <c r="D17" s="510"/>
      <c r="E17" s="510"/>
      <c r="F17" s="510"/>
      <c r="G17" s="511"/>
      <c r="H17" s="509" t="s">
        <v>28</v>
      </c>
      <c r="I17" s="510"/>
      <c r="J17" s="510"/>
      <c r="K17" s="510"/>
      <c r="L17" s="510"/>
      <c r="M17" s="511"/>
      <c r="N17" s="509" t="s">
        <v>28</v>
      </c>
      <c r="O17" s="510"/>
      <c r="P17" s="510"/>
      <c r="Q17" s="510"/>
      <c r="R17" s="510"/>
      <c r="S17" s="511"/>
      <c r="T17" s="509" t="s">
        <v>28</v>
      </c>
      <c r="U17" s="510"/>
      <c r="V17" s="510"/>
      <c r="W17" s="510"/>
      <c r="X17" s="510"/>
      <c r="Y17" s="511"/>
      <c r="Z17" s="509" t="s">
        <v>28</v>
      </c>
      <c r="AA17" s="510"/>
      <c r="AB17" s="510"/>
      <c r="AC17" s="510"/>
      <c r="AD17" s="510"/>
      <c r="AE17" s="511"/>
      <c r="AF17" s="509" t="s">
        <v>28</v>
      </c>
      <c r="AG17" s="510"/>
      <c r="AH17" s="510"/>
      <c r="AI17" s="510"/>
      <c r="AJ17" s="510"/>
      <c r="AK17" s="511"/>
    </row>
    <row r="18" spans="1:37" s="210" customFormat="1" ht="22.5" customHeight="1">
      <c r="A18" s="203" t="s">
        <v>16</v>
      </c>
      <c r="B18" s="211"/>
      <c r="C18" s="211"/>
      <c r="D18" s="211"/>
      <c r="E18" s="211"/>
      <c r="F18" s="208"/>
      <c r="G18" s="209">
        <f>SUM(B18:F18)</f>
        <v>0</v>
      </c>
      <c r="H18" s="204"/>
      <c r="I18" s="211"/>
      <c r="J18" s="211"/>
      <c r="K18" s="211"/>
      <c r="L18" s="206"/>
      <c r="M18" s="207">
        <f>SUM(H18:L18)</f>
        <v>0</v>
      </c>
      <c r="N18" s="211"/>
      <c r="O18" s="211"/>
      <c r="P18" s="211"/>
      <c r="Q18" s="211"/>
      <c r="R18" s="208"/>
      <c r="S18" s="207">
        <f>SUM(N18:R18)</f>
        <v>0</v>
      </c>
      <c r="T18" s="211"/>
      <c r="U18" s="211"/>
      <c r="V18" s="211"/>
      <c r="W18" s="211"/>
      <c r="X18" s="208"/>
      <c r="Y18" s="207">
        <f>SUM(T18:X18)</f>
        <v>0</v>
      </c>
      <c r="Z18" s="211"/>
      <c r="AA18" s="211"/>
      <c r="AB18" s="211"/>
      <c r="AC18" s="211"/>
      <c r="AD18" s="208"/>
      <c r="AE18" s="207">
        <f>SUM(Z18:AD18)</f>
        <v>0</v>
      </c>
      <c r="AF18" s="211"/>
      <c r="AG18" s="211"/>
      <c r="AH18" s="211"/>
      <c r="AI18" s="211"/>
      <c r="AJ18" s="208"/>
      <c r="AK18" s="207">
        <f>SUM(AF18:AJ18)</f>
        <v>0</v>
      </c>
    </row>
    <row r="19" spans="1:37" s="210" customFormat="1" ht="22.5" customHeight="1">
      <c r="A19" s="203" t="s">
        <v>17</v>
      </c>
      <c r="B19" s="211"/>
      <c r="C19" s="211"/>
      <c r="D19" s="211"/>
      <c r="E19" s="211"/>
      <c r="F19" s="208"/>
      <c r="G19" s="209">
        <f t="shared" ref="G19:G20" si="7">SUM(B19:F19)</f>
        <v>0</v>
      </c>
      <c r="H19" s="211"/>
      <c r="I19" s="211"/>
      <c r="J19" s="211"/>
      <c r="K19" s="211"/>
      <c r="L19" s="208"/>
      <c r="M19" s="207">
        <f t="shared" ref="M19:M20" si="8">SUM(H19:L19)</f>
        <v>0</v>
      </c>
      <c r="N19" s="211"/>
      <c r="O19" s="211"/>
      <c r="P19" s="211"/>
      <c r="Q19" s="211"/>
      <c r="R19" s="208"/>
      <c r="S19" s="207">
        <f t="shared" ref="S19:S20" si="9">SUM(N19:R19)</f>
        <v>0</v>
      </c>
      <c r="T19" s="211"/>
      <c r="U19" s="211"/>
      <c r="V19" s="211"/>
      <c r="W19" s="211"/>
      <c r="X19" s="208"/>
      <c r="Y19" s="207">
        <f t="shared" ref="Y19:Y20" si="10">SUM(T19:X19)</f>
        <v>0</v>
      </c>
      <c r="Z19" s="211"/>
      <c r="AA19" s="211"/>
      <c r="AB19" s="211"/>
      <c r="AC19" s="211"/>
      <c r="AD19" s="208"/>
      <c r="AE19" s="207">
        <f t="shared" ref="AE19:AE20" si="11">SUM(Z19:AD19)</f>
        <v>0</v>
      </c>
      <c r="AF19" s="211"/>
      <c r="AG19" s="211"/>
      <c r="AH19" s="211"/>
      <c r="AI19" s="211"/>
      <c r="AJ19" s="208"/>
      <c r="AK19" s="207">
        <f t="shared" ref="AK19:AK20" si="12">SUM(AF19:AJ19)</f>
        <v>0</v>
      </c>
    </row>
    <row r="20" spans="1:37" s="210" customFormat="1" ht="22.5" customHeight="1">
      <c r="A20" s="203" t="s">
        <v>18</v>
      </c>
      <c r="B20" s="211"/>
      <c r="C20" s="211"/>
      <c r="D20" s="211"/>
      <c r="E20" s="211"/>
      <c r="F20" s="208"/>
      <c r="G20" s="209">
        <f t="shared" si="7"/>
        <v>0</v>
      </c>
      <c r="H20" s="211"/>
      <c r="I20" s="211"/>
      <c r="J20" s="211"/>
      <c r="K20" s="211"/>
      <c r="L20" s="208"/>
      <c r="M20" s="207">
        <f t="shared" si="8"/>
        <v>0</v>
      </c>
      <c r="N20" s="211"/>
      <c r="O20" s="211"/>
      <c r="P20" s="211"/>
      <c r="Q20" s="211"/>
      <c r="R20" s="208"/>
      <c r="S20" s="207">
        <f t="shared" si="9"/>
        <v>0</v>
      </c>
      <c r="T20" s="211"/>
      <c r="U20" s="211"/>
      <c r="V20" s="211"/>
      <c r="W20" s="211"/>
      <c r="X20" s="208"/>
      <c r="Y20" s="207">
        <f t="shared" si="10"/>
        <v>0</v>
      </c>
      <c r="Z20" s="211"/>
      <c r="AA20" s="211"/>
      <c r="AB20" s="211"/>
      <c r="AC20" s="211"/>
      <c r="AD20" s="208"/>
      <c r="AE20" s="207">
        <f t="shared" si="11"/>
        <v>0</v>
      </c>
      <c r="AF20" s="211"/>
      <c r="AG20" s="211"/>
      <c r="AH20" s="211"/>
      <c r="AI20" s="211"/>
      <c r="AJ20" s="208">
        <v>1</v>
      </c>
      <c r="AK20" s="207">
        <f t="shared" si="12"/>
        <v>1</v>
      </c>
    </row>
    <row r="21" spans="1:37" s="210" customFormat="1" ht="22.5" customHeight="1">
      <c r="A21" s="203" t="s">
        <v>19</v>
      </c>
      <c r="B21" s="211"/>
      <c r="C21" s="211"/>
      <c r="D21" s="211"/>
      <c r="E21" s="211"/>
      <c r="F21" s="208"/>
      <c r="G21" s="209"/>
      <c r="H21" s="211"/>
      <c r="I21" s="211"/>
      <c r="J21" s="211"/>
      <c r="K21" s="211"/>
      <c r="L21" s="208"/>
      <c r="M21" s="207"/>
      <c r="N21" s="211"/>
      <c r="O21" s="211"/>
      <c r="P21" s="211"/>
      <c r="Q21" s="211"/>
      <c r="R21" s="208"/>
      <c r="S21" s="207"/>
      <c r="T21" s="211"/>
      <c r="U21" s="211"/>
      <c r="V21" s="211"/>
      <c r="W21" s="211"/>
      <c r="X21" s="208"/>
      <c r="Y21" s="207"/>
      <c r="Z21" s="211"/>
      <c r="AA21" s="211"/>
      <c r="AB21" s="211"/>
      <c r="AC21" s="211"/>
      <c r="AD21" s="208"/>
      <c r="AE21" s="207"/>
      <c r="AF21" s="211"/>
      <c r="AG21" s="211"/>
      <c r="AH21" s="211"/>
      <c r="AI21" s="211"/>
      <c r="AJ21" s="208"/>
      <c r="AK21" s="207"/>
    </row>
    <row r="22" spans="1:37" s="210" customFormat="1" ht="22.5" customHeight="1">
      <c r="A22" s="203" t="s">
        <v>22</v>
      </c>
      <c r="B22" s="211"/>
      <c r="C22" s="211"/>
      <c r="D22" s="211"/>
      <c r="E22" s="211"/>
      <c r="F22" s="208"/>
      <c r="G22" s="209"/>
      <c r="H22" s="211"/>
      <c r="I22" s="211"/>
      <c r="J22" s="211"/>
      <c r="K22" s="211"/>
      <c r="L22" s="208"/>
      <c r="M22" s="207"/>
      <c r="N22" s="211"/>
      <c r="O22" s="211"/>
      <c r="P22" s="211"/>
      <c r="Q22" s="211"/>
      <c r="R22" s="208"/>
      <c r="S22" s="207"/>
      <c r="T22" s="211"/>
      <c r="U22" s="211"/>
      <c r="V22" s="211"/>
      <c r="W22" s="211"/>
      <c r="X22" s="208"/>
      <c r="Y22" s="207"/>
      <c r="Z22" s="211"/>
      <c r="AA22" s="211"/>
      <c r="AB22" s="211"/>
      <c r="AC22" s="211"/>
      <c r="AD22" s="208"/>
      <c r="AE22" s="207"/>
      <c r="AF22" s="211"/>
      <c r="AG22" s="211"/>
      <c r="AH22" s="211"/>
      <c r="AI22" s="211"/>
      <c r="AJ22" s="208"/>
      <c r="AK22" s="207"/>
    </row>
    <row r="23" spans="1:37" s="210" customFormat="1" ht="22.5" customHeight="1">
      <c r="A23" s="203" t="s">
        <v>20</v>
      </c>
      <c r="B23" s="211"/>
      <c r="C23" s="211"/>
      <c r="D23" s="211"/>
      <c r="E23" s="211"/>
      <c r="F23" s="208"/>
      <c r="G23" s="209"/>
      <c r="H23" s="211"/>
      <c r="I23" s="211"/>
      <c r="J23" s="211"/>
      <c r="K23" s="211"/>
      <c r="L23" s="208"/>
      <c r="M23" s="207"/>
      <c r="N23" s="211"/>
      <c r="O23" s="211"/>
      <c r="P23" s="211"/>
      <c r="Q23" s="211"/>
      <c r="R23" s="208"/>
      <c r="S23" s="207"/>
      <c r="T23" s="211"/>
      <c r="U23" s="211"/>
      <c r="V23" s="211"/>
      <c r="W23" s="211"/>
      <c r="X23" s="208"/>
      <c r="Y23" s="207"/>
      <c r="Z23" s="211"/>
      <c r="AA23" s="211"/>
      <c r="AB23" s="211"/>
      <c r="AC23" s="211"/>
      <c r="AD23" s="208"/>
      <c r="AE23" s="207"/>
      <c r="AF23" s="211"/>
      <c r="AG23" s="211"/>
      <c r="AH23" s="211"/>
      <c r="AI23" s="211"/>
      <c r="AJ23" s="208"/>
      <c r="AK23" s="207"/>
    </row>
    <row r="24" spans="1:37" s="210" customFormat="1" ht="22.5" customHeight="1">
      <c r="A24" s="203" t="s">
        <v>25</v>
      </c>
      <c r="B24" s="220"/>
      <c r="C24" s="220"/>
      <c r="D24" s="220"/>
      <c r="E24" s="220"/>
      <c r="F24" s="221"/>
      <c r="G24" s="209"/>
      <c r="H24" s="220"/>
      <c r="I24" s="220"/>
      <c r="J24" s="220"/>
      <c r="K24" s="220"/>
      <c r="L24" s="221"/>
      <c r="M24" s="207"/>
      <c r="N24" s="220"/>
      <c r="O24" s="220"/>
      <c r="P24" s="220"/>
      <c r="Q24" s="220"/>
      <c r="R24" s="221"/>
      <c r="S24" s="207"/>
      <c r="T24" s="220"/>
      <c r="U24" s="220"/>
      <c r="V24" s="220"/>
      <c r="W24" s="220"/>
      <c r="X24" s="221"/>
      <c r="Y24" s="207"/>
      <c r="Z24" s="220"/>
      <c r="AA24" s="220"/>
      <c r="AB24" s="220"/>
      <c r="AC24" s="220"/>
      <c r="AD24" s="221"/>
      <c r="AE24" s="207"/>
      <c r="AF24" s="220"/>
      <c r="AG24" s="220"/>
      <c r="AH24" s="220"/>
      <c r="AI24" s="220"/>
      <c r="AJ24" s="221"/>
      <c r="AK24" s="207"/>
    </row>
    <row r="25" spans="1:37" s="210" customFormat="1" ht="22.5" customHeight="1">
      <c r="A25" s="203" t="s">
        <v>26</v>
      </c>
      <c r="B25" s="220"/>
      <c r="C25" s="220"/>
      <c r="D25" s="220"/>
      <c r="E25" s="220"/>
      <c r="F25" s="221"/>
      <c r="G25" s="209"/>
      <c r="H25" s="220"/>
      <c r="I25" s="220"/>
      <c r="J25" s="220"/>
      <c r="K25" s="220"/>
      <c r="L25" s="221"/>
      <c r="M25" s="207"/>
      <c r="N25" s="220"/>
      <c r="O25" s="220"/>
      <c r="P25" s="220"/>
      <c r="Q25" s="220"/>
      <c r="R25" s="221"/>
      <c r="S25" s="207"/>
      <c r="T25" s="220"/>
      <c r="U25" s="220"/>
      <c r="V25" s="220"/>
      <c r="W25" s="220"/>
      <c r="X25" s="221"/>
      <c r="Y25" s="207"/>
      <c r="Z25" s="220"/>
      <c r="AA25" s="220"/>
      <c r="AB25" s="220"/>
      <c r="AC25" s="220"/>
      <c r="AD25" s="221"/>
      <c r="AE25" s="207"/>
      <c r="AF25" s="220"/>
      <c r="AG25" s="220"/>
      <c r="AH25" s="220"/>
      <c r="AI25" s="220"/>
      <c r="AJ25" s="221"/>
      <c r="AK25" s="207"/>
    </row>
    <row r="26" spans="1:37" s="194" customFormat="1" ht="22.5" customHeight="1" thickBot="1">
      <c r="A26" s="202" t="s">
        <v>12</v>
      </c>
      <c r="B26" s="200" t="e">
        <f>AVERAGE(B18:B23)</f>
        <v>#DIV/0!</v>
      </c>
      <c r="C26" s="200" t="e">
        <f>AVERAGE(C18:C23)</f>
        <v>#DIV/0!</v>
      </c>
      <c r="D26" s="200" t="e">
        <f>AVERAGE(D18:D23)</f>
        <v>#DIV/0!</v>
      </c>
      <c r="E26" s="200" t="e">
        <f>AVERAGE(E18:E23)</f>
        <v>#DIV/0!</v>
      </c>
      <c r="F26" s="200" t="e">
        <f>AVERAGE(F18:F23)</f>
        <v>#DIV/0!</v>
      </c>
      <c r="G26" s="201">
        <f>SUM(G18:G23)</f>
        <v>0</v>
      </c>
      <c r="H26" s="200" t="e">
        <f>AVERAGE(H18:H23)</f>
        <v>#DIV/0!</v>
      </c>
      <c r="I26" s="200" t="e">
        <f>AVERAGE(I18:I23)</f>
        <v>#DIV/0!</v>
      </c>
      <c r="J26" s="200" t="e">
        <f>AVERAGE(J18:J23)</f>
        <v>#DIV/0!</v>
      </c>
      <c r="K26" s="200" t="e">
        <f>AVERAGE(K18:K23)</f>
        <v>#DIV/0!</v>
      </c>
      <c r="L26" s="200" t="e">
        <f>AVERAGE(L18:L23)</f>
        <v>#DIV/0!</v>
      </c>
      <c r="M26" s="199">
        <f>SUM(M18:M23)</f>
        <v>0</v>
      </c>
      <c r="N26" s="200" t="e">
        <f>AVERAGE(N18:N23)</f>
        <v>#DIV/0!</v>
      </c>
      <c r="O26" s="200" t="e">
        <f>AVERAGE(O18:O23)</f>
        <v>#DIV/0!</v>
      </c>
      <c r="P26" s="200" t="e">
        <f>AVERAGE(P18:P23)</f>
        <v>#DIV/0!</v>
      </c>
      <c r="Q26" s="200" t="e">
        <f>AVERAGE(Q18:Q23)</f>
        <v>#DIV/0!</v>
      </c>
      <c r="R26" s="200" t="e">
        <f>AVERAGE(R18:R23)</f>
        <v>#DIV/0!</v>
      </c>
      <c r="S26" s="199">
        <f>SUM(S18:S23)</f>
        <v>0</v>
      </c>
      <c r="T26" s="200" t="e">
        <f>AVERAGE(T18:T23)</f>
        <v>#DIV/0!</v>
      </c>
      <c r="U26" s="200" t="e">
        <f>AVERAGE(U18:U23)</f>
        <v>#DIV/0!</v>
      </c>
      <c r="V26" s="200" t="e">
        <f>AVERAGE(V18:V23)</f>
        <v>#DIV/0!</v>
      </c>
      <c r="W26" s="200" t="e">
        <f>AVERAGE(W18:W23)</f>
        <v>#DIV/0!</v>
      </c>
      <c r="X26" s="200" t="e">
        <f>AVERAGE(X18:X23)</f>
        <v>#DIV/0!</v>
      </c>
      <c r="Y26" s="199">
        <f>SUM(Y18:Y23)</f>
        <v>0</v>
      </c>
      <c r="Z26" s="200" t="e">
        <f>AVERAGE(Z18:Z23)</f>
        <v>#DIV/0!</v>
      </c>
      <c r="AA26" s="200" t="e">
        <f>AVERAGE(AA18:AA23)</f>
        <v>#DIV/0!</v>
      </c>
      <c r="AB26" s="200" t="e">
        <f>AVERAGE(AB18:AB23)</f>
        <v>#DIV/0!</v>
      </c>
      <c r="AC26" s="200" t="e">
        <f>AVERAGE(AC18:AC23)</f>
        <v>#DIV/0!</v>
      </c>
      <c r="AD26" s="200" t="e">
        <f>AVERAGE(AD18:AD23)</f>
        <v>#DIV/0!</v>
      </c>
      <c r="AE26" s="199"/>
      <c r="AF26" s="200" t="e">
        <f>AVERAGE(AF18:AF23)</f>
        <v>#DIV/0!</v>
      </c>
      <c r="AG26" s="200" t="e">
        <f>AVERAGE(AG18:AG23)</f>
        <v>#DIV/0!</v>
      </c>
      <c r="AH26" s="200" t="e">
        <f>AVERAGE(AH18:AH23)</f>
        <v>#DIV/0!</v>
      </c>
      <c r="AI26" s="200" t="e">
        <f>AVERAGE(AI18:AI23)</f>
        <v>#DIV/0!</v>
      </c>
      <c r="AJ26" s="200">
        <f>AVERAGE(AJ18:AJ23)</f>
        <v>1</v>
      </c>
      <c r="AK26" s="199">
        <f>SUM(AK18:AK23)</f>
        <v>1</v>
      </c>
    </row>
    <row r="27" spans="1:37" ht="22.5" hidden="1" customHeight="1" thickBot="1">
      <c r="A27" s="112"/>
      <c r="B27" s="58"/>
      <c r="C27" s="58"/>
      <c r="D27" s="58"/>
      <c r="E27" s="58"/>
      <c r="F27" s="58"/>
      <c r="G27" s="115"/>
      <c r="H27" s="58"/>
      <c r="I27" s="58"/>
      <c r="J27" s="58"/>
      <c r="K27" s="58"/>
      <c r="L27" s="58"/>
      <c r="M27" s="12"/>
      <c r="N27" s="58"/>
      <c r="O27" s="58"/>
      <c r="P27" s="58"/>
      <c r="Q27" s="58"/>
      <c r="R27" s="58"/>
      <c r="S27" s="12"/>
      <c r="T27" s="58"/>
      <c r="U27" s="58"/>
      <c r="V27" s="58"/>
      <c r="W27" s="58"/>
      <c r="X27" s="58"/>
      <c r="Y27" s="12"/>
      <c r="Z27" s="58"/>
      <c r="AA27" s="58"/>
      <c r="AB27" s="58"/>
      <c r="AC27" s="58"/>
      <c r="AD27" s="58"/>
      <c r="AE27" s="12"/>
      <c r="AF27" s="58"/>
      <c r="AG27" s="58"/>
      <c r="AH27" s="58"/>
      <c r="AI27" s="58"/>
      <c r="AJ27" s="58"/>
      <c r="AK27" s="12"/>
    </row>
    <row r="28" spans="1:37" s="194" customFormat="1" ht="22.5" customHeight="1">
      <c r="A28" s="195" t="s">
        <v>29</v>
      </c>
      <c r="B28" s="504" t="s">
        <v>30</v>
      </c>
      <c r="C28" s="505"/>
      <c r="D28" s="505"/>
      <c r="E28" s="505"/>
      <c r="F28" s="505"/>
      <c r="G28" s="506"/>
      <c r="H28" s="507" t="s">
        <v>30</v>
      </c>
      <c r="I28" s="505"/>
      <c r="J28" s="505"/>
      <c r="K28" s="505"/>
      <c r="L28" s="505"/>
      <c r="M28" s="508"/>
      <c r="N28" s="504" t="s">
        <v>30</v>
      </c>
      <c r="O28" s="505"/>
      <c r="P28" s="505"/>
      <c r="Q28" s="505"/>
      <c r="R28" s="505"/>
      <c r="S28" s="508"/>
      <c r="T28" s="504" t="s">
        <v>30</v>
      </c>
      <c r="U28" s="505"/>
      <c r="V28" s="505"/>
      <c r="W28" s="505"/>
      <c r="X28" s="505"/>
      <c r="Y28" s="508"/>
      <c r="Z28" s="504" t="s">
        <v>30</v>
      </c>
      <c r="AA28" s="505"/>
      <c r="AB28" s="505"/>
      <c r="AC28" s="505"/>
      <c r="AD28" s="505"/>
      <c r="AE28" s="508"/>
      <c r="AF28" s="504" t="s">
        <v>30</v>
      </c>
      <c r="AG28" s="505"/>
      <c r="AH28" s="505"/>
      <c r="AI28" s="505"/>
      <c r="AJ28" s="505"/>
      <c r="AK28" s="508"/>
    </row>
    <row r="29" spans="1:37" s="210" customFormat="1" ht="22.5" customHeight="1">
      <c r="A29" s="203" t="s">
        <v>16</v>
      </c>
      <c r="B29" s="211"/>
      <c r="C29" s="211"/>
      <c r="D29" s="211"/>
      <c r="E29" s="211"/>
      <c r="F29" s="208">
        <v>22</v>
      </c>
      <c r="G29" s="209">
        <f>F29</f>
        <v>22</v>
      </c>
      <c r="H29" s="208">
        <v>22</v>
      </c>
      <c r="I29" s="208"/>
      <c r="J29" s="208"/>
      <c r="K29" s="208"/>
      <c r="L29" s="208">
        <v>22</v>
      </c>
      <c r="M29" s="212">
        <f>SUM(L29)</f>
        <v>22</v>
      </c>
      <c r="N29" s="211"/>
      <c r="O29" s="211"/>
      <c r="P29" s="211"/>
      <c r="Q29" s="211"/>
      <c r="R29" s="208">
        <v>22</v>
      </c>
      <c r="S29" s="207">
        <f>SUM(N29:R29)</f>
        <v>22</v>
      </c>
      <c r="T29" s="211"/>
      <c r="U29" s="211"/>
      <c r="V29" s="211"/>
      <c r="W29" s="211"/>
      <c r="X29" s="208">
        <v>22</v>
      </c>
      <c r="Y29" s="207">
        <f>SUM(T29:X29)</f>
        <v>22</v>
      </c>
      <c r="Z29" s="211"/>
      <c r="AA29" s="211"/>
      <c r="AB29" s="211"/>
      <c r="AC29" s="211"/>
      <c r="AD29" s="208">
        <v>22</v>
      </c>
      <c r="AE29" s="207">
        <f t="shared" ref="AE29:AE35" si="13">SUM(Z29:AD29)</f>
        <v>22</v>
      </c>
      <c r="AF29" s="211"/>
      <c r="AG29" s="211"/>
      <c r="AH29" s="211"/>
      <c r="AI29" s="211"/>
      <c r="AJ29" s="208">
        <v>22</v>
      </c>
      <c r="AK29" s="207">
        <f>AJ29</f>
        <v>22</v>
      </c>
    </row>
    <row r="30" spans="1:37" s="210" customFormat="1" ht="22.5" customHeight="1">
      <c r="A30" s="203" t="s">
        <v>17</v>
      </c>
      <c r="B30" s="211"/>
      <c r="C30" s="211"/>
      <c r="D30" s="211"/>
      <c r="E30" s="211"/>
      <c r="F30" s="208">
        <v>20</v>
      </c>
      <c r="G30" s="209">
        <f t="shared" ref="G30:G34" si="14">F30</f>
        <v>20</v>
      </c>
      <c r="H30" s="208">
        <v>20</v>
      </c>
      <c r="I30" s="208"/>
      <c r="J30" s="208"/>
      <c r="K30" s="208"/>
      <c r="L30" s="208">
        <v>20</v>
      </c>
      <c r="M30" s="212">
        <v>20</v>
      </c>
      <c r="N30" s="211"/>
      <c r="O30" s="211"/>
      <c r="P30" s="211"/>
      <c r="Q30" s="211"/>
      <c r="R30" s="208">
        <v>20</v>
      </c>
      <c r="S30" s="207">
        <f t="shared" ref="S30:S34" si="15">SUM(N30:R30)</f>
        <v>20</v>
      </c>
      <c r="T30" s="211"/>
      <c r="U30" s="211"/>
      <c r="V30" s="211"/>
      <c r="W30" s="211"/>
      <c r="X30" s="208">
        <v>20</v>
      </c>
      <c r="Y30" s="207">
        <f t="shared" ref="Y30:Y35" si="16">SUM(T30:X30)</f>
        <v>20</v>
      </c>
      <c r="Z30" s="211"/>
      <c r="AA30" s="211"/>
      <c r="AB30" s="211"/>
      <c r="AC30" s="211"/>
      <c r="AD30" s="208">
        <v>20</v>
      </c>
      <c r="AE30" s="207">
        <f t="shared" si="13"/>
        <v>20</v>
      </c>
      <c r="AF30" s="211"/>
      <c r="AG30" s="211"/>
      <c r="AH30" s="211"/>
      <c r="AI30" s="211"/>
      <c r="AJ30" s="208">
        <v>20</v>
      </c>
      <c r="AK30" s="207">
        <f t="shared" ref="AK30:AK37" si="17">AJ30</f>
        <v>20</v>
      </c>
    </row>
    <row r="31" spans="1:37" s="210" customFormat="1" ht="22.5" customHeight="1">
      <c r="A31" s="203" t="s">
        <v>18</v>
      </c>
      <c r="B31" s="211"/>
      <c r="C31" s="211"/>
      <c r="D31" s="211"/>
      <c r="E31" s="211"/>
      <c r="F31" s="208">
        <v>17</v>
      </c>
      <c r="G31" s="209">
        <f t="shared" si="14"/>
        <v>17</v>
      </c>
      <c r="H31" s="208">
        <v>17</v>
      </c>
      <c r="I31" s="208"/>
      <c r="J31" s="208"/>
      <c r="K31" s="208"/>
      <c r="L31" s="208">
        <v>17</v>
      </c>
      <c r="M31" s="212">
        <f t="shared" ref="M31:M34" si="18">SUM(L31)</f>
        <v>17</v>
      </c>
      <c r="N31" s="211"/>
      <c r="O31" s="211"/>
      <c r="P31" s="211"/>
      <c r="Q31" s="211"/>
      <c r="R31" s="208">
        <v>19</v>
      </c>
      <c r="S31" s="207">
        <f t="shared" si="15"/>
        <v>19</v>
      </c>
      <c r="T31" s="211"/>
      <c r="U31" s="211"/>
      <c r="V31" s="211"/>
      <c r="W31" s="211"/>
      <c r="X31" s="208">
        <v>19</v>
      </c>
      <c r="Y31" s="207">
        <f t="shared" si="16"/>
        <v>19</v>
      </c>
      <c r="Z31" s="211"/>
      <c r="AA31" s="211"/>
      <c r="AB31" s="211"/>
      <c r="AC31" s="211"/>
      <c r="AD31" s="208">
        <v>19</v>
      </c>
      <c r="AE31" s="207">
        <f t="shared" si="13"/>
        <v>19</v>
      </c>
      <c r="AF31" s="211"/>
      <c r="AG31" s="211"/>
      <c r="AH31" s="211"/>
      <c r="AI31" s="211"/>
      <c r="AJ31" s="208">
        <v>19</v>
      </c>
      <c r="AK31" s="207">
        <f t="shared" si="17"/>
        <v>19</v>
      </c>
    </row>
    <row r="32" spans="1:37" s="210" customFormat="1" ht="22.5" customHeight="1">
      <c r="A32" s="203" t="s">
        <v>19</v>
      </c>
      <c r="B32" s="211"/>
      <c r="C32" s="211"/>
      <c r="D32" s="211"/>
      <c r="E32" s="211"/>
      <c r="F32" s="208">
        <v>11</v>
      </c>
      <c r="G32" s="209">
        <f t="shared" si="14"/>
        <v>11</v>
      </c>
      <c r="H32" s="208">
        <v>14</v>
      </c>
      <c r="I32" s="208"/>
      <c r="J32" s="208"/>
      <c r="K32" s="208"/>
      <c r="L32" s="208">
        <v>12</v>
      </c>
      <c r="M32" s="212">
        <v>12</v>
      </c>
      <c r="N32" s="211"/>
      <c r="O32" s="211"/>
      <c r="P32" s="211"/>
      <c r="Q32" s="211"/>
      <c r="R32" s="208">
        <v>21</v>
      </c>
      <c r="S32" s="207">
        <f t="shared" si="15"/>
        <v>21</v>
      </c>
      <c r="T32" s="211"/>
      <c r="U32" s="211"/>
      <c r="V32" s="211"/>
      <c r="W32" s="211"/>
      <c r="X32" s="208">
        <v>21</v>
      </c>
      <c r="Y32" s="207">
        <f t="shared" si="16"/>
        <v>21</v>
      </c>
      <c r="Z32" s="211"/>
      <c r="AA32" s="211"/>
      <c r="AB32" s="211"/>
      <c r="AC32" s="211"/>
      <c r="AD32" s="208">
        <v>21</v>
      </c>
      <c r="AE32" s="207">
        <f t="shared" si="13"/>
        <v>21</v>
      </c>
      <c r="AF32" s="211"/>
      <c r="AG32" s="211"/>
      <c r="AH32" s="211"/>
      <c r="AI32" s="211"/>
      <c r="AJ32" s="208">
        <v>21</v>
      </c>
      <c r="AK32" s="207">
        <f t="shared" si="17"/>
        <v>21</v>
      </c>
    </row>
    <row r="33" spans="1:37" s="210" customFormat="1" ht="22.5" customHeight="1">
      <c r="A33" s="203" t="s">
        <v>22</v>
      </c>
      <c r="B33" s="211"/>
      <c r="C33" s="211"/>
      <c r="D33" s="211"/>
      <c r="E33" s="211"/>
      <c r="F33" s="208"/>
      <c r="G33" s="209"/>
      <c r="H33" s="208"/>
      <c r="I33" s="208"/>
      <c r="J33" s="208"/>
      <c r="K33" s="208"/>
      <c r="L33" s="208"/>
      <c r="M33" s="212"/>
      <c r="N33" s="211"/>
      <c r="O33" s="211"/>
      <c r="P33" s="211"/>
      <c r="Q33" s="211"/>
      <c r="R33" s="208">
        <v>17</v>
      </c>
      <c r="S33" s="207">
        <f t="shared" si="15"/>
        <v>17</v>
      </c>
      <c r="T33" s="211"/>
      <c r="U33" s="211"/>
      <c r="V33" s="211"/>
      <c r="W33" s="211"/>
      <c r="X33" s="208">
        <v>17</v>
      </c>
      <c r="Y33" s="207">
        <f t="shared" si="16"/>
        <v>17</v>
      </c>
      <c r="Z33" s="211"/>
      <c r="AA33" s="211"/>
      <c r="AB33" s="211"/>
      <c r="AC33" s="211"/>
      <c r="AD33" s="208">
        <v>17</v>
      </c>
      <c r="AE33" s="207">
        <f t="shared" si="13"/>
        <v>17</v>
      </c>
      <c r="AF33" s="211"/>
      <c r="AG33" s="211"/>
      <c r="AH33" s="211"/>
      <c r="AI33" s="211"/>
      <c r="AJ33" s="208">
        <v>17</v>
      </c>
      <c r="AK33" s="207">
        <f t="shared" si="17"/>
        <v>17</v>
      </c>
    </row>
    <row r="34" spans="1:37" s="210" customFormat="1" ht="22.5" customHeight="1">
      <c r="A34" s="203" t="s">
        <v>20</v>
      </c>
      <c r="B34" s="211"/>
      <c r="C34" s="211"/>
      <c r="D34" s="211"/>
      <c r="E34" s="211"/>
      <c r="F34" s="208">
        <v>10</v>
      </c>
      <c r="G34" s="209">
        <f t="shared" si="14"/>
        <v>10</v>
      </c>
      <c r="H34" s="208">
        <v>9</v>
      </c>
      <c r="I34" s="208"/>
      <c r="J34" s="208"/>
      <c r="K34" s="208"/>
      <c r="L34" s="208">
        <v>10</v>
      </c>
      <c r="M34" s="212">
        <f t="shared" si="18"/>
        <v>10</v>
      </c>
      <c r="N34" s="211"/>
      <c r="O34" s="211"/>
      <c r="P34" s="211"/>
      <c r="Q34" s="211"/>
      <c r="R34" s="208">
        <v>10</v>
      </c>
      <c r="S34" s="207">
        <f t="shared" si="15"/>
        <v>10</v>
      </c>
      <c r="T34" s="211"/>
      <c r="U34" s="211"/>
      <c r="V34" s="211"/>
      <c r="W34" s="211"/>
      <c r="X34" s="208">
        <v>10</v>
      </c>
      <c r="Y34" s="207">
        <f t="shared" si="16"/>
        <v>10</v>
      </c>
      <c r="Z34" s="211"/>
      <c r="AA34" s="211"/>
      <c r="AB34" s="211"/>
      <c r="AC34" s="211"/>
      <c r="AD34" s="208">
        <v>10</v>
      </c>
      <c r="AE34" s="207">
        <f t="shared" si="13"/>
        <v>10</v>
      </c>
      <c r="AF34" s="211"/>
      <c r="AG34" s="211"/>
      <c r="AH34" s="211"/>
      <c r="AI34" s="211"/>
      <c r="AJ34" s="208">
        <v>10</v>
      </c>
      <c r="AK34" s="207">
        <f t="shared" si="17"/>
        <v>10</v>
      </c>
    </row>
    <row r="35" spans="1:37" s="210" customFormat="1" ht="22.5" customHeight="1">
      <c r="A35" s="203" t="s">
        <v>31</v>
      </c>
      <c r="B35" s="220"/>
      <c r="C35" s="220"/>
      <c r="D35" s="220"/>
      <c r="E35" s="220"/>
      <c r="F35" s="221"/>
      <c r="G35" s="209"/>
      <c r="H35" s="221"/>
      <c r="I35" s="221"/>
      <c r="J35" s="221"/>
      <c r="K35" s="221"/>
      <c r="L35" s="221"/>
      <c r="M35" s="212"/>
      <c r="N35" s="220"/>
      <c r="O35" s="220"/>
      <c r="P35" s="220"/>
      <c r="Q35" s="220"/>
      <c r="R35" s="221"/>
      <c r="S35" s="207"/>
      <c r="T35" s="220"/>
      <c r="U35" s="220"/>
      <c r="V35" s="220"/>
      <c r="W35" s="220"/>
      <c r="X35" s="221">
        <v>21</v>
      </c>
      <c r="Y35" s="207">
        <f t="shared" si="16"/>
        <v>21</v>
      </c>
      <c r="Z35" s="220"/>
      <c r="AA35" s="220"/>
      <c r="AB35" s="220"/>
      <c r="AC35" s="220"/>
      <c r="AD35" s="221">
        <v>21</v>
      </c>
      <c r="AE35" s="207">
        <f t="shared" si="13"/>
        <v>21</v>
      </c>
      <c r="AF35" s="220"/>
      <c r="AG35" s="220"/>
      <c r="AH35" s="220"/>
      <c r="AI35" s="220"/>
      <c r="AJ35" s="221">
        <v>21</v>
      </c>
      <c r="AK35" s="207">
        <f t="shared" si="17"/>
        <v>21</v>
      </c>
    </row>
    <row r="36" spans="1:37" s="210" customFormat="1" ht="22.5" customHeight="1">
      <c r="A36" s="203" t="s">
        <v>32</v>
      </c>
      <c r="B36" s="220"/>
      <c r="C36" s="220"/>
      <c r="D36" s="220"/>
      <c r="E36" s="220"/>
      <c r="F36" s="221"/>
      <c r="G36" s="209"/>
      <c r="H36" s="221"/>
      <c r="I36" s="221"/>
      <c r="J36" s="221"/>
      <c r="K36" s="221"/>
      <c r="L36" s="221"/>
      <c r="M36" s="212"/>
      <c r="N36" s="220"/>
      <c r="O36" s="220"/>
      <c r="P36" s="220"/>
      <c r="Q36" s="220"/>
      <c r="R36" s="221"/>
      <c r="S36" s="207"/>
      <c r="T36" s="220"/>
      <c r="U36" s="220"/>
      <c r="V36" s="220"/>
      <c r="W36" s="220"/>
      <c r="X36" s="221"/>
      <c r="Y36" s="207"/>
      <c r="Z36" s="220"/>
      <c r="AA36" s="220"/>
      <c r="AB36" s="220"/>
      <c r="AC36" s="220"/>
      <c r="AD36" s="221"/>
      <c r="AE36" s="207">
        <v>15</v>
      </c>
      <c r="AF36" s="220"/>
      <c r="AG36" s="220"/>
      <c r="AH36" s="220"/>
      <c r="AI36" s="220"/>
      <c r="AJ36" s="221">
        <v>15</v>
      </c>
      <c r="AK36" s="207">
        <f t="shared" si="17"/>
        <v>15</v>
      </c>
    </row>
    <row r="37" spans="1:37" s="210" customFormat="1" ht="22.5" customHeight="1">
      <c r="A37" s="203" t="s">
        <v>26</v>
      </c>
      <c r="B37" s="220"/>
      <c r="C37" s="220"/>
      <c r="D37" s="220"/>
      <c r="E37" s="220"/>
      <c r="F37" s="221"/>
      <c r="G37" s="209"/>
      <c r="H37" s="221"/>
      <c r="I37" s="221"/>
      <c r="J37" s="221"/>
      <c r="K37" s="221"/>
      <c r="L37" s="221"/>
      <c r="M37" s="212"/>
      <c r="N37" s="220"/>
      <c r="O37" s="220"/>
      <c r="P37" s="220"/>
      <c r="Q37" s="220"/>
      <c r="R37" s="221"/>
      <c r="S37" s="207"/>
      <c r="T37" s="220"/>
      <c r="U37" s="220"/>
      <c r="V37" s="220"/>
      <c r="W37" s="220"/>
      <c r="X37" s="221"/>
      <c r="Y37" s="207"/>
      <c r="Z37" s="220"/>
      <c r="AA37" s="220"/>
      <c r="AB37" s="220"/>
      <c r="AC37" s="220"/>
      <c r="AD37" s="221">
        <v>18</v>
      </c>
      <c r="AE37" s="207">
        <f>SUM(Z37:AD37)</f>
        <v>18</v>
      </c>
      <c r="AF37" s="220"/>
      <c r="AG37" s="220"/>
      <c r="AH37" s="220"/>
      <c r="AI37" s="220"/>
      <c r="AJ37" s="221">
        <v>18</v>
      </c>
      <c r="AK37" s="207">
        <f t="shared" si="17"/>
        <v>18</v>
      </c>
    </row>
    <row r="38" spans="1:37" s="194" customFormat="1" ht="22.5" customHeight="1" thickBot="1">
      <c r="A38" s="202" t="s">
        <v>12</v>
      </c>
      <c r="B38" s="200" t="e">
        <f>AVERAGE(B29:B34)</f>
        <v>#DIV/0!</v>
      </c>
      <c r="C38" s="200" t="e">
        <f>AVERAGE(C29:C34)</f>
        <v>#DIV/0!</v>
      </c>
      <c r="D38" s="200" t="e">
        <f>AVERAGE(D29:D34)</f>
        <v>#DIV/0!</v>
      </c>
      <c r="E38" s="200" t="e">
        <f>AVERAGE(E29:E34)</f>
        <v>#DIV/0!</v>
      </c>
      <c r="F38" s="200">
        <f t="shared" ref="F38:M38" si="19">SUM(F29:F34)</f>
        <v>80</v>
      </c>
      <c r="G38" s="201">
        <f t="shared" si="19"/>
        <v>80</v>
      </c>
      <c r="H38" s="200">
        <f t="shared" si="19"/>
        <v>82</v>
      </c>
      <c r="I38" s="200">
        <f t="shared" si="19"/>
        <v>0</v>
      </c>
      <c r="J38" s="200">
        <f t="shared" si="19"/>
        <v>0</v>
      </c>
      <c r="K38" s="200">
        <f t="shared" si="19"/>
        <v>0</v>
      </c>
      <c r="L38" s="200">
        <f t="shared" si="19"/>
        <v>81</v>
      </c>
      <c r="M38" s="199">
        <f t="shared" si="19"/>
        <v>81</v>
      </c>
      <c r="N38" s="200" t="e">
        <f>AVERAGE(N29:N34)</f>
        <v>#DIV/0!</v>
      </c>
      <c r="O38" s="200" t="e">
        <f>AVERAGE(O29:O34)</f>
        <v>#DIV/0!</v>
      </c>
      <c r="P38" s="200" t="e">
        <f>AVERAGE(P29:P34)</f>
        <v>#DIV/0!</v>
      </c>
      <c r="Q38" s="200" t="e">
        <f>AVERAGE(Q29:Q34)</f>
        <v>#DIV/0!</v>
      </c>
      <c r="R38" s="200"/>
      <c r="S38" s="199">
        <f>SUM(S29:S34)</f>
        <v>109</v>
      </c>
      <c r="T38" s="200" t="e">
        <f>AVERAGE(T29:T34)</f>
        <v>#DIV/0!</v>
      </c>
      <c r="U38" s="200" t="e">
        <f>AVERAGE(U29:U34)</f>
        <v>#DIV/0!</v>
      </c>
      <c r="V38" s="200" t="e">
        <f>AVERAGE(V29:V34)</f>
        <v>#DIV/0!</v>
      </c>
      <c r="W38" s="200" t="e">
        <f>AVERAGE(W29:W34)</f>
        <v>#DIV/0!</v>
      </c>
      <c r="X38" s="200">
        <f>SUM(X29:X35)</f>
        <v>130</v>
      </c>
      <c r="Y38" s="199">
        <f>SUM(Y29:Y35)</f>
        <v>130</v>
      </c>
      <c r="Z38" s="200" t="e">
        <f>AVERAGE(Z29:Z34)</f>
        <v>#DIV/0!</v>
      </c>
      <c r="AA38" s="200" t="e">
        <f>AVERAGE(AA29:AA34)</f>
        <v>#DIV/0!</v>
      </c>
      <c r="AB38" s="200" t="e">
        <f>AVERAGE(AB29:AB34)</f>
        <v>#DIV/0!</v>
      </c>
      <c r="AC38" s="200" t="e">
        <f>AVERAGE(AC29:AC34)</f>
        <v>#DIV/0!</v>
      </c>
      <c r="AD38" s="200">
        <f>AVERAGE(AD29:AD35)</f>
        <v>18.571428571428573</v>
      </c>
      <c r="AE38" s="199">
        <f>SUM(AE29:AE37)</f>
        <v>163</v>
      </c>
      <c r="AF38" s="200" t="e">
        <f>AVERAGE(AF29:AF34)</f>
        <v>#DIV/0!</v>
      </c>
      <c r="AG38" s="200" t="e">
        <f>AVERAGE(AG29:AG34)</f>
        <v>#DIV/0!</v>
      </c>
      <c r="AH38" s="200" t="e">
        <f>AVERAGE(AH29:AH34)</f>
        <v>#DIV/0!</v>
      </c>
      <c r="AI38" s="200" t="e">
        <f>AVERAGE(AI29:AI34)</f>
        <v>#DIV/0!</v>
      </c>
      <c r="AJ38" s="200">
        <f>AVERAGE(AJ29:AJ34)</f>
        <v>18.166666666666668</v>
      </c>
      <c r="AK38" s="199">
        <f>SUM(AK29:AK37)</f>
        <v>163</v>
      </c>
    </row>
    <row r="39" spans="1:37" s="210" customFormat="1" ht="22.5" customHeight="1">
      <c r="A39" s="213" t="s">
        <v>33</v>
      </c>
      <c r="B39" s="211"/>
      <c r="C39" s="211"/>
      <c r="D39" s="211"/>
      <c r="E39" s="211"/>
      <c r="F39" s="208"/>
      <c r="G39" s="209">
        <f>SUM(B39:F39)</f>
        <v>0</v>
      </c>
      <c r="H39" s="211"/>
      <c r="I39" s="211"/>
      <c r="J39" s="211"/>
      <c r="K39" s="211"/>
      <c r="L39" s="208"/>
      <c r="M39" s="207">
        <f>SUM(H39:L39)</f>
        <v>0</v>
      </c>
      <c r="N39" s="211"/>
      <c r="O39" s="211"/>
      <c r="P39" s="211"/>
      <c r="Q39" s="211"/>
      <c r="R39" s="208"/>
      <c r="S39" s="207">
        <f>SUM(N39:R39)</f>
        <v>0</v>
      </c>
      <c r="T39" s="211"/>
      <c r="U39" s="211"/>
      <c r="V39" s="211"/>
      <c r="W39" s="211"/>
      <c r="X39" s="208"/>
      <c r="Y39" s="207">
        <f>SUM(T39:X39)</f>
        <v>0</v>
      </c>
      <c r="Z39" s="211"/>
      <c r="AA39" s="211"/>
      <c r="AB39" s="211"/>
      <c r="AC39" s="211"/>
      <c r="AD39" s="208"/>
      <c r="AE39" s="207">
        <f>SUM(Z39:AD39)</f>
        <v>0</v>
      </c>
      <c r="AF39" s="211"/>
      <c r="AG39" s="211"/>
      <c r="AH39" s="211"/>
      <c r="AI39" s="211"/>
      <c r="AJ39" s="208"/>
      <c r="AK39" s="207">
        <f>SUM(AF39:AJ39)</f>
        <v>0</v>
      </c>
    </row>
    <row r="40" spans="1:37" s="210" customFormat="1" ht="22.5" customHeight="1" thickBot="1">
      <c r="A40" s="214" t="s">
        <v>34</v>
      </c>
      <c r="B40" s="215"/>
      <c r="C40" s="215"/>
      <c r="D40" s="215"/>
      <c r="E40" s="215"/>
      <c r="F40" s="215"/>
      <c r="G40" s="217"/>
      <c r="H40" s="215"/>
      <c r="I40" s="215"/>
      <c r="J40" s="215"/>
      <c r="K40" s="215"/>
      <c r="L40" s="215"/>
      <c r="M40" s="216">
        <f>L40</f>
        <v>0</v>
      </c>
      <c r="N40" s="215"/>
      <c r="O40" s="215"/>
      <c r="P40" s="215"/>
      <c r="Q40" s="215"/>
      <c r="R40" s="215"/>
      <c r="S40" s="216">
        <f>SUM(N40:R40)</f>
        <v>0</v>
      </c>
      <c r="T40" s="215"/>
      <c r="U40" s="215"/>
      <c r="V40" s="215"/>
      <c r="W40" s="215"/>
      <c r="X40" s="215"/>
      <c r="Y40" s="216">
        <f>SUM(T40:X40)</f>
        <v>0</v>
      </c>
      <c r="Z40" s="215"/>
      <c r="AA40" s="215"/>
      <c r="AB40" s="215"/>
      <c r="AC40" s="215"/>
      <c r="AD40" s="215"/>
      <c r="AE40" s="216">
        <f>SUM(Z40:AD40)</f>
        <v>0</v>
      </c>
      <c r="AF40" s="215"/>
      <c r="AG40" s="215"/>
      <c r="AH40" s="215"/>
      <c r="AI40" s="215"/>
      <c r="AJ40" s="215"/>
      <c r="AK40" s="216">
        <f>SUM(AF40:AJ40)</f>
        <v>0</v>
      </c>
    </row>
    <row r="41" spans="1:37" ht="22.5" customHeight="1"/>
    <row r="42" spans="1:37" ht="22.5" customHeight="1"/>
  </sheetData>
  <mergeCells count="30">
    <mergeCell ref="Z2:AD2"/>
    <mergeCell ref="AF2:AJ2"/>
    <mergeCell ref="B4:F4"/>
    <mergeCell ref="B2:F2"/>
    <mergeCell ref="H2:L2"/>
    <mergeCell ref="N2:R2"/>
    <mergeCell ref="T2:X2"/>
    <mergeCell ref="Z5:AE5"/>
    <mergeCell ref="AF5:AK5"/>
    <mergeCell ref="H4:L4"/>
    <mergeCell ref="N4:R4"/>
    <mergeCell ref="T4:X4"/>
    <mergeCell ref="Z4:AD4"/>
    <mergeCell ref="AF4:AJ4"/>
    <mergeCell ref="B17:G17"/>
    <mergeCell ref="B5:G5"/>
    <mergeCell ref="H5:M5"/>
    <mergeCell ref="N5:S5"/>
    <mergeCell ref="T5:Y5"/>
    <mergeCell ref="AF28:AK28"/>
    <mergeCell ref="H17:M17"/>
    <mergeCell ref="N17:S17"/>
    <mergeCell ref="T17:Y17"/>
    <mergeCell ref="Z17:AE17"/>
    <mergeCell ref="AF17:AK17"/>
    <mergeCell ref="B28:G28"/>
    <mergeCell ref="H28:M28"/>
    <mergeCell ref="N28:S28"/>
    <mergeCell ref="T28:Y28"/>
    <mergeCell ref="Z28:AE28"/>
  </mergeCells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E2FB-0513-4E11-A0BC-2086EF52B496}">
  <dimension ref="A1:BO73"/>
  <sheetViews>
    <sheetView showGridLines="0" topLeftCell="A13" zoomScale="89" zoomScaleNormal="89" workbookViewId="0">
      <pane xSplit="1" topLeftCell="AI60" activePane="topRight" state="frozen"/>
      <selection pane="topRight" activeCell="AJ60" sqref="AJ60"/>
    </sheetView>
  </sheetViews>
  <sheetFormatPr defaultColWidth="5.7109375" defaultRowHeight="15"/>
  <cols>
    <col min="1" max="1" width="32" style="10" bestFit="1" customWidth="1"/>
    <col min="2" max="4" width="14.7109375" style="9" bestFit="1" customWidth="1"/>
    <col min="5" max="6" width="14.42578125" style="9" bestFit="1" customWidth="1"/>
    <col min="7" max="7" width="18" style="9" customWidth="1"/>
    <col min="8" max="10" width="14.7109375" style="9" bestFit="1" customWidth="1"/>
    <col min="11" max="12" width="14.42578125" style="9" bestFit="1" customWidth="1"/>
    <col min="13" max="13" width="18" style="9" customWidth="1"/>
    <col min="14" max="16" width="14.7109375" style="9" bestFit="1" customWidth="1"/>
    <col min="17" max="18" width="14.42578125" style="9" bestFit="1" customWidth="1"/>
    <col min="19" max="19" width="18" style="9" customWidth="1"/>
    <col min="20" max="22" width="14.7109375" style="9" bestFit="1" customWidth="1"/>
    <col min="23" max="24" width="14.42578125" style="9" bestFit="1" customWidth="1"/>
    <col min="25" max="25" width="18" style="9" customWidth="1"/>
    <col min="26" max="28" width="14.7109375" style="9" bestFit="1" customWidth="1"/>
    <col min="29" max="30" width="14.42578125" style="9" bestFit="1" customWidth="1"/>
    <col min="31" max="31" width="18" style="9" customWidth="1"/>
    <col min="32" max="34" width="14.7109375" style="9" bestFit="1" customWidth="1"/>
    <col min="35" max="36" width="14.42578125" style="9" bestFit="1" customWidth="1"/>
    <col min="37" max="37" width="18" style="9" customWidth="1"/>
    <col min="38" max="38" width="11.85546875" style="1" customWidth="1"/>
    <col min="39" max="39" width="11.42578125" style="1" customWidth="1"/>
    <col min="40" max="40" width="11.85546875" style="1" customWidth="1"/>
    <col min="41" max="41" width="11.7109375" style="1" customWidth="1"/>
    <col min="42" max="42" width="11.28515625" style="1" customWidth="1"/>
    <col min="43" max="44" width="11.7109375" style="1" customWidth="1"/>
    <col min="45" max="45" width="11.42578125" style="1" customWidth="1"/>
    <col min="46" max="46" width="11.85546875" style="1" customWidth="1"/>
    <col min="47" max="47" width="11.7109375" style="1" customWidth="1"/>
    <col min="48" max="48" width="10.85546875" style="1" customWidth="1"/>
    <col min="49" max="49" width="11.42578125" style="1" customWidth="1"/>
    <col min="50" max="50" width="11.85546875" style="1" customWidth="1"/>
    <col min="51" max="51" width="11.42578125" style="1" customWidth="1"/>
    <col min="52" max="52" width="11.85546875" style="1" customWidth="1"/>
    <col min="53" max="53" width="11.28515625" style="1" customWidth="1"/>
    <col min="54" max="54" width="12.42578125" style="1" customWidth="1"/>
    <col min="55" max="55" width="11.7109375" style="1" customWidth="1"/>
    <col min="56" max="56" width="17.28515625" style="1" customWidth="1"/>
    <col min="57" max="58" width="11.7109375" style="1" customWidth="1"/>
    <col min="59" max="59" width="11.85546875" style="1" customWidth="1"/>
    <col min="60" max="60" width="10.85546875" style="1" customWidth="1"/>
    <col min="61" max="61" width="13.5703125" style="1" customWidth="1"/>
    <col min="62" max="62" width="17.140625" style="1" customWidth="1"/>
    <col min="63" max="63" width="11.7109375" style="1" customWidth="1"/>
    <col min="64" max="64" width="11.42578125" style="1" customWidth="1"/>
    <col min="65" max="65" width="11.7109375" style="1" customWidth="1"/>
    <col min="66" max="66" width="11.42578125" style="1" customWidth="1"/>
    <col min="67" max="67" width="11.7109375" style="1" customWidth="1"/>
    <col min="68" max="16384" width="5.7109375" style="1"/>
  </cols>
  <sheetData>
    <row r="1" spans="1:67" ht="40.5" customHeight="1" thickBot="1">
      <c r="A1" s="523"/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67" ht="40.5" customHeight="1" thickBot="1">
      <c r="A2" s="87"/>
      <c r="B2" s="520" t="s">
        <v>35</v>
      </c>
      <c r="C2" s="521"/>
      <c r="D2" s="521"/>
      <c r="E2" s="521"/>
      <c r="F2" s="521"/>
      <c r="G2" s="88"/>
      <c r="H2" s="520" t="s">
        <v>36</v>
      </c>
      <c r="I2" s="521"/>
      <c r="J2" s="521"/>
      <c r="K2" s="521"/>
      <c r="L2" s="521"/>
      <c r="M2" s="88"/>
      <c r="N2" s="520" t="s">
        <v>37</v>
      </c>
      <c r="O2" s="521"/>
      <c r="P2" s="521"/>
      <c r="Q2" s="521"/>
      <c r="R2" s="521"/>
      <c r="S2" s="88"/>
      <c r="T2" s="520" t="s">
        <v>38</v>
      </c>
      <c r="U2" s="521"/>
      <c r="V2" s="521"/>
      <c r="W2" s="521"/>
      <c r="X2" s="521"/>
      <c r="Y2" s="88"/>
      <c r="Z2" s="520" t="s">
        <v>39</v>
      </c>
      <c r="AA2" s="521"/>
      <c r="AB2" s="521"/>
      <c r="AC2" s="521"/>
      <c r="AD2" s="521"/>
      <c r="AE2" s="88"/>
      <c r="AF2" s="520" t="s">
        <v>0</v>
      </c>
      <c r="AG2" s="521"/>
      <c r="AH2" s="521"/>
      <c r="AI2" s="521"/>
      <c r="AJ2" s="521"/>
      <c r="AK2" s="89"/>
      <c r="AL2" s="522" t="s">
        <v>1</v>
      </c>
      <c r="AM2" s="521"/>
      <c r="AN2" s="521"/>
      <c r="AO2" s="521"/>
      <c r="AP2" s="521"/>
      <c r="AQ2" s="88"/>
      <c r="AR2" s="520" t="s">
        <v>2</v>
      </c>
      <c r="AS2" s="521"/>
      <c r="AT2" s="521"/>
      <c r="AU2" s="521"/>
      <c r="AV2" s="521"/>
      <c r="AW2" s="88"/>
      <c r="AX2" s="520" t="s">
        <v>3</v>
      </c>
      <c r="AY2" s="521"/>
      <c r="AZ2" s="521"/>
      <c r="BA2" s="521"/>
      <c r="BB2" s="521"/>
      <c r="BC2" s="88"/>
      <c r="BD2" s="520" t="s">
        <v>4</v>
      </c>
      <c r="BE2" s="521"/>
      <c r="BF2" s="521"/>
      <c r="BG2" s="521"/>
      <c r="BH2" s="521"/>
      <c r="BI2" s="88"/>
      <c r="BJ2" s="520" t="s">
        <v>5</v>
      </c>
      <c r="BK2" s="521"/>
      <c r="BL2" s="521"/>
      <c r="BM2" s="521"/>
      <c r="BN2" s="521"/>
      <c r="BO2" s="88"/>
    </row>
    <row r="3" spans="1:67" ht="39" customHeight="1" thickBot="1">
      <c r="A3" s="90" t="s">
        <v>6</v>
      </c>
      <c r="B3" s="218" t="s">
        <v>7</v>
      </c>
      <c r="C3" s="218" t="s">
        <v>8</v>
      </c>
      <c r="D3" s="218" t="s">
        <v>9</v>
      </c>
      <c r="E3" s="218" t="s">
        <v>10</v>
      </c>
      <c r="F3" s="218" t="s">
        <v>11</v>
      </c>
      <c r="G3" s="14" t="s">
        <v>12</v>
      </c>
      <c r="H3" s="218" t="s">
        <v>7</v>
      </c>
      <c r="I3" s="218" t="s">
        <v>8</v>
      </c>
      <c r="J3" s="218" t="s">
        <v>9</v>
      </c>
      <c r="K3" s="218" t="s">
        <v>10</v>
      </c>
      <c r="L3" s="218" t="s">
        <v>11</v>
      </c>
      <c r="M3" s="14" t="s">
        <v>12</v>
      </c>
      <c r="N3" s="218" t="s">
        <v>7</v>
      </c>
      <c r="O3" s="218" t="s">
        <v>8</v>
      </c>
      <c r="P3" s="218" t="s">
        <v>9</v>
      </c>
      <c r="Q3" s="218" t="s">
        <v>10</v>
      </c>
      <c r="R3" s="218" t="s">
        <v>11</v>
      </c>
      <c r="S3" s="14" t="s">
        <v>12</v>
      </c>
      <c r="T3" s="218" t="s">
        <v>7</v>
      </c>
      <c r="U3" s="218" t="s">
        <v>8</v>
      </c>
      <c r="V3" s="218" t="s">
        <v>9</v>
      </c>
      <c r="W3" s="218" t="s">
        <v>10</v>
      </c>
      <c r="X3" s="218" t="s">
        <v>11</v>
      </c>
      <c r="Y3" s="14" t="s">
        <v>12</v>
      </c>
      <c r="Z3" s="218" t="s">
        <v>7</v>
      </c>
      <c r="AA3" s="218" t="s">
        <v>8</v>
      </c>
      <c r="AB3" s="218" t="s">
        <v>9</v>
      </c>
      <c r="AC3" s="218" t="s">
        <v>10</v>
      </c>
      <c r="AD3" s="218" t="s">
        <v>11</v>
      </c>
      <c r="AE3" s="14" t="s">
        <v>12</v>
      </c>
      <c r="AF3" s="218" t="s">
        <v>7</v>
      </c>
      <c r="AG3" s="218" t="s">
        <v>8</v>
      </c>
      <c r="AH3" s="218" t="s">
        <v>9</v>
      </c>
      <c r="AI3" s="218" t="s">
        <v>10</v>
      </c>
      <c r="AJ3" s="218" t="s">
        <v>11</v>
      </c>
      <c r="AK3" s="91" t="s">
        <v>12</v>
      </c>
      <c r="AL3" s="218" t="s">
        <v>7</v>
      </c>
      <c r="AM3" s="218" t="s">
        <v>8</v>
      </c>
      <c r="AN3" s="218" t="s">
        <v>9</v>
      </c>
      <c r="AO3" s="218" t="s">
        <v>10</v>
      </c>
      <c r="AP3" s="218" t="s">
        <v>11</v>
      </c>
      <c r="AQ3" s="14" t="s">
        <v>12</v>
      </c>
      <c r="AR3" s="218" t="s">
        <v>7</v>
      </c>
      <c r="AS3" s="218" t="s">
        <v>8</v>
      </c>
      <c r="AT3" s="218" t="s">
        <v>9</v>
      </c>
      <c r="AU3" s="218" t="s">
        <v>10</v>
      </c>
      <c r="AV3" s="218" t="s">
        <v>11</v>
      </c>
      <c r="AW3" s="14" t="s">
        <v>12</v>
      </c>
      <c r="AX3" s="218" t="s">
        <v>7</v>
      </c>
      <c r="AY3" s="218" t="s">
        <v>8</v>
      </c>
      <c r="AZ3" s="218" t="s">
        <v>9</v>
      </c>
      <c r="BA3" s="218" t="s">
        <v>10</v>
      </c>
      <c r="BB3" s="218" t="s">
        <v>11</v>
      </c>
      <c r="BC3" s="14" t="s">
        <v>12</v>
      </c>
      <c r="BD3" s="218" t="s">
        <v>7</v>
      </c>
      <c r="BE3" s="218" t="s">
        <v>8</v>
      </c>
      <c r="BF3" s="218" t="s">
        <v>9</v>
      </c>
      <c r="BG3" s="218" t="s">
        <v>10</v>
      </c>
      <c r="BH3" s="218" t="s">
        <v>11</v>
      </c>
      <c r="BI3" s="14" t="s">
        <v>12</v>
      </c>
      <c r="BJ3" s="218" t="s">
        <v>7</v>
      </c>
      <c r="BK3" s="218" t="s">
        <v>8</v>
      </c>
      <c r="BL3" s="218" t="s">
        <v>9</v>
      </c>
      <c r="BM3" s="218" t="s">
        <v>10</v>
      </c>
      <c r="BN3" s="218" t="s">
        <v>11</v>
      </c>
      <c r="BO3" s="14" t="s">
        <v>12</v>
      </c>
    </row>
    <row r="4" spans="1:67" ht="22.5" customHeight="1" thickBot="1">
      <c r="A4" s="92"/>
      <c r="B4" s="516" t="s">
        <v>13</v>
      </c>
      <c r="C4" s="516"/>
      <c r="D4" s="516"/>
      <c r="E4" s="516"/>
      <c r="F4" s="516"/>
      <c r="G4" s="85"/>
      <c r="H4" s="516" t="s">
        <v>13</v>
      </c>
      <c r="I4" s="516"/>
      <c r="J4" s="516"/>
      <c r="K4" s="516"/>
      <c r="L4" s="516"/>
      <c r="M4" s="85"/>
      <c r="N4" s="516" t="s">
        <v>13</v>
      </c>
      <c r="O4" s="516"/>
      <c r="P4" s="516"/>
      <c r="Q4" s="516"/>
      <c r="R4" s="516"/>
      <c r="S4" s="85"/>
      <c r="T4" s="516" t="s">
        <v>13</v>
      </c>
      <c r="U4" s="516"/>
      <c r="V4" s="516"/>
      <c r="W4" s="516"/>
      <c r="X4" s="516"/>
      <c r="Y4" s="85"/>
      <c r="Z4" s="516" t="s">
        <v>13</v>
      </c>
      <c r="AA4" s="516"/>
      <c r="AB4" s="516"/>
      <c r="AC4" s="516"/>
      <c r="AD4" s="516"/>
      <c r="AE4" s="85"/>
      <c r="AF4" s="516" t="s">
        <v>13</v>
      </c>
      <c r="AG4" s="516"/>
      <c r="AH4" s="516"/>
      <c r="AI4" s="516"/>
      <c r="AJ4" s="516"/>
      <c r="AK4" s="111"/>
      <c r="AL4" s="515" t="s">
        <v>13</v>
      </c>
      <c r="AM4" s="516"/>
      <c r="AN4" s="516"/>
      <c r="AO4" s="516"/>
      <c r="AP4" s="516"/>
      <c r="AQ4" s="85"/>
      <c r="AR4" s="516" t="s">
        <v>13</v>
      </c>
      <c r="AS4" s="516"/>
      <c r="AT4" s="516"/>
      <c r="AU4" s="516"/>
      <c r="AV4" s="516"/>
      <c r="AW4" s="85"/>
      <c r="AX4" s="516" t="s">
        <v>13</v>
      </c>
      <c r="AY4" s="516"/>
      <c r="AZ4" s="516"/>
      <c r="BA4" s="516"/>
      <c r="BB4" s="516"/>
      <c r="BC4" s="85"/>
      <c r="BD4" s="516" t="s">
        <v>13</v>
      </c>
      <c r="BE4" s="516"/>
      <c r="BF4" s="516"/>
      <c r="BG4" s="516"/>
      <c r="BH4" s="516"/>
      <c r="BI4" s="85"/>
      <c r="BJ4" s="516" t="s">
        <v>13</v>
      </c>
      <c r="BK4" s="516"/>
      <c r="BL4" s="516"/>
      <c r="BM4" s="516"/>
      <c r="BN4" s="516"/>
      <c r="BO4" s="85"/>
    </row>
    <row r="5" spans="1:67" s="194" customFormat="1" ht="22.5" customHeight="1" thickBot="1">
      <c r="A5" s="193" t="s">
        <v>14</v>
      </c>
      <c r="B5" s="509" t="s">
        <v>15</v>
      </c>
      <c r="C5" s="510"/>
      <c r="D5" s="510"/>
      <c r="E5" s="510"/>
      <c r="F5" s="510"/>
      <c r="G5" s="511"/>
      <c r="H5" s="509" t="s">
        <v>15</v>
      </c>
      <c r="I5" s="510"/>
      <c r="J5" s="510"/>
      <c r="K5" s="510"/>
      <c r="L5" s="510"/>
      <c r="M5" s="511"/>
      <c r="N5" s="509" t="s">
        <v>15</v>
      </c>
      <c r="O5" s="510"/>
      <c r="P5" s="510"/>
      <c r="Q5" s="510"/>
      <c r="R5" s="510"/>
      <c r="S5" s="511"/>
      <c r="T5" s="509" t="s">
        <v>15</v>
      </c>
      <c r="U5" s="510"/>
      <c r="V5" s="510"/>
      <c r="W5" s="510"/>
      <c r="X5" s="510"/>
      <c r="Y5" s="511"/>
      <c r="Z5" s="509" t="s">
        <v>15</v>
      </c>
      <c r="AA5" s="510"/>
      <c r="AB5" s="510"/>
      <c r="AC5" s="510"/>
      <c r="AD5" s="510"/>
      <c r="AE5" s="511"/>
      <c r="AF5" s="509" t="s">
        <v>15</v>
      </c>
      <c r="AG5" s="510"/>
      <c r="AH5" s="510"/>
      <c r="AI5" s="510"/>
      <c r="AJ5" s="510"/>
      <c r="AK5" s="511"/>
      <c r="AL5" s="509" t="s">
        <v>15</v>
      </c>
      <c r="AM5" s="510"/>
      <c r="AN5" s="510"/>
      <c r="AO5" s="510"/>
      <c r="AP5" s="510"/>
      <c r="AQ5" s="511"/>
      <c r="AR5" s="509" t="s">
        <v>15</v>
      </c>
      <c r="AS5" s="510"/>
      <c r="AT5" s="510"/>
      <c r="AU5" s="510"/>
      <c r="AV5" s="510"/>
      <c r="AW5" s="511"/>
      <c r="AX5" s="509" t="s">
        <v>15</v>
      </c>
      <c r="AY5" s="510"/>
      <c r="AZ5" s="510"/>
      <c r="BA5" s="510"/>
      <c r="BB5" s="510"/>
      <c r="BC5" s="511"/>
      <c r="BD5" s="509" t="s">
        <v>15</v>
      </c>
      <c r="BE5" s="510"/>
      <c r="BF5" s="510"/>
      <c r="BG5" s="510"/>
      <c r="BH5" s="510"/>
      <c r="BI5" s="511"/>
      <c r="BJ5" s="509" t="s">
        <v>15</v>
      </c>
      <c r="BK5" s="510"/>
      <c r="BL5" s="510"/>
      <c r="BM5" s="510"/>
      <c r="BN5" s="510"/>
      <c r="BO5" s="511"/>
    </row>
    <row r="6" spans="1:67" s="210" customFormat="1" ht="22.5" customHeight="1">
      <c r="A6" s="203" t="s">
        <v>40</v>
      </c>
      <c r="B6" s="204">
        <v>95</v>
      </c>
      <c r="C6" s="204">
        <v>79</v>
      </c>
      <c r="D6" s="204"/>
      <c r="E6" s="204">
        <v>84.2</v>
      </c>
      <c r="F6" s="204"/>
      <c r="G6" s="205">
        <f>AVERAGE(B6:F6)</f>
        <v>86.066666666666663</v>
      </c>
      <c r="H6" s="204">
        <v>84.2</v>
      </c>
      <c r="I6" s="204">
        <v>94.7</v>
      </c>
      <c r="J6" s="206">
        <v>100</v>
      </c>
      <c r="K6" s="206">
        <v>100</v>
      </c>
      <c r="L6" s="206"/>
      <c r="M6" s="207">
        <f>AVERAGE(H6:L6)</f>
        <v>94.724999999999994</v>
      </c>
      <c r="N6" s="208">
        <v>89.5</v>
      </c>
      <c r="O6" s="208"/>
      <c r="P6" s="208"/>
      <c r="Q6" s="208">
        <v>78.900000000000006</v>
      </c>
      <c r="R6" s="208">
        <v>84.2</v>
      </c>
      <c r="S6" s="207">
        <f>AVERAGE(N6:R6)</f>
        <v>84.2</v>
      </c>
      <c r="T6" s="208">
        <v>89.5</v>
      </c>
      <c r="U6" s="208">
        <v>78.900000000000006</v>
      </c>
      <c r="V6" s="208">
        <v>74</v>
      </c>
      <c r="W6" s="208">
        <v>73.7</v>
      </c>
      <c r="X6" s="208"/>
      <c r="Y6" s="207">
        <f>AVERAGE(T6:X6)</f>
        <v>79.025000000000006</v>
      </c>
      <c r="Z6" s="208">
        <v>87</v>
      </c>
      <c r="AA6" s="208">
        <v>100</v>
      </c>
      <c r="AB6" s="208" t="s">
        <v>21</v>
      </c>
      <c r="AC6" s="208">
        <v>93</v>
      </c>
      <c r="AD6" s="208"/>
      <c r="AE6" s="212">
        <f>AVERAGE(Z6:AD6)</f>
        <v>93.333333333333329</v>
      </c>
      <c r="AF6" s="208" t="s">
        <v>21</v>
      </c>
      <c r="AG6" s="208">
        <v>85</v>
      </c>
      <c r="AH6" s="208" t="s">
        <v>21</v>
      </c>
      <c r="AI6" s="208" t="s">
        <v>21</v>
      </c>
      <c r="AJ6" s="208"/>
      <c r="AK6" s="209">
        <f>AVERAGE(AF6:AJ6)</f>
        <v>85</v>
      </c>
      <c r="AL6" s="204">
        <v>100</v>
      </c>
      <c r="AM6" s="204">
        <v>80</v>
      </c>
      <c r="AN6" s="204">
        <v>75</v>
      </c>
      <c r="AO6" s="204" t="s">
        <v>21</v>
      </c>
      <c r="AP6" s="204"/>
      <c r="AQ6" s="205">
        <f>AVERAGE(AL6:AP6)</f>
        <v>85</v>
      </c>
      <c r="AR6" s="204">
        <v>90</v>
      </c>
      <c r="AS6" s="204" t="s">
        <v>21</v>
      </c>
      <c r="AT6" s="206" t="s">
        <v>21</v>
      </c>
      <c r="AU6" s="206" t="s">
        <v>21</v>
      </c>
      <c r="AV6" s="206">
        <v>80</v>
      </c>
      <c r="AW6" s="207">
        <f>AVERAGE(AR6:AV6)</f>
        <v>85</v>
      </c>
      <c r="AX6" s="208">
        <v>85</v>
      </c>
      <c r="AY6" s="208" t="s">
        <v>21</v>
      </c>
      <c r="AZ6" s="208">
        <v>90</v>
      </c>
      <c r="BA6" s="208" t="s">
        <v>21</v>
      </c>
      <c r="BB6" s="208" t="s">
        <v>21</v>
      </c>
      <c r="BC6" s="207">
        <f>AVERAGE(AX6:BB6)</f>
        <v>87.5</v>
      </c>
      <c r="BD6" s="208"/>
      <c r="BE6" s="208">
        <v>65</v>
      </c>
      <c r="BF6" s="208">
        <v>80</v>
      </c>
      <c r="BG6" s="208">
        <v>95</v>
      </c>
      <c r="BH6" s="208"/>
      <c r="BI6" s="207">
        <f>AVERAGE(BD6:BH6)</f>
        <v>80</v>
      </c>
      <c r="BJ6" s="208"/>
      <c r="BK6" s="208"/>
      <c r="BL6" s="208"/>
      <c r="BM6" s="208"/>
      <c r="BN6" s="208"/>
      <c r="BO6" s="207"/>
    </row>
    <row r="7" spans="1:67" s="210" customFormat="1" ht="22.5" customHeight="1">
      <c r="A7" s="203" t="s">
        <v>41</v>
      </c>
      <c r="B7" s="211">
        <v>47.4</v>
      </c>
      <c r="C7" s="211">
        <v>31.6</v>
      </c>
      <c r="D7" s="211"/>
      <c r="E7" s="211">
        <v>36.799999999999997</v>
      </c>
      <c r="F7" s="211"/>
      <c r="G7" s="205">
        <f t="shared" ref="G7:G26" si="0">AVERAGE(B7:F7)</f>
        <v>38.6</v>
      </c>
      <c r="H7" s="211">
        <v>47.4</v>
      </c>
      <c r="I7" s="211">
        <v>63.2</v>
      </c>
      <c r="J7" s="208">
        <v>73.7</v>
      </c>
      <c r="K7" s="208">
        <v>78.900000000000006</v>
      </c>
      <c r="L7" s="208"/>
      <c r="M7" s="207">
        <f t="shared" ref="M7:M18" si="1">AVERAGE(H7:L7)</f>
        <v>65.800000000000011</v>
      </c>
      <c r="N7" s="208">
        <v>73.7</v>
      </c>
      <c r="O7" s="211"/>
      <c r="P7" s="208"/>
      <c r="Q7" s="208">
        <v>63.2</v>
      </c>
      <c r="R7" s="208">
        <v>63.2</v>
      </c>
      <c r="S7" s="207">
        <f>AVERAGE(N7:R7)</f>
        <v>66.7</v>
      </c>
      <c r="T7" s="208">
        <v>78.900000000000006</v>
      </c>
      <c r="U7" s="208">
        <v>78.900000000000006</v>
      </c>
      <c r="V7" s="208">
        <v>68</v>
      </c>
      <c r="W7" s="208">
        <v>78.900000000000006</v>
      </c>
      <c r="X7" s="208"/>
      <c r="Y7" s="207">
        <f>AVERAGE(T7:X7)</f>
        <v>76.175000000000011</v>
      </c>
      <c r="Z7" s="208" t="s">
        <v>21</v>
      </c>
      <c r="AA7" s="208">
        <v>75</v>
      </c>
      <c r="AB7" s="208" t="s">
        <v>21</v>
      </c>
      <c r="AC7" s="208">
        <v>93.8</v>
      </c>
      <c r="AD7" s="208"/>
      <c r="AE7" s="212">
        <f t="shared" ref="AE7:AE18" si="2">AVERAGE(Z7:AD7)</f>
        <v>84.4</v>
      </c>
      <c r="AF7" s="208" t="s">
        <v>21</v>
      </c>
      <c r="AG7" s="208">
        <v>81.3</v>
      </c>
      <c r="AH7" s="208">
        <v>81</v>
      </c>
      <c r="AI7" s="208" t="s">
        <v>21</v>
      </c>
      <c r="AJ7" s="208"/>
      <c r="AK7" s="209">
        <f t="shared" ref="AK7:AK20" si="3">AVERAGE(AF7:AJ7)</f>
        <v>81.150000000000006</v>
      </c>
      <c r="AL7" s="211">
        <v>92</v>
      </c>
      <c r="AM7" s="211" t="s">
        <v>21</v>
      </c>
      <c r="AN7" s="211">
        <v>83</v>
      </c>
      <c r="AO7" s="211">
        <v>75</v>
      </c>
      <c r="AP7" s="211"/>
      <c r="AQ7" s="205">
        <f>AVERAGE(AL7:AP7)</f>
        <v>83.333333333333329</v>
      </c>
      <c r="AR7" s="211">
        <v>100</v>
      </c>
      <c r="AS7" s="211" t="s">
        <v>21</v>
      </c>
      <c r="AT7" s="208" t="s">
        <v>21</v>
      </c>
      <c r="AU7" s="208" t="s">
        <v>21</v>
      </c>
      <c r="AV7" s="208" t="s">
        <v>21</v>
      </c>
      <c r="AW7" s="207">
        <f t="shared" ref="AW7:AW20" si="4">AVERAGE(AR7:AV7)</f>
        <v>100</v>
      </c>
      <c r="AX7" s="208" t="s">
        <v>21</v>
      </c>
      <c r="AY7" s="211" t="s">
        <v>21</v>
      </c>
      <c r="AZ7" s="211" t="s">
        <v>21</v>
      </c>
      <c r="BA7" s="211" t="s">
        <v>21</v>
      </c>
      <c r="BB7" s="211" t="s">
        <v>21</v>
      </c>
      <c r="BC7" s="207"/>
      <c r="BD7" s="208"/>
      <c r="BE7" s="208"/>
      <c r="BF7" s="208"/>
      <c r="BG7" s="208"/>
      <c r="BH7" s="208"/>
      <c r="BI7" s="207"/>
      <c r="BJ7" s="208"/>
      <c r="BK7" s="208"/>
      <c r="BL7" s="208"/>
      <c r="BM7" s="208"/>
      <c r="BN7" s="208"/>
      <c r="BO7" s="207"/>
    </row>
    <row r="8" spans="1:67" s="210" customFormat="1" ht="22.5" customHeight="1">
      <c r="A8" s="203" t="s">
        <v>42</v>
      </c>
      <c r="B8" s="211">
        <v>100</v>
      </c>
      <c r="C8" s="211">
        <v>81.099999999999994</v>
      </c>
      <c r="D8" s="211"/>
      <c r="E8" s="211">
        <v>75.7</v>
      </c>
      <c r="F8" s="211"/>
      <c r="G8" s="205">
        <f t="shared" si="0"/>
        <v>85.600000000000009</v>
      </c>
      <c r="H8" s="211">
        <v>89.2</v>
      </c>
      <c r="I8" s="211">
        <v>73</v>
      </c>
      <c r="J8" s="208">
        <v>83.8</v>
      </c>
      <c r="K8" s="208" t="s">
        <v>43</v>
      </c>
      <c r="L8" s="208"/>
      <c r="M8" s="207">
        <f t="shared" si="1"/>
        <v>82</v>
      </c>
      <c r="N8" s="211">
        <v>100</v>
      </c>
      <c r="O8" s="211"/>
      <c r="P8" s="208"/>
      <c r="Q8" s="208">
        <v>83.8</v>
      </c>
      <c r="R8" s="208">
        <v>86.5</v>
      </c>
      <c r="S8" s="207">
        <f>AVERAGE(N8:R8)</f>
        <v>90.100000000000009</v>
      </c>
      <c r="T8" s="208">
        <v>75.7</v>
      </c>
      <c r="U8" s="208">
        <v>76</v>
      </c>
      <c r="V8" s="208">
        <v>73</v>
      </c>
      <c r="W8" s="208">
        <v>86.5</v>
      </c>
      <c r="X8" s="208"/>
      <c r="Y8" s="207">
        <f>AVERAGE(T8:X8)</f>
        <v>77.8</v>
      </c>
      <c r="Z8" s="208">
        <v>79</v>
      </c>
      <c r="AA8" s="208">
        <v>87</v>
      </c>
      <c r="AB8" s="208" t="s">
        <v>21</v>
      </c>
      <c r="AC8" s="208">
        <v>82</v>
      </c>
      <c r="AD8" s="208"/>
      <c r="AE8" s="212">
        <f t="shared" si="2"/>
        <v>82.666666666666671</v>
      </c>
      <c r="AF8" s="208" t="s">
        <v>21</v>
      </c>
      <c r="AG8" s="208" t="s">
        <v>21</v>
      </c>
      <c r="AH8" s="208" t="s">
        <v>21</v>
      </c>
      <c r="AI8" s="208" t="s">
        <v>21</v>
      </c>
      <c r="AJ8" s="208" t="s">
        <v>21</v>
      </c>
      <c r="AK8" s="209"/>
      <c r="AL8" s="211">
        <v>97</v>
      </c>
      <c r="AM8" s="211" t="s">
        <v>21</v>
      </c>
      <c r="AN8" s="211" t="s">
        <v>21</v>
      </c>
      <c r="AO8" s="211">
        <v>100</v>
      </c>
      <c r="AP8" s="211"/>
      <c r="AQ8" s="205">
        <f t="shared" ref="AQ8:AQ27" si="5">AVERAGE(AL8:AP8)</f>
        <v>98.5</v>
      </c>
      <c r="AR8" s="211">
        <v>76</v>
      </c>
      <c r="AS8" s="211">
        <v>73</v>
      </c>
      <c r="AT8" s="208" t="s">
        <v>21</v>
      </c>
      <c r="AU8" s="208" t="s">
        <v>21</v>
      </c>
      <c r="AV8" s="208" t="s">
        <v>21</v>
      </c>
      <c r="AW8" s="207">
        <f t="shared" si="4"/>
        <v>74.5</v>
      </c>
      <c r="AX8" s="211">
        <v>81</v>
      </c>
      <c r="AY8" s="211" t="s">
        <v>21</v>
      </c>
      <c r="AZ8" s="208">
        <v>81</v>
      </c>
      <c r="BA8" s="208" t="s">
        <v>21</v>
      </c>
      <c r="BB8" s="208" t="s">
        <v>21</v>
      </c>
      <c r="BC8" s="207">
        <f t="shared" ref="BC8:BC21" si="6">AVERAGE(AX8:BB8)</f>
        <v>81</v>
      </c>
      <c r="BD8" s="208">
        <v>67</v>
      </c>
      <c r="BE8" s="208" t="s">
        <v>21</v>
      </c>
      <c r="BF8" s="208">
        <v>83</v>
      </c>
      <c r="BG8" s="208"/>
      <c r="BH8" s="208"/>
      <c r="BI8" s="207">
        <f t="shared" ref="BI8:BI21" si="7">AVERAGE(BD8:BH8)</f>
        <v>75</v>
      </c>
      <c r="BJ8" s="208"/>
      <c r="BK8" s="208"/>
      <c r="BL8" s="208"/>
      <c r="BM8" s="208"/>
      <c r="BN8" s="208"/>
      <c r="BO8" s="207"/>
    </row>
    <row r="9" spans="1:67" s="210" customFormat="1" ht="22.5" customHeight="1">
      <c r="A9" s="203" t="s">
        <v>44</v>
      </c>
      <c r="B9" s="211">
        <v>100</v>
      </c>
      <c r="C9" s="211">
        <v>78.8</v>
      </c>
      <c r="D9" s="211"/>
      <c r="E9" s="211">
        <v>87.9</v>
      </c>
      <c r="F9" s="211"/>
      <c r="G9" s="205">
        <f t="shared" si="0"/>
        <v>88.90000000000002</v>
      </c>
      <c r="H9" s="211">
        <v>81.8</v>
      </c>
      <c r="I9" s="211">
        <v>97</v>
      </c>
      <c r="J9" s="208" t="s">
        <v>45</v>
      </c>
      <c r="K9" s="208" t="s">
        <v>45</v>
      </c>
      <c r="L9" s="208"/>
      <c r="M9" s="207">
        <f t="shared" si="1"/>
        <v>89.4</v>
      </c>
      <c r="N9" s="211">
        <v>81.8</v>
      </c>
      <c r="O9" s="211"/>
      <c r="P9" s="208"/>
      <c r="Q9" s="208">
        <v>75.8</v>
      </c>
      <c r="R9" s="208">
        <v>84.8</v>
      </c>
      <c r="S9" s="207">
        <f>AVERAGE(N9:R9)</f>
        <v>80.8</v>
      </c>
      <c r="T9" s="208">
        <v>75.8</v>
      </c>
      <c r="U9" s="208"/>
      <c r="V9" s="208">
        <v>64</v>
      </c>
      <c r="W9" s="208">
        <v>81.8</v>
      </c>
      <c r="X9" s="208"/>
      <c r="Y9" s="207">
        <f>AVERAGE(T9:X9)</f>
        <v>73.866666666666674</v>
      </c>
      <c r="Z9" s="208">
        <v>84</v>
      </c>
      <c r="AA9" s="208">
        <v>91</v>
      </c>
      <c r="AB9" s="208" t="s">
        <v>21</v>
      </c>
      <c r="AC9" s="208" t="s">
        <v>21</v>
      </c>
      <c r="AD9" s="208"/>
      <c r="AE9" s="212">
        <f t="shared" si="2"/>
        <v>87.5</v>
      </c>
      <c r="AF9" s="208" t="s">
        <v>21</v>
      </c>
      <c r="AG9" s="208">
        <v>94</v>
      </c>
      <c r="AH9" s="208" t="s">
        <v>21</v>
      </c>
      <c r="AI9" s="208"/>
      <c r="AJ9" s="208"/>
      <c r="AK9" s="209">
        <f t="shared" si="3"/>
        <v>94</v>
      </c>
      <c r="AL9" s="211">
        <v>100</v>
      </c>
      <c r="AM9" s="211">
        <v>94</v>
      </c>
      <c r="AN9" s="211">
        <v>85</v>
      </c>
      <c r="AO9" s="211">
        <v>88</v>
      </c>
      <c r="AP9" s="211"/>
      <c r="AQ9" s="205">
        <f t="shared" si="5"/>
        <v>91.75</v>
      </c>
      <c r="AR9" s="211">
        <v>94</v>
      </c>
      <c r="AS9" s="211">
        <v>100</v>
      </c>
      <c r="AT9" s="208" t="s">
        <v>21</v>
      </c>
      <c r="AU9" s="208">
        <v>97</v>
      </c>
      <c r="AV9" s="208" t="s">
        <v>21</v>
      </c>
      <c r="AW9" s="207">
        <f t="shared" si="4"/>
        <v>97</v>
      </c>
      <c r="AX9" s="211">
        <v>84</v>
      </c>
      <c r="AY9" s="211" t="s">
        <v>21</v>
      </c>
      <c r="AZ9" s="208">
        <v>100</v>
      </c>
      <c r="BA9" s="208">
        <v>79</v>
      </c>
      <c r="BB9" s="208" t="s">
        <v>21</v>
      </c>
      <c r="BC9" s="207">
        <f t="shared" si="6"/>
        <v>87.666666666666671</v>
      </c>
      <c r="BD9" s="208"/>
      <c r="BE9" s="208">
        <v>82</v>
      </c>
      <c r="BF9" s="208">
        <v>82</v>
      </c>
      <c r="BG9" s="208"/>
      <c r="BH9" s="208"/>
      <c r="BI9" s="207">
        <f t="shared" si="7"/>
        <v>82</v>
      </c>
      <c r="BJ9" s="208">
        <v>87</v>
      </c>
      <c r="BK9" s="208"/>
      <c r="BL9" s="208"/>
      <c r="BM9" s="208"/>
      <c r="BN9" s="208"/>
      <c r="BO9" s="207">
        <f t="shared" ref="BO9:BO21" si="8">AVERAGE(BJ9:BN9)</f>
        <v>87</v>
      </c>
    </row>
    <row r="10" spans="1:67" s="210" customFormat="1" ht="22.5" customHeight="1">
      <c r="A10" s="203" t="s">
        <v>46</v>
      </c>
      <c r="B10" s="211">
        <v>100</v>
      </c>
      <c r="C10" s="211">
        <v>100</v>
      </c>
      <c r="D10" s="211"/>
      <c r="E10" s="211">
        <v>100</v>
      </c>
      <c r="F10" s="211"/>
      <c r="G10" s="205">
        <f t="shared" si="0"/>
        <v>100</v>
      </c>
      <c r="H10" s="211">
        <v>100</v>
      </c>
      <c r="I10" s="211">
        <v>100</v>
      </c>
      <c r="J10" s="208">
        <v>93.3</v>
      </c>
      <c r="K10" s="208">
        <v>100</v>
      </c>
      <c r="L10" s="208"/>
      <c r="M10" s="207">
        <f t="shared" si="1"/>
        <v>98.325000000000003</v>
      </c>
      <c r="N10" s="211"/>
      <c r="O10" s="211"/>
      <c r="P10" s="208"/>
      <c r="Q10" s="208"/>
      <c r="R10" s="208">
        <v>80</v>
      </c>
      <c r="S10" s="207"/>
      <c r="T10" s="208">
        <v>86.7</v>
      </c>
      <c r="U10" s="208">
        <v>80</v>
      </c>
      <c r="V10" s="208">
        <v>80</v>
      </c>
      <c r="W10" s="208">
        <v>73.3</v>
      </c>
      <c r="X10" s="208"/>
      <c r="Y10" s="207">
        <f t="shared" ref="Y10:Y26" si="9">AVERAGE(T10:X10)</f>
        <v>80</v>
      </c>
      <c r="Z10" s="208" t="s">
        <v>21</v>
      </c>
      <c r="AA10" s="208">
        <v>94</v>
      </c>
      <c r="AB10" s="208" t="s">
        <v>21</v>
      </c>
      <c r="AC10" s="208">
        <v>75</v>
      </c>
      <c r="AD10" s="208"/>
      <c r="AE10" s="212">
        <f t="shared" si="2"/>
        <v>84.5</v>
      </c>
      <c r="AF10" s="208" t="s">
        <v>21</v>
      </c>
      <c r="AG10" s="208" t="s">
        <v>21</v>
      </c>
      <c r="AH10" s="208" t="s">
        <v>21</v>
      </c>
      <c r="AI10" s="208" t="s">
        <v>21</v>
      </c>
      <c r="AJ10" s="208" t="s">
        <v>21</v>
      </c>
      <c r="AK10" s="209"/>
      <c r="AL10" s="211">
        <v>80</v>
      </c>
      <c r="AM10" s="211" t="s">
        <v>21</v>
      </c>
      <c r="AN10" s="211" t="s">
        <v>21</v>
      </c>
      <c r="AO10" s="211" t="s">
        <v>21</v>
      </c>
      <c r="AP10" s="211"/>
      <c r="AQ10" s="205">
        <f t="shared" si="5"/>
        <v>80</v>
      </c>
      <c r="AR10" s="211" t="s">
        <v>21</v>
      </c>
      <c r="AS10" s="211" t="s">
        <v>21</v>
      </c>
      <c r="AT10" s="208" t="s">
        <v>21</v>
      </c>
      <c r="AU10" s="208">
        <v>92</v>
      </c>
      <c r="AV10" s="208">
        <v>85</v>
      </c>
      <c r="AW10" s="207">
        <f t="shared" si="4"/>
        <v>88.5</v>
      </c>
      <c r="AX10" s="211">
        <v>100</v>
      </c>
      <c r="AY10" s="211" t="s">
        <v>21</v>
      </c>
      <c r="AZ10" s="208" t="s">
        <v>21</v>
      </c>
      <c r="BA10" s="208">
        <v>100</v>
      </c>
      <c r="BB10" s="208" t="s">
        <v>21</v>
      </c>
      <c r="BC10" s="207">
        <f t="shared" si="6"/>
        <v>100</v>
      </c>
      <c r="BD10" s="208">
        <v>100</v>
      </c>
      <c r="BE10" s="208">
        <v>100</v>
      </c>
      <c r="BF10" s="208">
        <v>83</v>
      </c>
      <c r="BG10" s="208"/>
      <c r="BH10" s="208"/>
      <c r="BI10" s="207">
        <f t="shared" si="7"/>
        <v>94.333333333333329</v>
      </c>
      <c r="BJ10" s="208"/>
      <c r="BK10" s="208"/>
      <c r="BL10" s="208"/>
      <c r="BM10" s="208"/>
      <c r="BN10" s="208"/>
      <c r="BO10" s="207"/>
    </row>
    <row r="11" spans="1:67" s="210" customFormat="1" ht="22.5" customHeight="1">
      <c r="A11" s="203" t="s">
        <v>47</v>
      </c>
      <c r="B11" s="211">
        <v>87</v>
      </c>
      <c r="C11" s="211">
        <v>60</v>
      </c>
      <c r="D11" s="211"/>
      <c r="E11" s="211">
        <v>100</v>
      </c>
      <c r="F11" s="211"/>
      <c r="G11" s="205">
        <f t="shared" si="0"/>
        <v>82.333333333333329</v>
      </c>
      <c r="H11" s="211">
        <v>100</v>
      </c>
      <c r="I11" s="211">
        <v>100</v>
      </c>
      <c r="J11" s="208">
        <v>100</v>
      </c>
      <c r="K11" s="208" t="s">
        <v>48</v>
      </c>
      <c r="L11" s="208"/>
      <c r="M11" s="207">
        <f t="shared" si="1"/>
        <v>100</v>
      </c>
      <c r="N11" s="211">
        <v>80</v>
      </c>
      <c r="O11" s="211"/>
      <c r="P11" s="208"/>
      <c r="Q11" s="208">
        <v>80</v>
      </c>
      <c r="R11" s="208">
        <v>93.3</v>
      </c>
      <c r="S11" s="207">
        <f t="shared" ref="S11:S18" si="10">AVERAGE(N11:R11)</f>
        <v>84.433333333333337</v>
      </c>
      <c r="T11" s="208">
        <v>93.3</v>
      </c>
      <c r="U11" s="208">
        <v>93.3</v>
      </c>
      <c r="V11" s="208">
        <v>87</v>
      </c>
      <c r="W11" s="208">
        <v>93.3</v>
      </c>
      <c r="X11" s="208"/>
      <c r="Y11" s="207">
        <f t="shared" si="9"/>
        <v>91.725000000000009</v>
      </c>
      <c r="Z11" s="208">
        <v>65</v>
      </c>
      <c r="AA11" s="208" t="s">
        <v>49</v>
      </c>
      <c r="AB11" s="208" t="s">
        <v>21</v>
      </c>
      <c r="AC11" s="208">
        <v>76</v>
      </c>
      <c r="AD11" s="208"/>
      <c r="AE11" s="212">
        <f t="shared" si="2"/>
        <v>70.5</v>
      </c>
      <c r="AF11" s="208" t="s">
        <v>21</v>
      </c>
      <c r="AG11" s="208">
        <v>88</v>
      </c>
      <c r="AH11" s="208" t="s">
        <v>21</v>
      </c>
      <c r="AI11" s="208" t="s">
        <v>21</v>
      </c>
      <c r="AJ11" s="208" t="s">
        <v>21</v>
      </c>
      <c r="AK11" s="209">
        <f t="shared" si="3"/>
        <v>88</v>
      </c>
      <c r="AL11" s="211">
        <v>93</v>
      </c>
      <c r="AM11" s="211" t="s">
        <v>21</v>
      </c>
      <c r="AN11" s="211" t="s">
        <v>21</v>
      </c>
      <c r="AO11" s="211" t="s">
        <v>21</v>
      </c>
      <c r="AP11" s="211"/>
      <c r="AQ11" s="205">
        <f t="shared" si="5"/>
        <v>93</v>
      </c>
      <c r="AR11" s="211" t="s">
        <v>21</v>
      </c>
      <c r="AS11" s="211" t="s">
        <v>21</v>
      </c>
      <c r="AT11" s="208" t="s">
        <v>21</v>
      </c>
      <c r="AU11" s="208">
        <v>93</v>
      </c>
      <c r="AV11" s="208">
        <v>79</v>
      </c>
      <c r="AW11" s="207">
        <f t="shared" si="4"/>
        <v>86</v>
      </c>
      <c r="AX11" s="208">
        <v>100</v>
      </c>
      <c r="AY11" s="211" t="s">
        <v>21</v>
      </c>
      <c r="AZ11" s="208">
        <v>100</v>
      </c>
      <c r="BA11" s="208"/>
      <c r="BB11" s="208" t="s">
        <v>21</v>
      </c>
      <c r="BC11" s="207">
        <f t="shared" si="6"/>
        <v>100</v>
      </c>
      <c r="BD11" s="208"/>
      <c r="BE11" s="208">
        <v>100</v>
      </c>
      <c r="BF11" s="208">
        <v>91</v>
      </c>
      <c r="BG11" s="208"/>
      <c r="BH11" s="208"/>
      <c r="BI11" s="207">
        <f t="shared" si="7"/>
        <v>95.5</v>
      </c>
      <c r="BJ11" s="208"/>
      <c r="BK11" s="208"/>
      <c r="BL11" s="208"/>
      <c r="BM11" s="208"/>
      <c r="BN11" s="208"/>
      <c r="BO11" s="207"/>
    </row>
    <row r="12" spans="1:67" s="210" customFormat="1" ht="22.5" customHeight="1">
      <c r="A12" s="219" t="s">
        <v>50</v>
      </c>
      <c r="B12" s="211"/>
      <c r="C12" s="211"/>
      <c r="D12" s="211"/>
      <c r="E12" s="211"/>
      <c r="F12" s="211"/>
      <c r="G12" s="205"/>
      <c r="H12" s="211"/>
      <c r="I12" s="211">
        <v>80</v>
      </c>
      <c r="J12" s="208">
        <v>70</v>
      </c>
      <c r="K12" s="208">
        <v>80</v>
      </c>
      <c r="L12" s="208"/>
      <c r="M12" s="207">
        <f>AVERAGE(H12:L12)</f>
        <v>76.666666666666671</v>
      </c>
      <c r="N12" s="208">
        <v>94.4</v>
      </c>
      <c r="O12" s="211"/>
      <c r="P12" s="208"/>
      <c r="Q12" s="208">
        <v>90</v>
      </c>
      <c r="R12" s="208">
        <v>60</v>
      </c>
      <c r="S12" s="207">
        <f t="shared" si="10"/>
        <v>81.466666666666669</v>
      </c>
      <c r="T12" s="208">
        <v>70</v>
      </c>
      <c r="U12" s="208">
        <v>90</v>
      </c>
      <c r="V12" s="208">
        <v>90</v>
      </c>
      <c r="W12" s="208">
        <v>80</v>
      </c>
      <c r="X12" s="208"/>
      <c r="Y12" s="207">
        <f t="shared" si="9"/>
        <v>82.5</v>
      </c>
      <c r="Z12" s="208">
        <v>80</v>
      </c>
      <c r="AA12" s="208">
        <v>100</v>
      </c>
      <c r="AB12" s="208" t="s">
        <v>21</v>
      </c>
      <c r="AC12" s="208">
        <v>100</v>
      </c>
      <c r="AD12" s="208"/>
      <c r="AE12" s="212">
        <f t="shared" si="2"/>
        <v>93.333333333333329</v>
      </c>
      <c r="AF12" s="208" t="s">
        <v>21</v>
      </c>
      <c r="AG12" s="208">
        <v>90</v>
      </c>
      <c r="AH12" s="208">
        <v>100</v>
      </c>
      <c r="AI12" s="208" t="s">
        <v>21</v>
      </c>
      <c r="AJ12" s="208" t="s">
        <v>21</v>
      </c>
      <c r="AK12" s="209">
        <f t="shared" si="3"/>
        <v>95</v>
      </c>
      <c r="AL12" s="211">
        <v>92</v>
      </c>
      <c r="AM12" s="211">
        <v>92</v>
      </c>
      <c r="AN12" s="211" t="s">
        <v>21</v>
      </c>
      <c r="AO12" s="211">
        <v>100</v>
      </c>
      <c r="AP12" s="211"/>
      <c r="AQ12" s="205">
        <f t="shared" si="5"/>
        <v>94.666666666666671</v>
      </c>
      <c r="AR12" s="211">
        <v>100</v>
      </c>
      <c r="AS12" s="211">
        <v>75</v>
      </c>
      <c r="AT12" s="208">
        <v>92</v>
      </c>
      <c r="AU12" s="208" t="s">
        <v>21</v>
      </c>
      <c r="AV12" s="208" t="s">
        <v>21</v>
      </c>
      <c r="AW12" s="207">
        <f>AVERAGE(AR12:AV12)</f>
        <v>89</v>
      </c>
      <c r="AX12" s="208" t="s">
        <v>21</v>
      </c>
      <c r="AY12" s="211" t="s">
        <v>21</v>
      </c>
      <c r="AZ12" s="208" t="s">
        <v>21</v>
      </c>
      <c r="BA12" s="208"/>
      <c r="BB12" s="208" t="s">
        <v>21</v>
      </c>
      <c r="BC12" s="207"/>
      <c r="BD12" s="208">
        <v>100</v>
      </c>
      <c r="BE12" s="208">
        <v>92</v>
      </c>
      <c r="BF12" s="208">
        <v>92</v>
      </c>
      <c r="BG12" s="208">
        <v>100</v>
      </c>
      <c r="BH12" s="208"/>
      <c r="BI12" s="207">
        <f t="shared" si="7"/>
        <v>96</v>
      </c>
      <c r="BJ12" s="208"/>
      <c r="BK12" s="208"/>
      <c r="BL12" s="208"/>
      <c r="BM12" s="208"/>
      <c r="BN12" s="208"/>
      <c r="BO12" s="207"/>
    </row>
    <row r="13" spans="1:67" s="210" customFormat="1" ht="22.5" customHeight="1">
      <c r="A13" s="219" t="s">
        <v>51</v>
      </c>
      <c r="B13" s="211">
        <v>100</v>
      </c>
      <c r="C13" s="211">
        <v>67</v>
      </c>
      <c r="D13" s="211"/>
      <c r="E13" s="211">
        <v>94.4</v>
      </c>
      <c r="F13" s="211"/>
      <c r="G13" s="205">
        <f t="shared" si="0"/>
        <v>87.133333333333326</v>
      </c>
      <c r="H13" s="211">
        <v>94.4</v>
      </c>
      <c r="I13" s="211">
        <v>100</v>
      </c>
      <c r="J13" s="208">
        <v>93</v>
      </c>
      <c r="K13" s="208">
        <v>100</v>
      </c>
      <c r="L13" s="208"/>
      <c r="M13" s="207">
        <f t="shared" si="1"/>
        <v>96.85</v>
      </c>
      <c r="N13" s="208">
        <v>100</v>
      </c>
      <c r="O13" s="211"/>
      <c r="P13" s="208"/>
      <c r="Q13" s="208">
        <v>94.4</v>
      </c>
      <c r="R13" s="208">
        <v>83.3</v>
      </c>
      <c r="S13" s="207">
        <f t="shared" si="10"/>
        <v>92.566666666666663</v>
      </c>
      <c r="T13" s="208">
        <v>94.4</v>
      </c>
      <c r="U13" s="208">
        <v>78</v>
      </c>
      <c r="V13" s="208">
        <v>88.9</v>
      </c>
      <c r="W13" s="208">
        <v>94.4</v>
      </c>
      <c r="X13" s="208"/>
      <c r="Y13" s="207">
        <f t="shared" si="9"/>
        <v>88.925000000000011</v>
      </c>
      <c r="Z13" s="208">
        <v>84</v>
      </c>
      <c r="AA13" s="208">
        <v>84</v>
      </c>
      <c r="AB13" s="208" t="s">
        <v>21</v>
      </c>
      <c r="AC13" s="208">
        <v>79</v>
      </c>
      <c r="AD13" s="208"/>
      <c r="AE13" s="212">
        <f t="shared" si="2"/>
        <v>82.333333333333329</v>
      </c>
      <c r="AF13" s="208" t="s">
        <v>21</v>
      </c>
      <c r="AG13" s="208" t="s">
        <v>21</v>
      </c>
      <c r="AH13" s="208">
        <v>89</v>
      </c>
      <c r="AI13" s="208" t="s">
        <v>21</v>
      </c>
      <c r="AJ13" s="208" t="s">
        <v>21</v>
      </c>
      <c r="AK13" s="209">
        <f t="shared" si="3"/>
        <v>89</v>
      </c>
      <c r="AL13" s="211">
        <v>100</v>
      </c>
      <c r="AM13" s="211">
        <v>90</v>
      </c>
      <c r="AN13" s="211">
        <v>86</v>
      </c>
      <c r="AO13" s="211" t="s">
        <v>21</v>
      </c>
      <c r="AP13" s="211"/>
      <c r="AQ13" s="205">
        <f t="shared" si="5"/>
        <v>92</v>
      </c>
      <c r="AR13" s="211">
        <v>86</v>
      </c>
      <c r="AS13" s="211" t="s">
        <v>21</v>
      </c>
      <c r="AT13" s="208" t="s">
        <v>21</v>
      </c>
      <c r="AU13" s="208">
        <v>93</v>
      </c>
      <c r="AV13" s="208" t="s">
        <v>21</v>
      </c>
      <c r="AW13" s="207"/>
      <c r="AX13" s="208">
        <v>93</v>
      </c>
      <c r="AY13" s="211" t="s">
        <v>21</v>
      </c>
      <c r="AZ13" s="208">
        <v>79</v>
      </c>
      <c r="BA13" s="208"/>
      <c r="BB13" s="208" t="s">
        <v>21</v>
      </c>
      <c r="BC13" s="207">
        <f t="shared" si="6"/>
        <v>86</v>
      </c>
      <c r="BD13" s="208">
        <v>86</v>
      </c>
      <c r="BE13" s="208"/>
      <c r="BF13" s="208">
        <v>86</v>
      </c>
      <c r="BG13" s="208"/>
      <c r="BH13" s="208"/>
      <c r="BI13" s="207">
        <f t="shared" si="7"/>
        <v>86</v>
      </c>
      <c r="BJ13" s="208"/>
      <c r="BK13" s="208"/>
      <c r="BL13" s="208"/>
      <c r="BM13" s="208"/>
      <c r="BN13" s="208"/>
      <c r="BO13" s="207"/>
    </row>
    <row r="14" spans="1:67" s="210" customFormat="1" ht="22.5" customHeight="1">
      <c r="A14" s="203" t="s">
        <v>52</v>
      </c>
      <c r="B14" s="211">
        <v>82</v>
      </c>
      <c r="C14" s="211">
        <v>66</v>
      </c>
      <c r="D14" s="211"/>
      <c r="E14" s="211">
        <v>57.9</v>
      </c>
      <c r="F14" s="211"/>
      <c r="G14" s="205">
        <f t="shared" si="0"/>
        <v>68.63333333333334</v>
      </c>
      <c r="H14" s="211">
        <v>60.5</v>
      </c>
      <c r="I14" s="211">
        <v>57.9</v>
      </c>
      <c r="J14" s="208">
        <v>57.9</v>
      </c>
      <c r="K14" s="208">
        <v>68.400000000000006</v>
      </c>
      <c r="L14" s="208"/>
      <c r="M14" s="207">
        <f t="shared" si="1"/>
        <v>61.175000000000004</v>
      </c>
      <c r="N14" s="208">
        <v>65.8</v>
      </c>
      <c r="O14" s="211"/>
      <c r="P14" s="208"/>
      <c r="Q14" s="208">
        <v>71.099999999999994</v>
      </c>
      <c r="R14" s="208">
        <v>60.5</v>
      </c>
      <c r="S14" s="207">
        <f t="shared" si="10"/>
        <v>65.8</v>
      </c>
      <c r="T14" s="208">
        <v>86.8</v>
      </c>
      <c r="U14" s="208">
        <v>68.400000000000006</v>
      </c>
      <c r="V14" s="208">
        <v>71.099999999999994</v>
      </c>
      <c r="W14" s="208">
        <v>73.7</v>
      </c>
      <c r="X14" s="208"/>
      <c r="Y14" s="207">
        <f t="shared" si="9"/>
        <v>75</v>
      </c>
      <c r="Z14" s="208">
        <v>92</v>
      </c>
      <c r="AA14" s="208">
        <v>96</v>
      </c>
      <c r="AB14" s="208" t="s">
        <v>21</v>
      </c>
      <c r="AC14" s="208" t="s">
        <v>21</v>
      </c>
      <c r="AD14" s="208"/>
      <c r="AE14" s="212">
        <f t="shared" si="2"/>
        <v>94</v>
      </c>
      <c r="AF14" s="208" t="s">
        <v>21</v>
      </c>
      <c r="AG14" s="208" t="s">
        <v>21</v>
      </c>
      <c r="AH14" s="208" t="s">
        <v>21</v>
      </c>
      <c r="AI14" s="208" t="s">
        <v>21</v>
      </c>
      <c r="AJ14" s="208" t="s">
        <v>21</v>
      </c>
      <c r="AK14" s="209"/>
      <c r="AL14" s="211">
        <v>100</v>
      </c>
      <c r="AM14" s="211" t="s">
        <v>21</v>
      </c>
      <c r="AN14" s="211">
        <v>92</v>
      </c>
      <c r="AO14" s="211">
        <v>100</v>
      </c>
      <c r="AP14" s="211"/>
      <c r="AQ14" s="205">
        <f t="shared" si="5"/>
        <v>97.333333333333329</v>
      </c>
      <c r="AR14" s="211">
        <v>81</v>
      </c>
      <c r="AS14" s="211">
        <v>85</v>
      </c>
      <c r="AT14" s="208" t="s">
        <v>21</v>
      </c>
      <c r="AU14" s="208" t="s">
        <v>21</v>
      </c>
      <c r="AV14" s="208">
        <v>88</v>
      </c>
      <c r="AW14" s="207">
        <f t="shared" si="4"/>
        <v>84.666666666666671</v>
      </c>
      <c r="AX14" s="208">
        <v>85</v>
      </c>
      <c r="AY14" s="211" t="s">
        <v>21</v>
      </c>
      <c r="AZ14" s="208">
        <v>85</v>
      </c>
      <c r="BA14" s="208">
        <v>88</v>
      </c>
      <c r="BB14" s="208" t="s">
        <v>21</v>
      </c>
      <c r="BC14" s="207">
        <f t="shared" si="6"/>
        <v>86</v>
      </c>
      <c r="BD14" s="208">
        <v>88</v>
      </c>
      <c r="BE14" s="208">
        <v>88</v>
      </c>
      <c r="BF14" s="208">
        <v>88</v>
      </c>
      <c r="BG14" s="208"/>
      <c r="BH14" s="208"/>
      <c r="BI14" s="207">
        <f t="shared" si="7"/>
        <v>88</v>
      </c>
      <c r="BJ14" s="208"/>
      <c r="BK14" s="208"/>
      <c r="BL14" s="208"/>
      <c r="BM14" s="208"/>
      <c r="BN14" s="208"/>
      <c r="BO14" s="207"/>
    </row>
    <row r="15" spans="1:67" s="210" customFormat="1" ht="22.5" customHeight="1">
      <c r="A15" s="203" t="s">
        <v>53</v>
      </c>
      <c r="B15" s="211">
        <v>100</v>
      </c>
      <c r="C15" s="211">
        <v>100</v>
      </c>
      <c r="D15" s="211"/>
      <c r="E15" s="211">
        <v>85</v>
      </c>
      <c r="F15" s="211"/>
      <c r="G15" s="205">
        <f t="shared" si="0"/>
        <v>95</v>
      </c>
      <c r="H15" s="211">
        <v>90</v>
      </c>
      <c r="I15" s="211">
        <v>100</v>
      </c>
      <c r="J15" s="208">
        <v>95</v>
      </c>
      <c r="K15" s="208">
        <v>75</v>
      </c>
      <c r="L15" s="208"/>
      <c r="M15" s="207">
        <f t="shared" si="1"/>
        <v>90</v>
      </c>
      <c r="N15" s="208">
        <v>90</v>
      </c>
      <c r="O15" s="211"/>
      <c r="P15" s="208"/>
      <c r="Q15" s="208">
        <v>70</v>
      </c>
      <c r="R15" s="208">
        <v>95</v>
      </c>
      <c r="S15" s="207">
        <f t="shared" si="10"/>
        <v>85</v>
      </c>
      <c r="T15" s="208">
        <v>90</v>
      </c>
      <c r="U15" s="208">
        <v>80</v>
      </c>
      <c r="V15" s="208">
        <v>65</v>
      </c>
      <c r="W15" s="208">
        <v>90</v>
      </c>
      <c r="X15" s="208"/>
      <c r="Y15" s="207">
        <f t="shared" si="9"/>
        <v>81.25</v>
      </c>
      <c r="Z15" s="208" t="s">
        <v>21</v>
      </c>
      <c r="AA15" s="208"/>
      <c r="AB15" s="208" t="s">
        <v>21</v>
      </c>
      <c r="AC15" s="208" t="s">
        <v>21</v>
      </c>
      <c r="AD15" s="208"/>
      <c r="AE15" s="212"/>
      <c r="AF15" s="208" t="s">
        <v>21</v>
      </c>
      <c r="AG15" s="208" t="s">
        <v>21</v>
      </c>
      <c r="AH15" s="208" t="s">
        <v>21</v>
      </c>
      <c r="AI15" s="208" t="s">
        <v>21</v>
      </c>
      <c r="AJ15" s="208" t="s">
        <v>21</v>
      </c>
      <c r="AK15" s="209"/>
      <c r="AL15" s="211" t="s">
        <v>21</v>
      </c>
      <c r="AM15" s="211" t="s">
        <v>21</v>
      </c>
      <c r="AN15" s="211" t="s">
        <v>21</v>
      </c>
      <c r="AO15" s="211" t="s">
        <v>21</v>
      </c>
      <c r="AP15" s="211"/>
      <c r="AQ15" s="205"/>
      <c r="AR15" s="211" t="s">
        <v>21</v>
      </c>
      <c r="AS15" s="211" t="s">
        <v>21</v>
      </c>
      <c r="AT15" s="208" t="s">
        <v>21</v>
      </c>
      <c r="AU15" s="208" t="s">
        <v>21</v>
      </c>
      <c r="AV15" s="208" t="s">
        <v>21</v>
      </c>
      <c r="AW15" s="207"/>
      <c r="AX15" s="208" t="s">
        <v>21</v>
      </c>
      <c r="AY15" s="211" t="s">
        <v>21</v>
      </c>
      <c r="AZ15" s="211" t="s">
        <v>21</v>
      </c>
      <c r="BA15" s="211" t="s">
        <v>21</v>
      </c>
      <c r="BB15" s="211" t="s">
        <v>21</v>
      </c>
      <c r="BC15" s="207"/>
      <c r="BD15" s="208" t="s">
        <v>21</v>
      </c>
      <c r="BE15" s="208" t="s">
        <v>21</v>
      </c>
      <c r="BF15" s="208"/>
      <c r="BG15" s="208"/>
      <c r="BH15" s="208"/>
      <c r="BI15" s="207"/>
      <c r="BJ15" s="208"/>
      <c r="BK15" s="208"/>
      <c r="BL15" s="208"/>
      <c r="BM15" s="208"/>
      <c r="BN15" s="208"/>
      <c r="BO15" s="207"/>
    </row>
    <row r="16" spans="1:67" s="210" customFormat="1" ht="22.5" customHeight="1">
      <c r="A16" s="203" t="s">
        <v>54</v>
      </c>
      <c r="B16" s="211">
        <v>100</v>
      </c>
      <c r="C16" s="211">
        <v>100</v>
      </c>
      <c r="D16" s="211"/>
      <c r="E16" s="211">
        <v>86.7</v>
      </c>
      <c r="F16" s="211"/>
      <c r="G16" s="205">
        <f t="shared" si="0"/>
        <v>95.566666666666663</v>
      </c>
      <c r="H16" s="211">
        <v>100</v>
      </c>
      <c r="I16" s="211">
        <v>100</v>
      </c>
      <c r="J16" s="208">
        <v>100</v>
      </c>
      <c r="K16" s="208">
        <v>93.3</v>
      </c>
      <c r="L16" s="208"/>
      <c r="M16" s="207">
        <f t="shared" si="1"/>
        <v>98.325000000000003</v>
      </c>
      <c r="N16" s="208">
        <v>93.3</v>
      </c>
      <c r="O16" s="211"/>
      <c r="P16" s="208"/>
      <c r="Q16" s="208">
        <v>66.7</v>
      </c>
      <c r="R16" s="208">
        <v>100</v>
      </c>
      <c r="S16" s="207">
        <f t="shared" si="10"/>
        <v>86.666666666666671</v>
      </c>
      <c r="T16" s="208">
        <v>66.7</v>
      </c>
      <c r="U16" s="208">
        <v>80</v>
      </c>
      <c r="V16" s="208">
        <v>86.7</v>
      </c>
      <c r="W16" s="208">
        <v>93.3</v>
      </c>
      <c r="X16" s="208"/>
      <c r="Y16" s="207">
        <f t="shared" si="9"/>
        <v>81.674999999999997</v>
      </c>
      <c r="Z16" s="208">
        <v>89</v>
      </c>
      <c r="AA16" s="208">
        <v>78</v>
      </c>
      <c r="AB16" s="208" t="s">
        <v>21</v>
      </c>
      <c r="AC16" s="208">
        <v>88.9</v>
      </c>
      <c r="AD16" s="208"/>
      <c r="AE16" s="212">
        <f t="shared" si="2"/>
        <v>85.3</v>
      </c>
      <c r="AF16" s="208" t="s">
        <v>21</v>
      </c>
      <c r="AG16" s="208" t="s">
        <v>21</v>
      </c>
      <c r="AH16" s="208">
        <v>95</v>
      </c>
      <c r="AI16" s="208" t="s">
        <v>21</v>
      </c>
      <c r="AJ16" s="208" t="s">
        <v>21</v>
      </c>
      <c r="AK16" s="209">
        <f t="shared" si="3"/>
        <v>95</v>
      </c>
      <c r="AL16" s="211">
        <v>95</v>
      </c>
      <c r="AM16" s="211">
        <v>85</v>
      </c>
      <c r="AN16" s="211">
        <v>65</v>
      </c>
      <c r="AO16" s="211">
        <v>70</v>
      </c>
      <c r="AP16" s="211"/>
      <c r="AQ16" s="205">
        <f t="shared" si="5"/>
        <v>78.75</v>
      </c>
      <c r="AR16" s="211">
        <v>100</v>
      </c>
      <c r="AS16" s="211" t="s">
        <v>21</v>
      </c>
      <c r="AT16" s="208">
        <v>94</v>
      </c>
      <c r="AU16" s="208">
        <v>100</v>
      </c>
      <c r="AV16" s="208">
        <v>94</v>
      </c>
      <c r="AW16" s="207">
        <f t="shared" si="4"/>
        <v>97</v>
      </c>
      <c r="AX16" s="208" t="s">
        <v>21</v>
      </c>
      <c r="AY16" s="211" t="s">
        <v>21</v>
      </c>
      <c r="AZ16" s="208">
        <v>94</v>
      </c>
      <c r="BA16" s="208">
        <v>78</v>
      </c>
      <c r="BB16" s="208" t="s">
        <v>21</v>
      </c>
      <c r="BC16" s="207">
        <f t="shared" si="6"/>
        <v>86</v>
      </c>
      <c r="BD16" s="208">
        <v>72</v>
      </c>
      <c r="BE16" s="208">
        <v>94</v>
      </c>
      <c r="BF16" s="208">
        <v>89</v>
      </c>
      <c r="BG16" s="208"/>
      <c r="BH16" s="208"/>
      <c r="BI16" s="207">
        <f t="shared" si="7"/>
        <v>85</v>
      </c>
      <c r="BJ16" s="208"/>
      <c r="BK16" s="208"/>
      <c r="BL16" s="208"/>
      <c r="BM16" s="208"/>
      <c r="BN16" s="208"/>
      <c r="BO16" s="207"/>
    </row>
    <row r="17" spans="1:67" s="210" customFormat="1" ht="22.5" customHeight="1">
      <c r="A17" s="203" t="s">
        <v>55</v>
      </c>
      <c r="B17" s="211">
        <v>80</v>
      </c>
      <c r="C17" s="211">
        <v>50</v>
      </c>
      <c r="D17" s="211"/>
      <c r="E17" s="211">
        <v>100</v>
      </c>
      <c r="F17" s="211"/>
      <c r="G17" s="205">
        <f t="shared" si="0"/>
        <v>76.666666666666671</v>
      </c>
      <c r="H17" s="211">
        <v>100</v>
      </c>
      <c r="I17" s="211">
        <v>100</v>
      </c>
      <c r="J17" s="208">
        <v>100</v>
      </c>
      <c r="K17" s="208">
        <v>100</v>
      </c>
      <c r="L17" s="208"/>
      <c r="M17" s="207">
        <f t="shared" si="1"/>
        <v>100</v>
      </c>
      <c r="N17" s="208">
        <v>100</v>
      </c>
      <c r="O17" s="211"/>
      <c r="P17" s="208"/>
      <c r="Q17" s="208">
        <v>100</v>
      </c>
      <c r="R17" s="208">
        <v>100</v>
      </c>
      <c r="S17" s="207">
        <f t="shared" si="10"/>
        <v>100</v>
      </c>
      <c r="T17" s="208">
        <v>93.3</v>
      </c>
      <c r="U17" s="208">
        <v>100</v>
      </c>
      <c r="V17" s="208">
        <v>100</v>
      </c>
      <c r="W17" s="208">
        <v>93.3</v>
      </c>
      <c r="X17" s="208"/>
      <c r="Y17" s="207">
        <f t="shared" si="9"/>
        <v>96.65</v>
      </c>
      <c r="Z17" s="208">
        <v>72</v>
      </c>
      <c r="AA17" s="208">
        <v>89</v>
      </c>
      <c r="AB17" s="208" t="s">
        <v>21</v>
      </c>
      <c r="AC17" s="208">
        <v>72</v>
      </c>
      <c r="AD17" s="208"/>
      <c r="AE17" s="212">
        <f t="shared" si="2"/>
        <v>77.666666666666671</v>
      </c>
      <c r="AF17" s="208" t="s">
        <v>56</v>
      </c>
      <c r="AG17" s="208">
        <v>91</v>
      </c>
      <c r="AH17" s="208">
        <v>91</v>
      </c>
      <c r="AI17" s="208" t="s">
        <v>21</v>
      </c>
      <c r="AJ17" s="208" t="s">
        <v>21</v>
      </c>
      <c r="AK17" s="209">
        <f t="shared" si="3"/>
        <v>91</v>
      </c>
      <c r="AL17" s="211">
        <v>100</v>
      </c>
      <c r="AM17" s="211">
        <v>100</v>
      </c>
      <c r="AN17" s="211">
        <v>82</v>
      </c>
      <c r="AO17" s="211">
        <v>91</v>
      </c>
      <c r="AP17" s="211"/>
      <c r="AQ17" s="205">
        <f t="shared" si="5"/>
        <v>93.25</v>
      </c>
      <c r="AR17" s="211">
        <v>91</v>
      </c>
      <c r="AS17" s="211">
        <v>91</v>
      </c>
      <c r="AT17" s="208" t="s">
        <v>21</v>
      </c>
      <c r="AU17" s="208">
        <v>100</v>
      </c>
      <c r="AV17" s="208" t="s">
        <v>21</v>
      </c>
      <c r="AW17" s="207">
        <f t="shared" si="4"/>
        <v>94</v>
      </c>
      <c r="AX17" s="208" t="s">
        <v>21</v>
      </c>
      <c r="AY17" s="211" t="s">
        <v>21</v>
      </c>
      <c r="AZ17" s="208">
        <v>100</v>
      </c>
      <c r="BA17" s="208">
        <v>68</v>
      </c>
      <c r="BB17" s="208" t="s">
        <v>21</v>
      </c>
      <c r="BC17" s="207">
        <f t="shared" si="6"/>
        <v>84</v>
      </c>
      <c r="BD17" s="208">
        <v>72</v>
      </c>
      <c r="BE17" s="208">
        <v>92</v>
      </c>
      <c r="BF17" s="208">
        <v>80</v>
      </c>
      <c r="BG17" s="208"/>
      <c r="BH17" s="208"/>
      <c r="BI17" s="207">
        <f t="shared" si="7"/>
        <v>81.333333333333329</v>
      </c>
      <c r="BJ17" s="208"/>
      <c r="BK17" s="208"/>
      <c r="BL17" s="208"/>
      <c r="BM17" s="208"/>
      <c r="BN17" s="208"/>
      <c r="BO17" s="207"/>
    </row>
    <row r="18" spans="1:67" s="210" customFormat="1" ht="22.5" customHeight="1">
      <c r="A18" s="203" t="s">
        <v>57</v>
      </c>
      <c r="B18" s="211">
        <v>100</v>
      </c>
      <c r="C18" s="211">
        <v>84.2</v>
      </c>
      <c r="D18" s="211"/>
      <c r="E18" s="211">
        <v>100</v>
      </c>
      <c r="F18" s="211"/>
      <c r="G18" s="205">
        <f t="shared" si="0"/>
        <v>94.733333333333334</v>
      </c>
      <c r="H18" s="211">
        <v>100</v>
      </c>
      <c r="I18" s="211">
        <v>100</v>
      </c>
      <c r="J18" s="208">
        <v>100</v>
      </c>
      <c r="K18" s="208">
        <v>94.7</v>
      </c>
      <c r="L18" s="208"/>
      <c r="M18" s="207">
        <f t="shared" si="1"/>
        <v>98.674999999999997</v>
      </c>
      <c r="N18" s="208">
        <v>100</v>
      </c>
      <c r="O18" s="211"/>
      <c r="P18" s="208">
        <v>100</v>
      </c>
      <c r="Q18" s="208">
        <v>57.9</v>
      </c>
      <c r="R18" s="208">
        <v>100</v>
      </c>
      <c r="S18" s="207">
        <f t="shared" si="10"/>
        <v>89.474999999999994</v>
      </c>
      <c r="T18" s="208">
        <v>100</v>
      </c>
      <c r="U18" s="208">
        <v>94.7</v>
      </c>
      <c r="V18" s="208">
        <v>84.2</v>
      </c>
      <c r="W18" s="208">
        <v>78.900000000000006</v>
      </c>
      <c r="X18" s="208"/>
      <c r="Y18" s="207">
        <f t="shared" si="9"/>
        <v>89.449999999999989</v>
      </c>
      <c r="Z18" s="208">
        <v>84.2</v>
      </c>
      <c r="AA18" s="208">
        <v>89</v>
      </c>
      <c r="AB18" s="208" t="s">
        <v>21</v>
      </c>
      <c r="AC18" s="208" t="s">
        <v>21</v>
      </c>
      <c r="AD18" s="208"/>
      <c r="AE18" s="212">
        <f t="shared" si="2"/>
        <v>86.6</v>
      </c>
      <c r="AF18" s="208" t="s">
        <v>21</v>
      </c>
      <c r="AG18" s="208" t="s">
        <v>21</v>
      </c>
      <c r="AH18" s="208" t="s">
        <v>21</v>
      </c>
      <c r="AI18" s="208" t="s">
        <v>21</v>
      </c>
      <c r="AJ18" s="208" t="s">
        <v>21</v>
      </c>
      <c r="AK18" s="209"/>
      <c r="AL18" s="211"/>
      <c r="AM18" s="211"/>
      <c r="AN18" s="211"/>
      <c r="AO18" s="211" t="s">
        <v>21</v>
      </c>
      <c r="AP18" s="211"/>
      <c r="AQ18" s="205"/>
      <c r="AR18" s="211">
        <v>90</v>
      </c>
      <c r="AS18" s="211">
        <v>95</v>
      </c>
      <c r="AT18" s="208" t="s">
        <v>21</v>
      </c>
      <c r="AU18" s="208">
        <v>100</v>
      </c>
      <c r="AV18" s="208" t="s">
        <v>21</v>
      </c>
      <c r="AW18" s="207">
        <f t="shared" si="4"/>
        <v>95</v>
      </c>
      <c r="AX18" s="208">
        <v>100</v>
      </c>
      <c r="AY18" s="211" t="s">
        <v>21</v>
      </c>
      <c r="AZ18" s="208">
        <v>100</v>
      </c>
      <c r="BA18" s="208">
        <v>100</v>
      </c>
      <c r="BB18" s="208" t="s">
        <v>21</v>
      </c>
      <c r="BC18" s="207">
        <f t="shared" si="6"/>
        <v>100</v>
      </c>
      <c r="BD18" s="208"/>
      <c r="BE18" s="208" t="s">
        <v>21</v>
      </c>
      <c r="BF18" s="208"/>
      <c r="BG18" s="208"/>
      <c r="BH18" s="208"/>
      <c r="BI18" s="207"/>
      <c r="BJ18" s="208"/>
      <c r="BK18" s="208"/>
      <c r="BL18" s="208"/>
      <c r="BM18" s="208"/>
      <c r="BN18" s="208"/>
      <c r="BO18" s="207"/>
    </row>
    <row r="19" spans="1:67" s="210" customFormat="1" ht="22.5" customHeight="1">
      <c r="A19" s="203" t="s">
        <v>58</v>
      </c>
      <c r="B19" s="211"/>
      <c r="C19" s="211"/>
      <c r="D19" s="211"/>
      <c r="E19" s="211"/>
      <c r="F19" s="211"/>
      <c r="G19" s="205"/>
      <c r="H19" s="211"/>
      <c r="I19" s="211"/>
      <c r="J19" s="208"/>
      <c r="K19" s="208"/>
      <c r="L19" s="208"/>
      <c r="M19" s="207"/>
      <c r="N19" s="208"/>
      <c r="O19" s="211"/>
      <c r="P19" s="208"/>
      <c r="Q19" s="208"/>
      <c r="R19" s="208"/>
      <c r="S19" s="207"/>
      <c r="T19" s="208"/>
      <c r="U19" s="208"/>
      <c r="V19" s="208"/>
      <c r="W19" s="208"/>
      <c r="X19" s="208"/>
      <c r="Y19" s="207"/>
      <c r="Z19" s="208"/>
      <c r="AA19" s="208">
        <v>85</v>
      </c>
      <c r="AB19" s="208">
        <v>95</v>
      </c>
      <c r="AC19" s="208">
        <v>100</v>
      </c>
      <c r="AD19" s="208">
        <v>100</v>
      </c>
      <c r="AE19" s="212">
        <f>AVERAGE(Z19:AD19)</f>
        <v>95</v>
      </c>
      <c r="AF19" s="208" t="s">
        <v>21</v>
      </c>
      <c r="AG19" s="208">
        <v>90</v>
      </c>
      <c r="AH19" s="208">
        <v>90</v>
      </c>
      <c r="AI19" s="208" t="s">
        <v>21</v>
      </c>
      <c r="AJ19" s="208" t="s">
        <v>21</v>
      </c>
      <c r="AK19" s="209">
        <f t="shared" si="3"/>
        <v>90</v>
      </c>
      <c r="AL19" s="211">
        <v>80</v>
      </c>
      <c r="AM19" s="211">
        <v>90</v>
      </c>
      <c r="AN19" s="211">
        <v>95</v>
      </c>
      <c r="AO19" s="211">
        <v>80</v>
      </c>
      <c r="AP19" s="211"/>
      <c r="AQ19" s="205">
        <f t="shared" si="5"/>
        <v>86.25</v>
      </c>
      <c r="AR19" s="211"/>
      <c r="AS19" s="211"/>
      <c r="AT19" s="208" t="s">
        <v>21</v>
      </c>
      <c r="AU19" s="208"/>
      <c r="AV19" s="208"/>
      <c r="AW19" s="207"/>
      <c r="AX19" s="208" t="s">
        <v>21</v>
      </c>
      <c r="AY19" s="211" t="s">
        <v>21</v>
      </c>
      <c r="AZ19" s="208" t="s">
        <v>21</v>
      </c>
      <c r="BA19" s="208" t="s">
        <v>21</v>
      </c>
      <c r="BB19" s="208" t="s">
        <v>21</v>
      </c>
      <c r="BC19" s="207"/>
      <c r="BD19" s="208">
        <v>95</v>
      </c>
      <c r="BE19" s="208">
        <v>100</v>
      </c>
      <c r="BF19" s="208">
        <v>89</v>
      </c>
      <c r="BG19" s="208"/>
      <c r="BH19" s="208"/>
      <c r="BI19" s="207">
        <f t="shared" si="7"/>
        <v>94.666666666666671</v>
      </c>
      <c r="BJ19" s="208"/>
      <c r="BK19" s="208"/>
      <c r="BL19" s="208"/>
      <c r="BM19" s="208"/>
      <c r="BN19" s="208"/>
      <c r="BO19" s="207"/>
    </row>
    <row r="20" spans="1:67" s="210" customFormat="1" ht="22.5" customHeight="1">
      <c r="A20" s="203" t="s">
        <v>59</v>
      </c>
      <c r="B20" s="211"/>
      <c r="C20" s="211"/>
      <c r="D20" s="211"/>
      <c r="E20" s="211"/>
      <c r="F20" s="211"/>
      <c r="G20" s="205"/>
      <c r="H20" s="211"/>
      <c r="I20" s="211"/>
      <c r="J20" s="208"/>
      <c r="K20" s="208"/>
      <c r="L20" s="208"/>
      <c r="M20" s="207"/>
      <c r="N20" s="208"/>
      <c r="O20" s="211"/>
      <c r="P20" s="208"/>
      <c r="Q20" s="208"/>
      <c r="R20" s="208"/>
      <c r="S20" s="207"/>
      <c r="T20" s="208"/>
      <c r="U20" s="208"/>
      <c r="V20" s="208"/>
      <c r="W20" s="208"/>
      <c r="X20" s="208"/>
      <c r="Y20" s="207"/>
      <c r="Z20" s="208"/>
      <c r="AA20" s="208">
        <v>80</v>
      </c>
      <c r="AB20" s="208">
        <v>100</v>
      </c>
      <c r="AC20" s="208">
        <v>100</v>
      </c>
      <c r="AD20" s="208">
        <v>100</v>
      </c>
      <c r="AE20" s="212">
        <f>AVERAGE(Z20:AD20)</f>
        <v>95</v>
      </c>
      <c r="AF20" s="208" t="s">
        <v>21</v>
      </c>
      <c r="AG20" s="208">
        <v>92</v>
      </c>
      <c r="AH20" s="208">
        <v>100</v>
      </c>
      <c r="AI20" s="208">
        <v>90</v>
      </c>
      <c r="AJ20" s="208" t="s">
        <v>21</v>
      </c>
      <c r="AK20" s="209">
        <f t="shared" si="3"/>
        <v>94</v>
      </c>
      <c r="AL20" s="211">
        <v>84</v>
      </c>
      <c r="AM20" s="211">
        <v>90</v>
      </c>
      <c r="AN20" s="211">
        <v>90</v>
      </c>
      <c r="AO20" s="211">
        <v>92</v>
      </c>
      <c r="AP20" s="211"/>
      <c r="AQ20" s="205">
        <f t="shared" si="5"/>
        <v>89</v>
      </c>
      <c r="AR20" s="211">
        <v>96</v>
      </c>
      <c r="AS20" s="211" t="s">
        <v>21</v>
      </c>
      <c r="AT20" s="208" t="s">
        <v>21</v>
      </c>
      <c r="AU20" s="208">
        <v>78</v>
      </c>
      <c r="AV20" s="208">
        <v>86</v>
      </c>
      <c r="AW20" s="207">
        <f t="shared" si="4"/>
        <v>86.666666666666671</v>
      </c>
      <c r="AX20" s="208">
        <v>84</v>
      </c>
      <c r="AY20" s="211">
        <v>82</v>
      </c>
      <c r="AZ20" s="208">
        <v>78</v>
      </c>
      <c r="BA20" s="208" t="s">
        <v>21</v>
      </c>
      <c r="BB20" s="208" t="s">
        <v>21</v>
      </c>
      <c r="BC20" s="207">
        <f t="shared" si="6"/>
        <v>81.333333333333329</v>
      </c>
      <c r="BD20" s="208">
        <v>82</v>
      </c>
      <c r="BE20" s="208">
        <v>73</v>
      </c>
      <c r="BF20" s="208">
        <v>76</v>
      </c>
      <c r="BG20" s="208">
        <v>73</v>
      </c>
      <c r="BH20" s="208"/>
      <c r="BI20" s="207">
        <f t="shared" si="7"/>
        <v>76</v>
      </c>
      <c r="BJ20" s="208">
        <v>80</v>
      </c>
      <c r="BK20" s="208"/>
      <c r="BL20" s="208"/>
      <c r="BM20" s="208"/>
      <c r="BN20" s="208"/>
      <c r="BO20" s="207">
        <f t="shared" si="8"/>
        <v>80</v>
      </c>
    </row>
    <row r="21" spans="1:67" s="210" customFormat="1" ht="22.5" customHeight="1">
      <c r="A21" s="203" t="s">
        <v>60</v>
      </c>
      <c r="B21" s="211"/>
      <c r="C21" s="211"/>
      <c r="D21" s="211"/>
      <c r="E21" s="211"/>
      <c r="F21" s="211"/>
      <c r="G21" s="205"/>
      <c r="H21" s="211"/>
      <c r="I21" s="211"/>
      <c r="J21" s="208"/>
      <c r="K21" s="208"/>
      <c r="L21" s="208"/>
      <c r="M21" s="207"/>
      <c r="N21" s="208"/>
      <c r="O21" s="211"/>
      <c r="P21" s="208"/>
      <c r="Q21" s="208"/>
      <c r="R21" s="208"/>
      <c r="S21" s="207"/>
      <c r="T21" s="208"/>
      <c r="U21" s="208"/>
      <c r="V21" s="208"/>
      <c r="W21" s="208"/>
      <c r="X21" s="208"/>
      <c r="Y21" s="207"/>
      <c r="Z21" s="208"/>
      <c r="AA21" s="208"/>
      <c r="AB21" s="208"/>
      <c r="AC21" s="208"/>
      <c r="AD21" s="208"/>
      <c r="AE21" s="212"/>
      <c r="AF21" s="208"/>
      <c r="AG21" s="208"/>
      <c r="AH21" s="208"/>
      <c r="AI21" s="208"/>
      <c r="AJ21" s="208"/>
      <c r="AK21" s="209"/>
      <c r="AL21" s="211"/>
      <c r="AM21" s="211"/>
      <c r="AN21" s="211"/>
      <c r="AO21" s="211"/>
      <c r="AP21" s="211"/>
      <c r="AQ21" s="205"/>
      <c r="AR21" s="211"/>
      <c r="AS21" s="211"/>
      <c r="AT21" s="208"/>
      <c r="AU21" s="208"/>
      <c r="AV21" s="208"/>
      <c r="AW21" s="207"/>
      <c r="AX21" s="208">
        <v>100</v>
      </c>
      <c r="AY21" s="211">
        <v>100</v>
      </c>
      <c r="AZ21" s="208">
        <v>100</v>
      </c>
      <c r="BA21" s="208">
        <v>100</v>
      </c>
      <c r="BB21" s="208" t="s">
        <v>21</v>
      </c>
      <c r="BC21" s="207">
        <f t="shared" si="6"/>
        <v>100</v>
      </c>
      <c r="BD21" s="208">
        <v>100</v>
      </c>
      <c r="BE21" s="208">
        <v>100</v>
      </c>
      <c r="BF21" s="208">
        <v>93</v>
      </c>
      <c r="BG21" s="208">
        <v>100</v>
      </c>
      <c r="BH21" s="208">
        <v>100</v>
      </c>
      <c r="BI21" s="207">
        <f t="shared" si="7"/>
        <v>98.6</v>
      </c>
      <c r="BJ21" s="208"/>
      <c r="BK21" s="208">
        <v>100</v>
      </c>
      <c r="BL21" s="208"/>
      <c r="BM21" s="208"/>
      <c r="BN21" s="208"/>
      <c r="BO21" s="207">
        <f t="shared" si="8"/>
        <v>100</v>
      </c>
    </row>
    <row r="22" spans="1:67" s="237" customFormat="1" ht="22.5" customHeight="1">
      <c r="A22" s="230" t="s">
        <v>16</v>
      </c>
      <c r="B22" s="231"/>
      <c r="C22" s="231"/>
      <c r="D22" s="231"/>
      <c r="E22" s="231"/>
      <c r="F22" s="231"/>
      <c r="G22" s="232"/>
      <c r="H22" s="231"/>
      <c r="I22" s="231"/>
      <c r="J22" s="233"/>
      <c r="K22" s="233"/>
      <c r="L22" s="233"/>
      <c r="M22" s="234"/>
      <c r="N22" s="233"/>
      <c r="O22" s="231"/>
      <c r="P22" s="233"/>
      <c r="Q22" s="233"/>
      <c r="R22" s="233"/>
      <c r="S22" s="234"/>
      <c r="T22" s="233"/>
      <c r="U22" s="233"/>
      <c r="V22" s="233"/>
      <c r="W22" s="233"/>
      <c r="X22" s="233"/>
      <c r="Y22" s="234"/>
      <c r="Z22" s="233"/>
      <c r="AA22" s="233"/>
      <c r="AB22" s="233"/>
      <c r="AC22" s="233"/>
      <c r="AD22" s="233"/>
      <c r="AE22" s="235"/>
      <c r="AF22" s="233"/>
      <c r="AG22" s="233"/>
      <c r="AH22" s="233"/>
      <c r="AI22" s="233"/>
      <c r="AJ22" s="233"/>
      <c r="AK22" s="236"/>
      <c r="AL22" s="231" t="s">
        <v>61</v>
      </c>
      <c r="AM22" s="231"/>
      <c r="AN22" s="231"/>
      <c r="AO22" s="231"/>
      <c r="AP22" s="231"/>
      <c r="AQ22" s="205"/>
      <c r="AR22" s="231" t="s">
        <v>61</v>
      </c>
      <c r="AS22" s="231"/>
      <c r="AT22" s="233"/>
      <c r="AU22" s="233"/>
      <c r="AV22" s="233"/>
      <c r="AW22" s="207"/>
      <c r="AX22" s="233" t="s">
        <v>61</v>
      </c>
      <c r="AY22" s="231"/>
      <c r="AZ22" s="233"/>
      <c r="BA22" s="233"/>
      <c r="BB22" s="233"/>
      <c r="BC22" s="234"/>
      <c r="BD22" s="233" t="s">
        <v>61</v>
      </c>
      <c r="BE22" s="233"/>
      <c r="BF22" s="233"/>
      <c r="BG22" s="233"/>
      <c r="BH22" s="233"/>
      <c r="BI22" s="234"/>
      <c r="BJ22" s="233" t="s">
        <v>61</v>
      </c>
      <c r="BK22" s="233"/>
      <c r="BL22" s="233"/>
      <c r="BM22" s="233"/>
      <c r="BN22" s="233"/>
      <c r="BO22" s="234"/>
    </row>
    <row r="23" spans="1:67" s="237" customFormat="1" ht="22.5" customHeight="1">
      <c r="A23" s="230" t="s">
        <v>17</v>
      </c>
      <c r="B23" s="231"/>
      <c r="C23" s="231"/>
      <c r="D23" s="231"/>
      <c r="E23" s="231"/>
      <c r="F23" s="231"/>
      <c r="G23" s="232"/>
      <c r="H23" s="231"/>
      <c r="I23" s="231"/>
      <c r="J23" s="233"/>
      <c r="K23" s="233"/>
      <c r="L23" s="233"/>
      <c r="M23" s="234"/>
      <c r="N23" s="233"/>
      <c r="O23" s="231"/>
      <c r="P23" s="233"/>
      <c r="Q23" s="233"/>
      <c r="R23" s="233"/>
      <c r="S23" s="234"/>
      <c r="T23" s="233"/>
      <c r="U23" s="233"/>
      <c r="V23" s="233"/>
      <c r="W23" s="233"/>
      <c r="X23" s="233"/>
      <c r="Y23" s="234"/>
      <c r="Z23" s="233"/>
      <c r="AA23" s="233"/>
      <c r="AB23" s="233"/>
      <c r="AC23" s="233"/>
      <c r="AD23" s="233"/>
      <c r="AE23" s="235"/>
      <c r="AF23" s="233"/>
      <c r="AG23" s="233"/>
      <c r="AH23" s="233"/>
      <c r="AI23" s="233"/>
      <c r="AJ23" s="233"/>
      <c r="AK23" s="236"/>
      <c r="AL23" s="231" t="s">
        <v>61</v>
      </c>
      <c r="AM23" s="231"/>
      <c r="AN23" s="231"/>
      <c r="AO23" s="231"/>
      <c r="AP23" s="231"/>
      <c r="AQ23" s="205"/>
      <c r="AR23" s="231" t="s">
        <v>61</v>
      </c>
      <c r="AS23" s="231"/>
      <c r="AT23" s="233"/>
      <c r="AU23" s="233"/>
      <c r="AV23" s="233"/>
      <c r="AW23" s="207"/>
      <c r="AX23" s="233" t="s">
        <v>61</v>
      </c>
      <c r="AY23" s="231"/>
      <c r="AZ23" s="233"/>
      <c r="BA23" s="233"/>
      <c r="BB23" s="233"/>
      <c r="BC23" s="234"/>
      <c r="BD23" s="233" t="s">
        <v>61</v>
      </c>
      <c r="BE23" s="233"/>
      <c r="BF23" s="233"/>
      <c r="BG23" s="233"/>
      <c r="BH23" s="233"/>
      <c r="BI23" s="234"/>
      <c r="BJ23" s="233" t="s">
        <v>61</v>
      </c>
      <c r="BK23" s="233"/>
      <c r="BL23" s="233"/>
      <c r="BM23" s="233"/>
      <c r="BN23" s="233"/>
      <c r="BO23" s="234"/>
    </row>
    <row r="24" spans="1:67" s="237" customFormat="1" ht="22.5" customHeight="1">
      <c r="A24" s="230" t="s">
        <v>18</v>
      </c>
      <c r="B24" s="231"/>
      <c r="C24" s="231"/>
      <c r="D24" s="231"/>
      <c r="E24" s="231"/>
      <c r="F24" s="231"/>
      <c r="G24" s="232"/>
      <c r="H24" s="231"/>
      <c r="I24" s="231"/>
      <c r="J24" s="233"/>
      <c r="K24" s="233"/>
      <c r="L24" s="233"/>
      <c r="M24" s="234"/>
      <c r="N24" s="233"/>
      <c r="O24" s="231"/>
      <c r="P24" s="233"/>
      <c r="Q24" s="233"/>
      <c r="R24" s="233"/>
      <c r="S24" s="234"/>
      <c r="T24" s="233"/>
      <c r="U24" s="233"/>
      <c r="V24" s="233"/>
      <c r="W24" s="233"/>
      <c r="X24" s="233"/>
      <c r="Y24" s="234"/>
      <c r="Z24" s="233"/>
      <c r="AA24" s="233"/>
      <c r="AB24" s="233"/>
      <c r="AC24" s="233"/>
      <c r="AD24" s="233"/>
      <c r="AE24" s="235"/>
      <c r="AF24" s="233"/>
      <c r="AG24" s="233"/>
      <c r="AH24" s="233"/>
      <c r="AI24" s="233"/>
      <c r="AJ24" s="233"/>
      <c r="AK24" s="236"/>
      <c r="AL24" s="231" t="s">
        <v>61</v>
      </c>
      <c r="AM24" s="231"/>
      <c r="AN24" s="231"/>
      <c r="AO24" s="231"/>
      <c r="AP24" s="231"/>
      <c r="AQ24" s="205"/>
      <c r="AR24" s="231" t="s">
        <v>61</v>
      </c>
      <c r="AS24" s="231"/>
      <c r="AT24" s="233"/>
      <c r="AU24" s="233"/>
      <c r="AV24" s="233"/>
      <c r="AW24" s="207"/>
      <c r="AX24" s="233" t="s">
        <v>61</v>
      </c>
      <c r="AY24" s="231"/>
      <c r="AZ24" s="233"/>
      <c r="BA24" s="233"/>
      <c r="BB24" s="233"/>
      <c r="BC24" s="234"/>
      <c r="BD24" s="233" t="s">
        <v>61</v>
      </c>
      <c r="BE24" s="233"/>
      <c r="BF24" s="233"/>
      <c r="BG24" s="233"/>
      <c r="BH24" s="233"/>
      <c r="BI24" s="234"/>
      <c r="BJ24" s="233" t="s">
        <v>61</v>
      </c>
      <c r="BK24" s="233"/>
      <c r="BL24" s="233"/>
      <c r="BM24" s="233"/>
      <c r="BN24" s="233"/>
      <c r="BO24" s="234"/>
    </row>
    <row r="25" spans="1:67" s="237" customFormat="1" ht="22.5" customHeight="1">
      <c r="A25" s="230" t="s">
        <v>19</v>
      </c>
      <c r="B25" s="231"/>
      <c r="C25" s="231"/>
      <c r="D25" s="231"/>
      <c r="E25" s="231"/>
      <c r="F25" s="231"/>
      <c r="G25" s="232"/>
      <c r="H25" s="231"/>
      <c r="I25" s="231"/>
      <c r="J25" s="233"/>
      <c r="K25" s="233"/>
      <c r="L25" s="233"/>
      <c r="M25" s="234"/>
      <c r="N25" s="233"/>
      <c r="O25" s="231"/>
      <c r="P25" s="233"/>
      <c r="Q25" s="233"/>
      <c r="R25" s="233"/>
      <c r="S25" s="234"/>
      <c r="T25" s="233"/>
      <c r="U25" s="233"/>
      <c r="V25" s="233"/>
      <c r="W25" s="233"/>
      <c r="X25" s="233"/>
      <c r="Y25" s="234"/>
      <c r="Z25" s="233"/>
      <c r="AA25" s="233"/>
      <c r="AB25" s="233"/>
      <c r="AC25" s="233"/>
      <c r="AD25" s="233"/>
      <c r="AE25" s="235"/>
      <c r="AF25" s="233"/>
      <c r="AG25" s="233"/>
      <c r="AH25" s="233"/>
      <c r="AI25" s="233"/>
      <c r="AJ25" s="233"/>
      <c r="AK25" s="236"/>
      <c r="AL25" s="231" t="s">
        <v>61</v>
      </c>
      <c r="AM25" s="231"/>
      <c r="AN25" s="231"/>
      <c r="AO25" s="231"/>
      <c r="AP25" s="231"/>
      <c r="AQ25" s="205"/>
      <c r="AR25" s="231" t="s">
        <v>61</v>
      </c>
      <c r="AS25" s="231"/>
      <c r="AT25" s="233"/>
      <c r="AU25" s="233"/>
      <c r="AV25" s="233"/>
      <c r="AW25" s="207"/>
      <c r="AX25" s="233" t="s">
        <v>61</v>
      </c>
      <c r="AY25" s="231"/>
      <c r="AZ25" s="233"/>
      <c r="BA25" s="233"/>
      <c r="BB25" s="233"/>
      <c r="BC25" s="234"/>
      <c r="BD25" s="233" t="s">
        <v>61</v>
      </c>
      <c r="BE25" s="233"/>
      <c r="BF25" s="233"/>
      <c r="BG25" s="233"/>
      <c r="BH25" s="233"/>
      <c r="BI25" s="234"/>
      <c r="BJ25" s="233" t="s">
        <v>61</v>
      </c>
      <c r="BK25" s="233"/>
      <c r="BL25" s="233"/>
      <c r="BM25" s="233"/>
      <c r="BN25" s="233"/>
      <c r="BO25" s="234"/>
    </row>
    <row r="26" spans="1:67" s="237" customFormat="1" ht="22.5" customHeight="1">
      <c r="A26" s="230" t="s">
        <v>20</v>
      </c>
      <c r="B26" s="231"/>
      <c r="C26" s="231"/>
      <c r="D26" s="231">
        <v>87.5</v>
      </c>
      <c r="E26" s="231">
        <v>85</v>
      </c>
      <c r="F26" s="231"/>
      <c r="G26" s="232">
        <f t="shared" si="0"/>
        <v>86.25</v>
      </c>
      <c r="H26" s="231">
        <v>85</v>
      </c>
      <c r="I26" s="231">
        <v>80</v>
      </c>
      <c r="J26" s="233">
        <v>90</v>
      </c>
      <c r="K26" s="233">
        <v>85</v>
      </c>
      <c r="L26" s="233"/>
      <c r="M26" s="234">
        <f>AVERAGE(H26:K26)</f>
        <v>85</v>
      </c>
      <c r="N26" s="233">
        <v>77.5</v>
      </c>
      <c r="O26" s="231">
        <v>87.5</v>
      </c>
      <c r="P26" s="233">
        <v>82.5</v>
      </c>
      <c r="Q26" s="233">
        <v>65</v>
      </c>
      <c r="R26" s="233">
        <v>72.5</v>
      </c>
      <c r="S26" s="234">
        <f>AVERAGE(N26:R26)</f>
        <v>77</v>
      </c>
      <c r="T26" s="233"/>
      <c r="U26" s="233"/>
      <c r="V26" s="233">
        <v>72.5</v>
      </c>
      <c r="W26" s="233">
        <v>100</v>
      </c>
      <c r="X26" s="233"/>
      <c r="Y26" s="234">
        <f t="shared" si="9"/>
        <v>86.25</v>
      </c>
      <c r="Z26" s="233">
        <v>89.2</v>
      </c>
      <c r="AA26" s="233">
        <v>89.2</v>
      </c>
      <c r="AB26" s="233">
        <v>97.3</v>
      </c>
      <c r="AC26" s="233">
        <v>100</v>
      </c>
      <c r="AD26" s="233">
        <v>89</v>
      </c>
      <c r="AE26" s="235">
        <f>AVERAGE(Z26:AD26)</f>
        <v>92.94</v>
      </c>
      <c r="AF26" s="233"/>
      <c r="AG26" s="233"/>
      <c r="AH26" s="233"/>
      <c r="AI26" s="233"/>
      <c r="AJ26" s="233"/>
      <c r="AK26" s="236"/>
      <c r="AL26" s="231" t="s">
        <v>61</v>
      </c>
      <c r="AM26" s="231"/>
      <c r="AN26" s="231"/>
      <c r="AO26" s="231"/>
      <c r="AP26" s="231"/>
      <c r="AQ26" s="205"/>
      <c r="AR26" s="231" t="s">
        <v>61</v>
      </c>
      <c r="AS26" s="231"/>
      <c r="AT26" s="233"/>
      <c r="AU26" s="233"/>
      <c r="AV26" s="233"/>
      <c r="AW26" s="207"/>
      <c r="AX26" s="233" t="s">
        <v>61</v>
      </c>
      <c r="AY26" s="231"/>
      <c r="AZ26" s="233"/>
      <c r="BA26" s="233"/>
      <c r="BB26" s="233"/>
      <c r="BC26" s="234"/>
      <c r="BD26" s="233" t="s">
        <v>61</v>
      </c>
      <c r="BE26" s="233"/>
      <c r="BF26" s="233"/>
      <c r="BG26" s="233"/>
      <c r="BH26" s="233"/>
      <c r="BI26" s="234"/>
      <c r="BJ26" s="233" t="s">
        <v>61</v>
      </c>
      <c r="BK26" s="233"/>
      <c r="BL26" s="233"/>
      <c r="BM26" s="233"/>
      <c r="BN26" s="233"/>
      <c r="BO26" s="234"/>
    </row>
    <row r="27" spans="1:67" s="210" customFormat="1" ht="22.5" customHeight="1">
      <c r="A27" s="203" t="s">
        <v>62</v>
      </c>
      <c r="B27" s="220"/>
      <c r="C27" s="220"/>
      <c r="D27" s="220"/>
      <c r="E27" s="220"/>
      <c r="F27" s="220"/>
      <c r="G27" s="205"/>
      <c r="H27" s="228"/>
      <c r="I27" s="228"/>
      <c r="J27" s="229"/>
      <c r="K27" s="229"/>
      <c r="L27" s="229"/>
      <c r="M27" s="207"/>
      <c r="N27" s="221"/>
      <c r="O27" s="220"/>
      <c r="P27" s="221"/>
      <c r="Q27" s="221"/>
      <c r="R27" s="221"/>
      <c r="S27" s="207"/>
      <c r="T27" s="221"/>
      <c r="U27" s="221"/>
      <c r="V27" s="221"/>
      <c r="W27" s="221"/>
      <c r="X27" s="221"/>
      <c r="Y27" s="207"/>
      <c r="Z27" s="221"/>
      <c r="AA27" s="221"/>
      <c r="AB27" s="221"/>
      <c r="AC27" s="221"/>
      <c r="AD27" s="221"/>
      <c r="AE27" s="212"/>
      <c r="AF27" s="221"/>
      <c r="AG27" s="221">
        <v>100</v>
      </c>
      <c r="AH27" s="221"/>
      <c r="AI27" s="221"/>
      <c r="AJ27" s="221"/>
      <c r="AK27" s="209">
        <f>AG27</f>
        <v>100</v>
      </c>
      <c r="AL27" s="220"/>
      <c r="AM27" s="220"/>
      <c r="AN27" s="220">
        <v>100</v>
      </c>
      <c r="AO27" s="220"/>
      <c r="AP27" s="220"/>
      <c r="AQ27" s="205">
        <f t="shared" si="5"/>
        <v>100</v>
      </c>
      <c r="AR27" s="228"/>
      <c r="AS27" s="228"/>
      <c r="AT27" s="229"/>
      <c r="AU27" s="229"/>
      <c r="AV27" s="229"/>
      <c r="AW27" s="207"/>
      <c r="AX27" s="221"/>
      <c r="AY27" s="220"/>
      <c r="AZ27" s="221"/>
      <c r="BA27" s="221"/>
      <c r="BB27" s="221"/>
      <c r="BC27" s="207"/>
      <c r="BD27" s="221"/>
      <c r="BE27" s="221"/>
      <c r="BF27" s="221"/>
      <c r="BG27" s="221"/>
      <c r="BH27" s="221"/>
      <c r="BI27" s="207"/>
      <c r="BJ27" s="221"/>
      <c r="BK27" s="221"/>
      <c r="BL27" s="221"/>
      <c r="BM27" s="221"/>
      <c r="BN27" s="221"/>
      <c r="BO27" s="207"/>
    </row>
    <row r="28" spans="1:67" s="194" customFormat="1" ht="22.5" customHeight="1" thickBot="1">
      <c r="A28" s="196" t="s">
        <v>12</v>
      </c>
      <c r="B28" s="197">
        <f t="shared" ref="B28:AF28" si="11">AVERAGE(B6:B26)</f>
        <v>90.95</v>
      </c>
      <c r="C28" s="197">
        <f t="shared" si="11"/>
        <v>74.808333333333337</v>
      </c>
      <c r="D28" s="197">
        <f t="shared" si="11"/>
        <v>87.5</v>
      </c>
      <c r="E28" s="197">
        <f t="shared" si="11"/>
        <v>84.123076923076923</v>
      </c>
      <c r="F28" s="197" t="e">
        <f t="shared" si="11"/>
        <v>#DIV/0!</v>
      </c>
      <c r="G28" s="198">
        <f>AVERAGE(G6:G26)</f>
        <v>83.498717948717939</v>
      </c>
      <c r="H28" s="198">
        <f>AVERAGE(H6:H26)</f>
        <v>87.115384615384613</v>
      </c>
      <c r="I28" s="199">
        <f>AVERAGE(I6:I26)</f>
        <v>88.98571428571428</v>
      </c>
      <c r="J28" s="199">
        <f>AVERAGE(J6:J26)</f>
        <v>88.976923076923057</v>
      </c>
      <c r="K28" s="199">
        <f>AVERAGE(K6:K26)</f>
        <v>88.663636363636357</v>
      </c>
      <c r="L28" s="199" t="e">
        <f t="shared" si="11"/>
        <v>#DIV/0!</v>
      </c>
      <c r="M28" s="199">
        <f>AVERAGE(M6:M26)</f>
        <v>88.352976190476184</v>
      </c>
      <c r="N28" s="200">
        <f>AVERAGE(N6:N26)</f>
        <v>88.15384615384616</v>
      </c>
      <c r="O28" s="200">
        <f t="shared" si="11"/>
        <v>87.5</v>
      </c>
      <c r="P28" s="200">
        <f t="shared" si="11"/>
        <v>91.25</v>
      </c>
      <c r="Q28" s="200">
        <f t="shared" si="11"/>
        <v>76.676923076923089</v>
      </c>
      <c r="R28" s="200">
        <f t="shared" si="11"/>
        <v>83.092857142857142</v>
      </c>
      <c r="S28" s="199">
        <f>AVERAGE(S6:S26)</f>
        <v>83.400641025641022</v>
      </c>
      <c r="T28" s="200">
        <f>AVERAGE(T6:T26)</f>
        <v>84.699999999999989</v>
      </c>
      <c r="U28" s="197">
        <f>AVERAGE(U6:U26)</f>
        <v>83.183333333333337</v>
      </c>
      <c r="V28" s="200">
        <f>AVERAGE(V6:V26)</f>
        <v>78.885714285714286</v>
      </c>
      <c r="W28" s="200">
        <f t="shared" si="11"/>
        <v>85.078571428571422</v>
      </c>
      <c r="X28" s="200" t="e">
        <f t="shared" si="11"/>
        <v>#DIV/0!</v>
      </c>
      <c r="Y28" s="198">
        <f>AVERAGE(Y6:Y26)</f>
        <v>82.877976190476176</v>
      </c>
      <c r="Z28" s="197">
        <f>AVERAGE(Z6:Z26)</f>
        <v>82.309090909090912</v>
      </c>
      <c r="AA28" s="197">
        <f>AVERAGE(AA6:AA26)</f>
        <v>88.371428571428581</v>
      </c>
      <c r="AB28" s="200">
        <f t="shared" si="11"/>
        <v>97.433333333333337</v>
      </c>
      <c r="AC28" s="200">
        <f t="shared" si="11"/>
        <v>88.308333333333323</v>
      </c>
      <c r="AD28" s="200">
        <f t="shared" si="11"/>
        <v>96.333333333333329</v>
      </c>
      <c r="AE28" s="199">
        <f>AVERAGE(AE6:AE26)</f>
        <v>87.004888888888885</v>
      </c>
      <c r="AF28" s="200" t="e">
        <f t="shared" si="11"/>
        <v>#DIV/0!</v>
      </c>
      <c r="AG28" s="200">
        <f>AVERAGE(AG6:AG27)</f>
        <v>90.144444444444446</v>
      </c>
      <c r="AH28" s="200">
        <f t="shared" ref="AH28:BM28" si="12">AVERAGE(AH6:AH26)</f>
        <v>92.285714285714292</v>
      </c>
      <c r="AI28" s="200">
        <f t="shared" si="12"/>
        <v>90</v>
      </c>
      <c r="AJ28" s="200" t="e">
        <f t="shared" si="12"/>
        <v>#DIV/0!</v>
      </c>
      <c r="AK28" s="201">
        <f>AVERAGE(AK6:AK27)</f>
        <v>91.104545454545459</v>
      </c>
      <c r="AL28" s="197">
        <f t="shared" si="12"/>
        <v>93.307692307692307</v>
      </c>
      <c r="AM28" s="197">
        <f t="shared" si="12"/>
        <v>90.125</v>
      </c>
      <c r="AN28" s="197">
        <f t="shared" si="12"/>
        <v>83.666666666666671</v>
      </c>
      <c r="AO28" s="197">
        <f t="shared" si="12"/>
        <v>88.444444444444443</v>
      </c>
      <c r="AP28" s="197" t="e">
        <f t="shared" si="12"/>
        <v>#DIV/0!</v>
      </c>
      <c r="AQ28" s="198">
        <f>AVERAGE(AQ6:AQ27)</f>
        <v>90.202380952380949</v>
      </c>
      <c r="AR28" s="198">
        <f t="shared" si="12"/>
        <v>91.272727272727266</v>
      </c>
      <c r="AS28" s="199">
        <f t="shared" si="12"/>
        <v>86.5</v>
      </c>
      <c r="AT28" s="199">
        <f t="shared" si="12"/>
        <v>93</v>
      </c>
      <c r="AU28" s="199">
        <f t="shared" si="12"/>
        <v>94.125</v>
      </c>
      <c r="AV28" s="199">
        <f t="shared" si="12"/>
        <v>85.333333333333329</v>
      </c>
      <c r="AW28" s="199">
        <f>AVERAGE(AW6:AW26)</f>
        <v>89.777777777777771</v>
      </c>
      <c r="AX28" s="200">
        <f t="shared" si="12"/>
        <v>91.2</v>
      </c>
      <c r="AY28" s="200">
        <f t="shared" si="12"/>
        <v>91</v>
      </c>
      <c r="AZ28" s="200">
        <f t="shared" si="12"/>
        <v>91.545454545454547</v>
      </c>
      <c r="BA28" s="200">
        <f t="shared" si="12"/>
        <v>87.571428571428569</v>
      </c>
      <c r="BB28" s="200" t="e">
        <f t="shared" si="12"/>
        <v>#DIV/0!</v>
      </c>
      <c r="BC28" s="199">
        <f>AVERAGE(BC6:BC26)</f>
        <v>89.958333333333329</v>
      </c>
      <c r="BD28" s="197">
        <f t="shared" si="12"/>
        <v>86.2</v>
      </c>
      <c r="BE28" s="197">
        <f t="shared" si="12"/>
        <v>89.63636363636364</v>
      </c>
      <c r="BF28" s="200">
        <f t="shared" si="12"/>
        <v>85.538461538461533</v>
      </c>
      <c r="BG28" s="200">
        <f t="shared" si="12"/>
        <v>92</v>
      </c>
      <c r="BH28" s="200">
        <f t="shared" si="12"/>
        <v>100</v>
      </c>
      <c r="BI28" s="198">
        <f>AVERAGE(BI6:BI26)</f>
        <v>87.110256410256397</v>
      </c>
      <c r="BJ28" s="200">
        <f t="shared" si="12"/>
        <v>83.5</v>
      </c>
      <c r="BK28" s="200">
        <f t="shared" si="12"/>
        <v>100</v>
      </c>
      <c r="BL28" s="200" t="e">
        <f t="shared" si="12"/>
        <v>#DIV/0!</v>
      </c>
      <c r="BM28" s="200" t="e">
        <f t="shared" si="12"/>
        <v>#DIV/0!</v>
      </c>
      <c r="BN28" s="200" t="e">
        <f t="shared" ref="BN28:BO28" si="13">AVERAGE(BN6:BN26)</f>
        <v>#DIV/0!</v>
      </c>
      <c r="BO28" s="198">
        <f t="shared" si="13"/>
        <v>89</v>
      </c>
    </row>
    <row r="29" spans="1:67" s="194" customFormat="1" ht="22.5" customHeight="1" thickBot="1">
      <c r="A29" s="195" t="s">
        <v>27</v>
      </c>
      <c r="B29" s="510" t="s">
        <v>28</v>
      </c>
      <c r="C29" s="510"/>
      <c r="D29" s="510"/>
      <c r="E29" s="510"/>
      <c r="F29" s="510"/>
      <c r="G29" s="511"/>
      <c r="H29" s="509" t="s">
        <v>28</v>
      </c>
      <c r="I29" s="510"/>
      <c r="J29" s="510"/>
      <c r="K29" s="510"/>
      <c r="L29" s="510"/>
      <c r="M29" s="511"/>
      <c r="N29" s="509" t="s">
        <v>28</v>
      </c>
      <c r="O29" s="510"/>
      <c r="P29" s="510"/>
      <c r="Q29" s="510"/>
      <c r="R29" s="510"/>
      <c r="S29" s="511"/>
      <c r="T29" s="509" t="s">
        <v>28</v>
      </c>
      <c r="U29" s="510"/>
      <c r="V29" s="510"/>
      <c r="W29" s="510"/>
      <c r="X29" s="510"/>
      <c r="Y29" s="511"/>
      <c r="Z29" s="509" t="s">
        <v>28</v>
      </c>
      <c r="AA29" s="510"/>
      <c r="AB29" s="510"/>
      <c r="AC29" s="510"/>
      <c r="AD29" s="510"/>
      <c r="AE29" s="511"/>
      <c r="AF29" s="509" t="s">
        <v>28</v>
      </c>
      <c r="AG29" s="510"/>
      <c r="AH29" s="510"/>
      <c r="AI29" s="510"/>
      <c r="AJ29" s="510"/>
      <c r="AK29" s="511"/>
      <c r="AL29" s="509" t="s">
        <v>28</v>
      </c>
      <c r="AM29" s="510"/>
      <c r="AN29" s="510"/>
      <c r="AO29" s="510"/>
      <c r="AP29" s="510"/>
      <c r="AQ29" s="511"/>
      <c r="AR29" s="509" t="s">
        <v>28</v>
      </c>
      <c r="AS29" s="510"/>
      <c r="AT29" s="510"/>
      <c r="AU29" s="510"/>
      <c r="AV29" s="510"/>
      <c r="AW29" s="511"/>
      <c r="AX29" s="509" t="s">
        <v>28</v>
      </c>
      <c r="AY29" s="510"/>
      <c r="AZ29" s="510"/>
      <c r="BA29" s="510"/>
      <c r="BB29" s="510"/>
      <c r="BC29" s="511"/>
      <c r="BD29" s="509" t="s">
        <v>28</v>
      </c>
      <c r="BE29" s="510"/>
      <c r="BF29" s="510"/>
      <c r="BG29" s="510"/>
      <c r="BH29" s="510"/>
      <c r="BI29" s="511"/>
      <c r="BJ29" s="509" t="s">
        <v>28</v>
      </c>
      <c r="BK29" s="510"/>
      <c r="BL29" s="510"/>
      <c r="BM29" s="510"/>
      <c r="BN29" s="510"/>
      <c r="BO29" s="511"/>
    </row>
    <row r="30" spans="1:67" s="210" customFormat="1" ht="22.5" customHeight="1">
      <c r="A30" s="203" t="s">
        <v>40</v>
      </c>
      <c r="B30" s="204"/>
      <c r="C30" s="211"/>
      <c r="D30" s="211"/>
      <c r="E30" s="211"/>
      <c r="F30" s="206"/>
      <c r="G30" s="207">
        <f>SUM(B30:F30)</f>
        <v>0</v>
      </c>
      <c r="H30" s="211"/>
      <c r="I30" s="211"/>
      <c r="J30" s="211"/>
      <c r="K30" s="211"/>
      <c r="L30" s="208"/>
      <c r="M30" s="207">
        <f>SUM(H30:L30)</f>
        <v>0</v>
      </c>
      <c r="N30" s="211"/>
      <c r="O30" s="211"/>
      <c r="P30" s="211"/>
      <c r="Q30" s="211"/>
      <c r="R30" s="208">
        <v>1</v>
      </c>
      <c r="S30" s="207">
        <f>SUM(N30:R30)</f>
        <v>1</v>
      </c>
      <c r="T30" s="211"/>
      <c r="U30" s="211"/>
      <c r="V30" s="211"/>
      <c r="W30" s="211"/>
      <c r="X30" s="208">
        <v>7</v>
      </c>
      <c r="Y30" s="207">
        <f>SUM(T30:X30)</f>
        <v>7</v>
      </c>
      <c r="Z30" s="211"/>
      <c r="AA30" s="211"/>
      <c r="AB30" s="211"/>
      <c r="AC30" s="211"/>
      <c r="AD30" s="208"/>
      <c r="AE30" s="207">
        <f>SUM(Z30:AD30)</f>
        <v>0</v>
      </c>
      <c r="AF30" s="211"/>
      <c r="AG30" s="211"/>
      <c r="AH30" s="211"/>
      <c r="AI30" s="211"/>
      <c r="AJ30" s="208">
        <v>9</v>
      </c>
      <c r="AK30" s="209">
        <f>SUM(AF30:AJ30)</f>
        <v>9</v>
      </c>
      <c r="AL30" s="204"/>
      <c r="AM30" s="211"/>
      <c r="AN30" s="211"/>
      <c r="AO30" s="211"/>
      <c r="AP30" s="206"/>
      <c r="AQ30" s="207">
        <f>SUM(AL30:AP30)</f>
        <v>0</v>
      </c>
      <c r="AR30" s="211"/>
      <c r="AS30" s="211"/>
      <c r="AT30" s="211"/>
      <c r="AU30" s="211"/>
      <c r="AV30" s="208"/>
      <c r="AW30" s="207">
        <f>SUM(AR30:AV30)</f>
        <v>0</v>
      </c>
      <c r="AX30" s="211"/>
      <c r="AY30" s="211"/>
      <c r="AZ30" s="211"/>
      <c r="BA30" s="211"/>
      <c r="BB30" s="208"/>
      <c r="BC30" s="207">
        <f>SUM(AX30:BB30)</f>
        <v>0</v>
      </c>
      <c r="BD30" s="211"/>
      <c r="BE30" s="211"/>
      <c r="BF30" s="211"/>
      <c r="BG30" s="211"/>
      <c r="BH30" s="208"/>
      <c r="BI30" s="207">
        <f>SUM(BD30:BH30)</f>
        <v>0</v>
      </c>
      <c r="BJ30" s="211"/>
      <c r="BK30" s="211"/>
      <c r="BL30" s="211"/>
      <c r="BM30" s="211"/>
      <c r="BN30" s="208">
        <v>0</v>
      </c>
      <c r="BO30" s="207">
        <f>SUM(BJ30:BN30)</f>
        <v>0</v>
      </c>
    </row>
    <row r="31" spans="1:67" s="210" customFormat="1" ht="22.5" customHeight="1">
      <c r="A31" s="203" t="s">
        <v>41</v>
      </c>
      <c r="B31" s="211"/>
      <c r="C31" s="211"/>
      <c r="D31" s="211"/>
      <c r="E31" s="211"/>
      <c r="F31" s="208"/>
      <c r="G31" s="207">
        <f t="shared" ref="G31:G43" si="14">SUM(B31:F31)</f>
        <v>0</v>
      </c>
      <c r="H31" s="211"/>
      <c r="I31" s="211"/>
      <c r="J31" s="211"/>
      <c r="K31" s="211"/>
      <c r="L31" s="208"/>
      <c r="M31" s="207">
        <f t="shared" ref="M31:M43" si="15">SUM(H31:L31)</f>
        <v>0</v>
      </c>
      <c r="N31" s="211"/>
      <c r="O31" s="211"/>
      <c r="P31" s="211"/>
      <c r="Q31" s="211"/>
      <c r="R31" s="208"/>
      <c r="S31" s="207">
        <f t="shared" ref="S31:S44" si="16">SUM(N31:R31)</f>
        <v>0</v>
      </c>
      <c r="T31" s="211"/>
      <c r="U31" s="211"/>
      <c r="V31" s="211"/>
      <c r="W31" s="211"/>
      <c r="X31" s="208"/>
      <c r="Y31" s="207">
        <f t="shared" ref="Y31:Y43" si="17">SUM(T31:X31)</f>
        <v>0</v>
      </c>
      <c r="Z31" s="211"/>
      <c r="AA31" s="211"/>
      <c r="AB31" s="211"/>
      <c r="AC31" s="211"/>
      <c r="AD31" s="208"/>
      <c r="AE31" s="207">
        <f t="shared" ref="AE31:AE43" si="18">SUM(Z31:AD31)</f>
        <v>0</v>
      </c>
      <c r="AF31" s="211"/>
      <c r="AG31" s="211"/>
      <c r="AH31" s="211"/>
      <c r="AI31" s="211"/>
      <c r="AJ31" s="208">
        <v>1</v>
      </c>
      <c r="AK31" s="209">
        <f t="shared" ref="AK31:AK43" si="19">SUM(AF31:AJ31)</f>
        <v>1</v>
      </c>
      <c r="AL31" s="211"/>
      <c r="AM31" s="211"/>
      <c r="AN31" s="211"/>
      <c r="AO31" s="211"/>
      <c r="AP31" s="208"/>
      <c r="AQ31" s="207">
        <f t="shared" ref="AQ31:AQ43" si="20">SUM(AL31:AP31)</f>
        <v>0</v>
      </c>
      <c r="AR31" s="211"/>
      <c r="AS31" s="211"/>
      <c r="AT31" s="211"/>
      <c r="AU31" s="211"/>
      <c r="AV31" s="208"/>
      <c r="AW31" s="207">
        <f t="shared" ref="AW31:AW43" si="21">SUM(AR31:AV31)</f>
        <v>0</v>
      </c>
      <c r="AX31" s="211"/>
      <c r="AY31" s="211"/>
      <c r="AZ31" s="211"/>
      <c r="BA31" s="211"/>
      <c r="BB31" s="208"/>
      <c r="BC31" s="207">
        <f t="shared" ref="BC31:BC43" si="22">SUM(AX31:BB31)</f>
        <v>0</v>
      </c>
      <c r="BD31" s="211"/>
      <c r="BE31" s="211"/>
      <c r="BF31" s="211"/>
      <c r="BG31" s="211"/>
      <c r="BH31" s="208"/>
      <c r="BI31" s="207">
        <f t="shared" ref="BI31:BI43" si="23">SUM(BD31:BH31)</f>
        <v>0</v>
      </c>
      <c r="BJ31" s="211"/>
      <c r="BK31" s="211"/>
      <c r="BL31" s="211"/>
      <c r="BM31" s="211"/>
      <c r="BN31" s="208">
        <v>0</v>
      </c>
      <c r="BO31" s="207">
        <f t="shared" ref="BO31:BO43" si="24">SUM(BJ31:BN31)</f>
        <v>0</v>
      </c>
    </row>
    <row r="32" spans="1:67" s="210" customFormat="1" ht="22.5" customHeight="1">
      <c r="A32" s="203" t="s">
        <v>42</v>
      </c>
      <c r="B32" s="211"/>
      <c r="C32" s="211"/>
      <c r="D32" s="211"/>
      <c r="E32" s="211"/>
      <c r="F32" s="208"/>
      <c r="G32" s="207">
        <f t="shared" si="14"/>
        <v>0</v>
      </c>
      <c r="H32" s="211"/>
      <c r="I32" s="211"/>
      <c r="J32" s="211"/>
      <c r="K32" s="211"/>
      <c r="L32" s="208"/>
      <c r="M32" s="207">
        <f t="shared" si="15"/>
        <v>0</v>
      </c>
      <c r="N32" s="211"/>
      <c r="O32" s="211"/>
      <c r="P32" s="211"/>
      <c r="Q32" s="211"/>
      <c r="R32" s="208"/>
      <c r="S32" s="207">
        <f t="shared" si="16"/>
        <v>0</v>
      </c>
      <c r="T32" s="211"/>
      <c r="U32" s="211"/>
      <c r="V32" s="211"/>
      <c r="W32" s="211"/>
      <c r="X32" s="208"/>
      <c r="Y32" s="207">
        <f t="shared" si="17"/>
        <v>0</v>
      </c>
      <c r="Z32" s="211"/>
      <c r="AA32" s="211"/>
      <c r="AB32" s="211"/>
      <c r="AC32" s="211"/>
      <c r="AD32" s="208"/>
      <c r="AE32" s="207">
        <f t="shared" si="18"/>
        <v>0</v>
      </c>
      <c r="AF32" s="211"/>
      <c r="AG32" s="211"/>
      <c r="AH32" s="211"/>
      <c r="AI32" s="211"/>
      <c r="AJ32" s="208">
        <v>4</v>
      </c>
      <c r="AK32" s="209">
        <f t="shared" si="19"/>
        <v>4</v>
      </c>
      <c r="AL32" s="211"/>
      <c r="AM32" s="211"/>
      <c r="AN32" s="211"/>
      <c r="AO32" s="211"/>
      <c r="AP32" s="208"/>
      <c r="AQ32" s="207">
        <f t="shared" si="20"/>
        <v>0</v>
      </c>
      <c r="AR32" s="211"/>
      <c r="AS32" s="211"/>
      <c r="AT32" s="211"/>
      <c r="AU32" s="211"/>
      <c r="AV32" s="208"/>
      <c r="AW32" s="207">
        <f t="shared" si="21"/>
        <v>0</v>
      </c>
      <c r="AX32" s="211"/>
      <c r="AY32" s="211"/>
      <c r="AZ32" s="211"/>
      <c r="BA32" s="211"/>
      <c r="BB32" s="208"/>
      <c r="BC32" s="207">
        <f t="shared" si="22"/>
        <v>0</v>
      </c>
      <c r="BD32" s="211"/>
      <c r="BE32" s="211"/>
      <c r="BF32" s="211"/>
      <c r="BG32" s="211"/>
      <c r="BH32" s="208"/>
      <c r="BI32" s="207">
        <f t="shared" si="23"/>
        <v>0</v>
      </c>
      <c r="BJ32" s="211"/>
      <c r="BK32" s="211"/>
      <c r="BL32" s="211"/>
      <c r="BM32" s="211"/>
      <c r="BN32" s="208">
        <v>0</v>
      </c>
      <c r="BO32" s="207">
        <f t="shared" si="24"/>
        <v>0</v>
      </c>
    </row>
    <row r="33" spans="1:67" s="210" customFormat="1" ht="22.5" customHeight="1">
      <c r="A33" s="203" t="s">
        <v>44</v>
      </c>
      <c r="B33" s="211"/>
      <c r="C33" s="211"/>
      <c r="D33" s="211"/>
      <c r="E33" s="211"/>
      <c r="F33" s="208"/>
      <c r="G33" s="207"/>
      <c r="H33" s="211"/>
      <c r="I33" s="211"/>
      <c r="J33" s="211"/>
      <c r="K33" s="211"/>
      <c r="L33" s="208"/>
      <c r="M33" s="207"/>
      <c r="N33" s="211"/>
      <c r="O33" s="211"/>
      <c r="P33" s="211"/>
      <c r="Q33" s="211"/>
      <c r="R33" s="208"/>
      <c r="S33" s="207">
        <f t="shared" si="16"/>
        <v>0</v>
      </c>
      <c r="T33" s="211"/>
      <c r="U33" s="211"/>
      <c r="V33" s="211"/>
      <c r="W33" s="211"/>
      <c r="X33" s="208"/>
      <c r="Y33" s="207"/>
      <c r="Z33" s="211"/>
      <c r="AA33" s="211"/>
      <c r="AB33" s="211"/>
      <c r="AC33" s="211"/>
      <c r="AD33" s="208"/>
      <c r="AE33" s="207"/>
      <c r="AF33" s="211"/>
      <c r="AG33" s="211"/>
      <c r="AH33" s="211"/>
      <c r="AI33" s="211"/>
      <c r="AJ33" s="208">
        <v>0</v>
      </c>
      <c r="AK33" s="209"/>
      <c r="AL33" s="211"/>
      <c r="AM33" s="211"/>
      <c r="AN33" s="211"/>
      <c r="AO33" s="211"/>
      <c r="AP33" s="208"/>
      <c r="AQ33" s="207"/>
      <c r="AR33" s="211"/>
      <c r="AS33" s="211"/>
      <c r="AT33" s="211"/>
      <c r="AU33" s="211"/>
      <c r="AV33" s="208"/>
      <c r="AW33" s="207"/>
      <c r="AX33" s="211"/>
      <c r="AY33" s="211"/>
      <c r="AZ33" s="211"/>
      <c r="BA33" s="211"/>
      <c r="BB33" s="208"/>
      <c r="BC33" s="207"/>
      <c r="BD33" s="211"/>
      <c r="BE33" s="211"/>
      <c r="BF33" s="211"/>
      <c r="BG33" s="211"/>
      <c r="BH33" s="208"/>
      <c r="BI33" s="207"/>
      <c r="BJ33" s="211"/>
      <c r="BK33" s="211"/>
      <c r="BL33" s="211"/>
      <c r="BM33" s="211"/>
      <c r="BN33" s="208">
        <v>1</v>
      </c>
      <c r="BO33" s="207"/>
    </row>
    <row r="34" spans="1:67" s="210" customFormat="1" ht="22.5" customHeight="1">
      <c r="A34" s="203" t="s">
        <v>46</v>
      </c>
      <c r="B34" s="211"/>
      <c r="C34" s="211"/>
      <c r="D34" s="211"/>
      <c r="E34" s="211"/>
      <c r="F34" s="208"/>
      <c r="G34" s="207"/>
      <c r="H34" s="211"/>
      <c r="I34" s="211"/>
      <c r="J34" s="211"/>
      <c r="K34" s="211"/>
      <c r="L34" s="208"/>
      <c r="M34" s="207"/>
      <c r="N34" s="211"/>
      <c r="O34" s="211"/>
      <c r="P34" s="211"/>
      <c r="Q34" s="211"/>
      <c r="R34" s="208"/>
      <c r="S34" s="207">
        <f t="shared" si="16"/>
        <v>0</v>
      </c>
      <c r="T34" s="211"/>
      <c r="U34" s="211"/>
      <c r="V34" s="211"/>
      <c r="W34" s="211"/>
      <c r="X34" s="208"/>
      <c r="Y34" s="207"/>
      <c r="Z34" s="211"/>
      <c r="AA34" s="211"/>
      <c r="AB34" s="211"/>
      <c r="AC34" s="211"/>
      <c r="AD34" s="208"/>
      <c r="AE34" s="207"/>
      <c r="AF34" s="211"/>
      <c r="AG34" s="211"/>
      <c r="AH34" s="211"/>
      <c r="AI34" s="211"/>
      <c r="AJ34" s="208">
        <v>0</v>
      </c>
      <c r="AK34" s="209"/>
      <c r="AL34" s="211"/>
      <c r="AM34" s="211"/>
      <c r="AN34" s="211"/>
      <c r="AO34" s="211"/>
      <c r="AP34" s="208"/>
      <c r="AQ34" s="207"/>
      <c r="AR34" s="211"/>
      <c r="AS34" s="211"/>
      <c r="AT34" s="211"/>
      <c r="AU34" s="211"/>
      <c r="AV34" s="208"/>
      <c r="AW34" s="207"/>
      <c r="AX34" s="211"/>
      <c r="AY34" s="211"/>
      <c r="AZ34" s="211"/>
      <c r="BA34" s="211"/>
      <c r="BB34" s="208"/>
      <c r="BC34" s="207"/>
      <c r="BD34" s="211"/>
      <c r="BE34" s="211"/>
      <c r="BF34" s="211"/>
      <c r="BG34" s="211"/>
      <c r="BH34" s="208"/>
      <c r="BI34" s="207"/>
      <c r="BJ34" s="211"/>
      <c r="BK34" s="211"/>
      <c r="BL34" s="211"/>
      <c r="BM34" s="211"/>
      <c r="BN34" s="208">
        <v>1</v>
      </c>
      <c r="BO34" s="207"/>
    </row>
    <row r="35" spans="1:67" s="210" customFormat="1" ht="22.5" customHeight="1">
      <c r="A35" s="203" t="s">
        <v>47</v>
      </c>
      <c r="B35" s="211"/>
      <c r="C35" s="211"/>
      <c r="D35" s="211"/>
      <c r="E35" s="211"/>
      <c r="F35" s="208"/>
      <c r="G35" s="207"/>
      <c r="H35" s="211"/>
      <c r="I35" s="211"/>
      <c r="J35" s="211"/>
      <c r="K35" s="211"/>
      <c r="L35" s="208"/>
      <c r="M35" s="207"/>
      <c r="N35" s="211"/>
      <c r="O35" s="211"/>
      <c r="P35" s="211"/>
      <c r="Q35" s="211"/>
      <c r="R35" s="208"/>
      <c r="S35" s="207">
        <f t="shared" si="16"/>
        <v>0</v>
      </c>
      <c r="T35" s="211"/>
      <c r="U35" s="211"/>
      <c r="V35" s="211"/>
      <c r="W35" s="211"/>
      <c r="X35" s="208"/>
      <c r="Y35" s="207"/>
      <c r="Z35" s="211"/>
      <c r="AA35" s="211"/>
      <c r="AB35" s="211"/>
      <c r="AC35" s="211"/>
      <c r="AD35" s="208"/>
      <c r="AE35" s="207"/>
      <c r="AF35" s="211"/>
      <c r="AG35" s="211"/>
      <c r="AH35" s="211"/>
      <c r="AI35" s="211"/>
      <c r="AJ35" s="208">
        <v>1</v>
      </c>
      <c r="AK35" s="209"/>
      <c r="AL35" s="211"/>
      <c r="AM35" s="211"/>
      <c r="AN35" s="211"/>
      <c r="AO35" s="211"/>
      <c r="AP35" s="208"/>
      <c r="AQ35" s="207"/>
      <c r="AR35" s="211"/>
      <c r="AS35" s="211"/>
      <c r="AT35" s="211"/>
      <c r="AU35" s="211"/>
      <c r="AV35" s="208"/>
      <c r="AW35" s="207"/>
      <c r="AX35" s="211"/>
      <c r="AY35" s="211"/>
      <c r="AZ35" s="211"/>
      <c r="BA35" s="211"/>
      <c r="BB35" s="208"/>
      <c r="BC35" s="207"/>
      <c r="BD35" s="211"/>
      <c r="BE35" s="211"/>
      <c r="BF35" s="211"/>
      <c r="BG35" s="211"/>
      <c r="BH35" s="208"/>
      <c r="BI35" s="207"/>
      <c r="BJ35" s="211"/>
      <c r="BK35" s="211"/>
      <c r="BL35" s="211"/>
      <c r="BM35" s="211"/>
      <c r="BN35" s="208">
        <v>0</v>
      </c>
      <c r="BO35" s="207"/>
    </row>
    <row r="36" spans="1:67" s="210" customFormat="1" ht="22.5" customHeight="1">
      <c r="A36" s="203" t="s">
        <v>50</v>
      </c>
      <c r="B36" s="211"/>
      <c r="C36" s="211"/>
      <c r="D36" s="211"/>
      <c r="E36" s="211"/>
      <c r="F36" s="208"/>
      <c r="G36" s="207"/>
      <c r="H36" s="211"/>
      <c r="I36" s="211"/>
      <c r="J36" s="211"/>
      <c r="K36" s="211"/>
      <c r="L36" s="208"/>
      <c r="M36" s="207"/>
      <c r="N36" s="211"/>
      <c r="O36" s="211"/>
      <c r="P36" s="211"/>
      <c r="Q36" s="211"/>
      <c r="R36" s="208"/>
      <c r="S36" s="207">
        <f t="shared" si="16"/>
        <v>0</v>
      </c>
      <c r="T36" s="211"/>
      <c r="U36" s="211"/>
      <c r="V36" s="211"/>
      <c r="W36" s="211"/>
      <c r="X36" s="208"/>
      <c r="Y36" s="207"/>
      <c r="Z36" s="211"/>
      <c r="AA36" s="211"/>
      <c r="AB36" s="211"/>
      <c r="AC36" s="211"/>
      <c r="AD36" s="208"/>
      <c r="AE36" s="207"/>
      <c r="AF36" s="211"/>
      <c r="AG36" s="211"/>
      <c r="AH36" s="211"/>
      <c r="AI36" s="211"/>
      <c r="AJ36" s="208">
        <v>0</v>
      </c>
      <c r="AK36" s="209"/>
      <c r="AL36" s="211"/>
      <c r="AM36" s="211"/>
      <c r="AN36" s="211"/>
      <c r="AO36" s="211"/>
      <c r="AP36" s="208"/>
      <c r="AQ36" s="207"/>
      <c r="AR36" s="211"/>
      <c r="AS36" s="211"/>
      <c r="AT36" s="211"/>
      <c r="AU36" s="211"/>
      <c r="AV36" s="208"/>
      <c r="AW36" s="207"/>
      <c r="AX36" s="211"/>
      <c r="AY36" s="211"/>
      <c r="AZ36" s="211"/>
      <c r="BA36" s="211"/>
      <c r="BB36" s="208"/>
      <c r="BC36" s="207"/>
      <c r="BD36" s="211"/>
      <c r="BE36" s="211"/>
      <c r="BF36" s="211"/>
      <c r="BG36" s="211"/>
      <c r="BH36" s="208"/>
      <c r="BI36" s="207"/>
      <c r="BJ36" s="211"/>
      <c r="BK36" s="211"/>
      <c r="BL36" s="211"/>
      <c r="BM36" s="211"/>
      <c r="BN36" s="208">
        <v>0</v>
      </c>
      <c r="BO36" s="207"/>
    </row>
    <row r="37" spans="1:67" s="210" customFormat="1" ht="22.5" customHeight="1">
      <c r="A37" s="203" t="s">
        <v>51</v>
      </c>
      <c r="B37" s="211"/>
      <c r="C37" s="211"/>
      <c r="D37" s="211"/>
      <c r="E37" s="211"/>
      <c r="F37" s="208"/>
      <c r="G37" s="207"/>
      <c r="H37" s="211"/>
      <c r="I37" s="211"/>
      <c r="J37" s="211"/>
      <c r="K37" s="211"/>
      <c r="L37" s="208"/>
      <c r="M37" s="207"/>
      <c r="N37" s="211"/>
      <c r="O37" s="211"/>
      <c r="P37" s="211"/>
      <c r="Q37" s="211"/>
      <c r="R37" s="208"/>
      <c r="S37" s="207">
        <f t="shared" si="16"/>
        <v>0</v>
      </c>
      <c r="T37" s="211"/>
      <c r="U37" s="211"/>
      <c r="V37" s="211"/>
      <c r="W37" s="211"/>
      <c r="X37" s="208"/>
      <c r="Y37" s="207"/>
      <c r="Z37" s="211"/>
      <c r="AA37" s="211"/>
      <c r="AB37" s="211"/>
      <c r="AC37" s="211"/>
      <c r="AD37" s="208"/>
      <c r="AE37" s="207"/>
      <c r="AF37" s="211"/>
      <c r="AG37" s="211"/>
      <c r="AH37" s="211"/>
      <c r="AI37" s="211"/>
      <c r="AJ37" s="208">
        <v>1</v>
      </c>
      <c r="AK37" s="209"/>
      <c r="AL37" s="211"/>
      <c r="AM37" s="211"/>
      <c r="AN37" s="211"/>
      <c r="AO37" s="211"/>
      <c r="AP37" s="208"/>
      <c r="AQ37" s="207"/>
      <c r="AR37" s="211"/>
      <c r="AS37" s="211"/>
      <c r="AT37" s="211"/>
      <c r="AU37" s="211"/>
      <c r="AV37" s="208"/>
      <c r="AW37" s="207"/>
      <c r="AX37" s="211"/>
      <c r="AY37" s="211"/>
      <c r="AZ37" s="211"/>
      <c r="BA37" s="211"/>
      <c r="BB37" s="208"/>
      <c r="BC37" s="207"/>
      <c r="BD37" s="211"/>
      <c r="BE37" s="211"/>
      <c r="BF37" s="211"/>
      <c r="BG37" s="211"/>
      <c r="BH37" s="208"/>
      <c r="BI37" s="207"/>
      <c r="BJ37" s="211"/>
      <c r="BK37" s="211"/>
      <c r="BL37" s="211"/>
      <c r="BM37" s="211"/>
      <c r="BN37" s="208">
        <v>8</v>
      </c>
      <c r="BO37" s="207"/>
    </row>
    <row r="38" spans="1:67" s="210" customFormat="1" ht="22.5" customHeight="1">
      <c r="A38" s="203" t="s">
        <v>52</v>
      </c>
      <c r="B38" s="211"/>
      <c r="C38" s="211"/>
      <c r="D38" s="211"/>
      <c r="E38" s="211"/>
      <c r="F38" s="208"/>
      <c r="G38" s="207"/>
      <c r="H38" s="211"/>
      <c r="I38" s="211"/>
      <c r="J38" s="211"/>
      <c r="K38" s="211"/>
      <c r="L38" s="208"/>
      <c r="M38" s="207"/>
      <c r="N38" s="211"/>
      <c r="O38" s="211">
        <v>2</v>
      </c>
      <c r="P38" s="211"/>
      <c r="Q38" s="211"/>
      <c r="R38" s="208"/>
      <c r="S38" s="207">
        <f t="shared" si="16"/>
        <v>2</v>
      </c>
      <c r="T38" s="211"/>
      <c r="U38" s="211">
        <v>2</v>
      </c>
      <c r="V38" s="211"/>
      <c r="W38" s="211"/>
      <c r="X38" s="208"/>
      <c r="Y38" s="207"/>
      <c r="Z38" s="211"/>
      <c r="AA38" s="211"/>
      <c r="AB38" s="211"/>
      <c r="AC38" s="211"/>
      <c r="AD38" s="208"/>
      <c r="AE38" s="207"/>
      <c r="AF38" s="211"/>
      <c r="AG38" s="211"/>
      <c r="AH38" s="211"/>
      <c r="AI38" s="211"/>
      <c r="AJ38" s="208">
        <v>2</v>
      </c>
      <c r="AK38" s="209"/>
      <c r="AL38" s="211"/>
      <c r="AM38" s="211"/>
      <c r="AN38" s="211"/>
      <c r="AO38" s="211"/>
      <c r="AP38" s="208"/>
      <c r="AQ38" s="207"/>
      <c r="AR38" s="211"/>
      <c r="AS38" s="211"/>
      <c r="AT38" s="211"/>
      <c r="AU38" s="211"/>
      <c r="AV38" s="208"/>
      <c r="AW38" s="207"/>
      <c r="AX38" s="211"/>
      <c r="AY38" s="211"/>
      <c r="AZ38" s="211"/>
      <c r="BA38" s="211"/>
      <c r="BB38" s="208"/>
      <c r="BC38" s="207"/>
      <c r="BD38" s="211"/>
      <c r="BE38" s="211"/>
      <c r="BF38" s="211"/>
      <c r="BG38" s="211"/>
      <c r="BH38" s="208"/>
      <c r="BI38" s="207"/>
      <c r="BJ38" s="211"/>
      <c r="BK38" s="211"/>
      <c r="BL38" s="211"/>
      <c r="BM38" s="211"/>
      <c r="BN38" s="208">
        <v>1</v>
      </c>
      <c r="BO38" s="207"/>
    </row>
    <row r="39" spans="1:67" s="210" customFormat="1" ht="22.5" customHeight="1">
      <c r="A39" s="203" t="s">
        <v>53</v>
      </c>
      <c r="B39" s="211"/>
      <c r="C39" s="211"/>
      <c r="D39" s="211"/>
      <c r="E39" s="211"/>
      <c r="F39" s="208"/>
      <c r="G39" s="207"/>
      <c r="H39" s="211"/>
      <c r="I39" s="211"/>
      <c r="J39" s="211"/>
      <c r="K39" s="211"/>
      <c r="L39" s="208"/>
      <c r="M39" s="207"/>
      <c r="N39" s="211"/>
      <c r="O39" s="211"/>
      <c r="P39" s="211"/>
      <c r="Q39" s="211"/>
      <c r="R39" s="208"/>
      <c r="S39" s="207">
        <f t="shared" si="16"/>
        <v>0</v>
      </c>
      <c r="T39" s="211"/>
      <c r="U39" s="211"/>
      <c r="V39" s="211"/>
      <c r="W39" s="211"/>
      <c r="X39" s="208"/>
      <c r="Y39" s="207"/>
      <c r="Z39" s="211"/>
      <c r="AA39" s="211"/>
      <c r="AB39" s="211"/>
      <c r="AC39" s="211"/>
      <c r="AD39" s="208"/>
      <c r="AE39" s="207"/>
      <c r="AF39" s="211"/>
      <c r="AG39" s="211"/>
      <c r="AH39" s="211"/>
      <c r="AI39" s="211"/>
      <c r="AJ39" s="208">
        <v>0</v>
      </c>
      <c r="AK39" s="209"/>
      <c r="AL39" s="211"/>
      <c r="AM39" s="211"/>
      <c r="AN39" s="211"/>
      <c r="AO39" s="211"/>
      <c r="AP39" s="208"/>
      <c r="AQ39" s="207"/>
      <c r="AR39" s="211"/>
      <c r="AS39" s="211"/>
      <c r="AT39" s="211"/>
      <c r="AU39" s="211"/>
      <c r="AV39" s="208"/>
      <c r="AW39" s="207"/>
      <c r="AX39" s="211"/>
      <c r="AY39" s="211"/>
      <c r="AZ39" s="211"/>
      <c r="BA39" s="211"/>
      <c r="BB39" s="208"/>
      <c r="BC39" s="207"/>
      <c r="BD39" s="211"/>
      <c r="BE39" s="211"/>
      <c r="BF39" s="211"/>
      <c r="BG39" s="211"/>
      <c r="BH39" s="208"/>
      <c r="BI39" s="207"/>
      <c r="BJ39" s="211"/>
      <c r="BK39" s="211"/>
      <c r="BL39" s="211"/>
      <c r="BM39" s="211"/>
      <c r="BN39" s="208">
        <v>0</v>
      </c>
      <c r="BO39" s="207"/>
    </row>
    <row r="40" spans="1:67" s="210" customFormat="1" ht="22.5" customHeight="1">
      <c r="A40" s="203" t="s">
        <v>54</v>
      </c>
      <c r="B40" s="211"/>
      <c r="C40" s="211"/>
      <c r="D40" s="211"/>
      <c r="E40" s="211"/>
      <c r="F40" s="208"/>
      <c r="G40" s="207">
        <f t="shared" si="14"/>
        <v>0</v>
      </c>
      <c r="H40" s="211"/>
      <c r="I40" s="211"/>
      <c r="J40" s="211"/>
      <c r="K40" s="211"/>
      <c r="L40" s="208"/>
      <c r="M40" s="207">
        <f t="shared" si="15"/>
        <v>0</v>
      </c>
      <c r="N40" s="211"/>
      <c r="O40" s="211"/>
      <c r="P40" s="211"/>
      <c r="Q40" s="211"/>
      <c r="R40" s="208"/>
      <c r="S40" s="207">
        <f t="shared" si="16"/>
        <v>0</v>
      </c>
      <c r="T40" s="211"/>
      <c r="U40" s="211"/>
      <c r="V40" s="211"/>
      <c r="W40" s="211"/>
      <c r="X40" s="208"/>
      <c r="Y40" s="207">
        <f t="shared" si="17"/>
        <v>0</v>
      </c>
      <c r="Z40" s="211"/>
      <c r="AA40" s="211"/>
      <c r="AB40" s="211"/>
      <c r="AC40" s="211"/>
      <c r="AD40" s="208"/>
      <c r="AE40" s="207">
        <f t="shared" si="18"/>
        <v>0</v>
      </c>
      <c r="AF40" s="211"/>
      <c r="AG40" s="211"/>
      <c r="AH40" s="211"/>
      <c r="AI40" s="211"/>
      <c r="AJ40" s="208">
        <v>1</v>
      </c>
      <c r="AK40" s="209">
        <f t="shared" si="19"/>
        <v>1</v>
      </c>
      <c r="AL40" s="211"/>
      <c r="AM40" s="211"/>
      <c r="AN40" s="211"/>
      <c r="AO40" s="211"/>
      <c r="AP40" s="208"/>
      <c r="AQ40" s="207">
        <f t="shared" si="20"/>
        <v>0</v>
      </c>
      <c r="AR40" s="211"/>
      <c r="AS40" s="211"/>
      <c r="AT40" s="211"/>
      <c r="AU40" s="211"/>
      <c r="AV40" s="208"/>
      <c r="AW40" s="207">
        <f t="shared" si="21"/>
        <v>0</v>
      </c>
      <c r="AX40" s="211"/>
      <c r="AY40" s="211"/>
      <c r="AZ40" s="211"/>
      <c r="BA40" s="211"/>
      <c r="BB40" s="208"/>
      <c r="BC40" s="207">
        <f t="shared" si="22"/>
        <v>0</v>
      </c>
      <c r="BD40" s="211"/>
      <c r="BE40" s="211"/>
      <c r="BF40" s="211"/>
      <c r="BG40" s="211"/>
      <c r="BH40" s="208"/>
      <c r="BI40" s="207">
        <f t="shared" si="23"/>
        <v>0</v>
      </c>
      <c r="BJ40" s="211"/>
      <c r="BK40" s="211"/>
      <c r="BL40" s="211"/>
      <c r="BM40" s="211"/>
      <c r="BN40" s="208">
        <v>0</v>
      </c>
      <c r="BO40" s="207">
        <f t="shared" si="24"/>
        <v>0</v>
      </c>
    </row>
    <row r="41" spans="1:67" s="210" customFormat="1" ht="22.5" customHeight="1">
      <c r="A41" s="203" t="s">
        <v>55</v>
      </c>
      <c r="B41" s="211"/>
      <c r="C41" s="211"/>
      <c r="D41" s="211"/>
      <c r="E41" s="211"/>
      <c r="F41" s="208"/>
      <c r="G41" s="207">
        <f t="shared" si="14"/>
        <v>0</v>
      </c>
      <c r="H41" s="211"/>
      <c r="I41" s="211"/>
      <c r="J41" s="211"/>
      <c r="K41" s="211"/>
      <c r="L41" s="208"/>
      <c r="M41" s="207">
        <f t="shared" si="15"/>
        <v>0</v>
      </c>
      <c r="N41" s="211"/>
      <c r="O41" s="211"/>
      <c r="P41" s="211"/>
      <c r="Q41" s="211"/>
      <c r="R41" s="208"/>
      <c r="S41" s="207">
        <f t="shared" si="16"/>
        <v>0</v>
      </c>
      <c r="T41" s="211"/>
      <c r="U41" s="211"/>
      <c r="V41" s="211"/>
      <c r="W41" s="211"/>
      <c r="X41" s="208"/>
      <c r="Y41" s="207">
        <f t="shared" si="17"/>
        <v>0</v>
      </c>
      <c r="Z41" s="211"/>
      <c r="AA41" s="211"/>
      <c r="AB41" s="211"/>
      <c r="AC41" s="211"/>
      <c r="AD41" s="208"/>
      <c r="AE41" s="207">
        <f t="shared" si="18"/>
        <v>0</v>
      </c>
      <c r="AF41" s="211"/>
      <c r="AG41" s="211"/>
      <c r="AH41" s="211"/>
      <c r="AI41" s="211"/>
      <c r="AJ41" s="208">
        <v>1</v>
      </c>
      <c r="AK41" s="209">
        <f t="shared" si="19"/>
        <v>1</v>
      </c>
      <c r="AL41" s="211"/>
      <c r="AM41" s="211"/>
      <c r="AN41" s="211"/>
      <c r="AO41" s="211"/>
      <c r="AP41" s="208"/>
      <c r="AQ41" s="207">
        <f t="shared" si="20"/>
        <v>0</v>
      </c>
      <c r="AR41" s="211"/>
      <c r="AS41" s="211"/>
      <c r="AT41" s="211"/>
      <c r="AU41" s="211"/>
      <c r="AV41" s="208"/>
      <c r="AW41" s="207">
        <f t="shared" si="21"/>
        <v>0</v>
      </c>
      <c r="AX41" s="211"/>
      <c r="AY41" s="211"/>
      <c r="AZ41" s="211"/>
      <c r="BA41" s="211"/>
      <c r="BB41" s="208"/>
      <c r="BC41" s="207">
        <f t="shared" si="22"/>
        <v>0</v>
      </c>
      <c r="BD41" s="211"/>
      <c r="BE41" s="211"/>
      <c r="BF41" s="211"/>
      <c r="BG41" s="211"/>
      <c r="BH41" s="208"/>
      <c r="BI41" s="207">
        <f t="shared" si="23"/>
        <v>0</v>
      </c>
      <c r="BJ41" s="211"/>
      <c r="BK41" s="211"/>
      <c r="BL41" s="211"/>
      <c r="BM41" s="211"/>
      <c r="BN41" s="208">
        <v>0</v>
      </c>
      <c r="BO41" s="207">
        <f t="shared" si="24"/>
        <v>0</v>
      </c>
    </row>
    <row r="42" spans="1:67" s="210" customFormat="1" ht="22.5" customHeight="1">
      <c r="A42" s="203" t="s">
        <v>57</v>
      </c>
      <c r="B42" s="211"/>
      <c r="C42" s="211"/>
      <c r="D42" s="211"/>
      <c r="E42" s="211"/>
      <c r="F42" s="208"/>
      <c r="G42" s="207">
        <f t="shared" si="14"/>
        <v>0</v>
      </c>
      <c r="H42" s="211"/>
      <c r="I42" s="211"/>
      <c r="J42" s="211"/>
      <c r="K42" s="211"/>
      <c r="L42" s="208"/>
      <c r="M42" s="207">
        <f t="shared" si="15"/>
        <v>0</v>
      </c>
      <c r="N42" s="211"/>
      <c r="O42" s="211"/>
      <c r="P42" s="211"/>
      <c r="Q42" s="211"/>
      <c r="R42" s="208"/>
      <c r="S42" s="207">
        <f t="shared" si="16"/>
        <v>0</v>
      </c>
      <c r="T42" s="207"/>
      <c r="U42" s="211"/>
      <c r="V42" s="211"/>
      <c r="W42" s="211"/>
      <c r="X42" s="208"/>
      <c r="Y42" s="207">
        <f t="shared" si="17"/>
        <v>0</v>
      </c>
      <c r="Z42" s="211"/>
      <c r="AA42" s="211"/>
      <c r="AB42" s="211"/>
      <c r="AC42" s="211"/>
      <c r="AD42" s="208"/>
      <c r="AE42" s="207">
        <f t="shared" si="18"/>
        <v>0</v>
      </c>
      <c r="AF42" s="211"/>
      <c r="AG42" s="211"/>
      <c r="AH42" s="211"/>
      <c r="AI42" s="211"/>
      <c r="AJ42" s="208">
        <v>2</v>
      </c>
      <c r="AK42" s="209">
        <f t="shared" si="19"/>
        <v>2</v>
      </c>
      <c r="AL42" s="211"/>
      <c r="AM42" s="211"/>
      <c r="AN42" s="211"/>
      <c r="AO42" s="211"/>
      <c r="AP42" s="208"/>
      <c r="AQ42" s="207">
        <f t="shared" si="20"/>
        <v>0</v>
      </c>
      <c r="AR42" s="211"/>
      <c r="AS42" s="211"/>
      <c r="AT42" s="211"/>
      <c r="AU42" s="211"/>
      <c r="AV42" s="208"/>
      <c r="AW42" s="207">
        <f t="shared" si="21"/>
        <v>0</v>
      </c>
      <c r="AX42" s="211"/>
      <c r="AY42" s="211"/>
      <c r="AZ42" s="211"/>
      <c r="BA42" s="211"/>
      <c r="BB42" s="208"/>
      <c r="BC42" s="207">
        <f t="shared" si="22"/>
        <v>0</v>
      </c>
      <c r="BD42" s="211"/>
      <c r="BE42" s="211"/>
      <c r="BF42" s="211"/>
      <c r="BG42" s="211"/>
      <c r="BH42" s="208"/>
      <c r="BI42" s="207">
        <f t="shared" si="23"/>
        <v>0</v>
      </c>
      <c r="BJ42" s="211"/>
      <c r="BK42" s="211"/>
      <c r="BL42" s="211"/>
      <c r="BM42" s="211"/>
      <c r="BN42" s="208">
        <v>0</v>
      </c>
      <c r="BO42" s="207">
        <f t="shared" si="24"/>
        <v>0</v>
      </c>
    </row>
    <row r="43" spans="1:67" s="210" customFormat="1" ht="22.5" customHeight="1">
      <c r="A43" s="203" t="s">
        <v>58</v>
      </c>
      <c r="B43" s="211"/>
      <c r="C43" s="211"/>
      <c r="D43" s="211"/>
      <c r="E43" s="211"/>
      <c r="F43" s="208"/>
      <c r="G43" s="207">
        <f t="shared" si="14"/>
        <v>0</v>
      </c>
      <c r="H43" s="211"/>
      <c r="I43" s="211"/>
      <c r="J43" s="211"/>
      <c r="K43" s="211"/>
      <c r="L43" s="208"/>
      <c r="M43" s="207">
        <f t="shared" si="15"/>
        <v>0</v>
      </c>
      <c r="N43" s="211"/>
      <c r="O43" s="211"/>
      <c r="P43" s="211"/>
      <c r="Q43" s="211"/>
      <c r="R43" s="208"/>
      <c r="S43" s="207">
        <f t="shared" si="16"/>
        <v>0</v>
      </c>
      <c r="T43" s="211"/>
      <c r="U43" s="211"/>
      <c r="V43" s="211"/>
      <c r="W43" s="211"/>
      <c r="X43" s="208"/>
      <c r="Y43" s="207">
        <f t="shared" si="17"/>
        <v>0</v>
      </c>
      <c r="Z43" s="211"/>
      <c r="AA43" s="211"/>
      <c r="AB43" s="211"/>
      <c r="AC43" s="211"/>
      <c r="AD43" s="208"/>
      <c r="AE43" s="207">
        <f t="shared" si="18"/>
        <v>0</v>
      </c>
      <c r="AF43" s="211"/>
      <c r="AG43" s="211"/>
      <c r="AH43" s="211"/>
      <c r="AI43" s="211"/>
      <c r="AJ43" s="208"/>
      <c r="AK43" s="209">
        <f t="shared" si="19"/>
        <v>0</v>
      </c>
      <c r="AL43" s="211"/>
      <c r="AM43" s="211"/>
      <c r="AN43" s="211"/>
      <c r="AO43" s="211"/>
      <c r="AP43" s="208"/>
      <c r="AQ43" s="207">
        <f t="shared" si="20"/>
        <v>0</v>
      </c>
      <c r="AR43" s="211"/>
      <c r="AS43" s="211"/>
      <c r="AT43" s="211"/>
      <c r="AU43" s="211"/>
      <c r="AV43" s="208"/>
      <c r="AW43" s="207">
        <f t="shared" si="21"/>
        <v>0</v>
      </c>
      <c r="AX43" s="211"/>
      <c r="AY43" s="211"/>
      <c r="AZ43" s="211"/>
      <c r="BA43" s="211"/>
      <c r="BB43" s="208"/>
      <c r="BC43" s="207">
        <f t="shared" si="22"/>
        <v>0</v>
      </c>
      <c r="BD43" s="211"/>
      <c r="BE43" s="211"/>
      <c r="BF43" s="211"/>
      <c r="BG43" s="211"/>
      <c r="BH43" s="208"/>
      <c r="BI43" s="207">
        <f t="shared" si="23"/>
        <v>0</v>
      </c>
      <c r="BJ43" s="211"/>
      <c r="BK43" s="211"/>
      <c r="BL43" s="211"/>
      <c r="BM43" s="211"/>
      <c r="BN43" s="208">
        <v>0</v>
      </c>
      <c r="BO43" s="207">
        <f t="shared" si="24"/>
        <v>0</v>
      </c>
    </row>
    <row r="44" spans="1:67" s="210" customFormat="1" ht="22.5" customHeight="1">
      <c r="A44" s="203" t="s">
        <v>59</v>
      </c>
      <c r="B44" s="220"/>
      <c r="C44" s="220"/>
      <c r="D44" s="220"/>
      <c r="E44" s="220"/>
      <c r="F44" s="221"/>
      <c r="G44" s="207"/>
      <c r="H44" s="220"/>
      <c r="I44" s="220"/>
      <c r="J44" s="220"/>
      <c r="K44" s="220"/>
      <c r="L44" s="221"/>
      <c r="M44" s="207"/>
      <c r="N44" s="220"/>
      <c r="O44" s="220"/>
      <c r="P44" s="220"/>
      <c r="Q44" s="220"/>
      <c r="R44" s="221"/>
      <c r="S44" s="207">
        <f t="shared" si="16"/>
        <v>0</v>
      </c>
      <c r="T44" s="220"/>
      <c r="U44" s="220"/>
      <c r="V44" s="220"/>
      <c r="W44" s="220"/>
      <c r="X44" s="221"/>
      <c r="Y44" s="207"/>
      <c r="Z44" s="220"/>
      <c r="AA44" s="220"/>
      <c r="AB44" s="220"/>
      <c r="AC44" s="220"/>
      <c r="AD44" s="221"/>
      <c r="AE44" s="207"/>
      <c r="AF44" s="220"/>
      <c r="AG44" s="220"/>
      <c r="AH44" s="220"/>
      <c r="AI44" s="220"/>
      <c r="AJ44" s="221">
        <v>6</v>
      </c>
      <c r="AK44" s="209"/>
      <c r="AL44" s="220"/>
      <c r="AM44" s="220"/>
      <c r="AN44" s="220"/>
      <c r="AO44" s="220"/>
      <c r="AP44" s="221"/>
      <c r="AQ44" s="207"/>
      <c r="AR44" s="220"/>
      <c r="AS44" s="220"/>
      <c r="AT44" s="220"/>
      <c r="AU44" s="220"/>
      <c r="AV44" s="221"/>
      <c r="AW44" s="207"/>
      <c r="AX44" s="220"/>
      <c r="AY44" s="220"/>
      <c r="AZ44" s="220"/>
      <c r="BA44" s="220"/>
      <c r="BB44" s="221"/>
      <c r="BC44" s="207"/>
      <c r="BD44" s="220"/>
      <c r="BE44" s="220"/>
      <c r="BF44" s="220"/>
      <c r="BG44" s="220"/>
      <c r="BH44" s="221"/>
      <c r="BI44" s="207"/>
      <c r="BJ44" s="220"/>
      <c r="BK44" s="220"/>
      <c r="BL44" s="220"/>
      <c r="BM44" s="220"/>
      <c r="BN44" s="221">
        <v>1</v>
      </c>
      <c r="BO44" s="207"/>
    </row>
    <row r="45" spans="1:67" s="194" customFormat="1" ht="22.5" customHeight="1" thickBot="1">
      <c r="A45" s="202" t="s">
        <v>12</v>
      </c>
      <c r="B45" s="200" t="e">
        <f>AVERAGE(B30:B43)</f>
        <v>#DIV/0!</v>
      </c>
      <c r="C45" s="200" t="e">
        <f t="shared" ref="C45:F45" si="25">AVERAGE(C30:C43)</f>
        <v>#DIV/0!</v>
      </c>
      <c r="D45" s="200" t="e">
        <f t="shared" si="25"/>
        <v>#DIV/0!</v>
      </c>
      <c r="E45" s="200" t="e">
        <f t="shared" si="25"/>
        <v>#DIV/0!</v>
      </c>
      <c r="F45" s="200" t="e">
        <f t="shared" si="25"/>
        <v>#DIV/0!</v>
      </c>
      <c r="G45" s="199">
        <f>SUM(G30:G43)</f>
        <v>0</v>
      </c>
      <c r="H45" s="200" t="e">
        <f>AVERAGE(H30:H43)</f>
        <v>#DIV/0!</v>
      </c>
      <c r="I45" s="200" t="e">
        <f t="shared" ref="I45:L45" si="26">AVERAGE(I30:I43)</f>
        <v>#DIV/0!</v>
      </c>
      <c r="J45" s="200" t="e">
        <f t="shared" si="26"/>
        <v>#DIV/0!</v>
      </c>
      <c r="K45" s="200" t="e">
        <f t="shared" si="26"/>
        <v>#DIV/0!</v>
      </c>
      <c r="L45" s="200" t="e">
        <f t="shared" si="26"/>
        <v>#DIV/0!</v>
      </c>
      <c r="M45" s="199">
        <f>SUM(M30:M43)</f>
        <v>0</v>
      </c>
      <c r="N45" s="200" t="e">
        <f>AVERAGE(N30:N43)</f>
        <v>#DIV/0!</v>
      </c>
      <c r="O45" s="200">
        <f t="shared" ref="O45:Q45" si="27">AVERAGE(O30:O43)</f>
        <v>2</v>
      </c>
      <c r="P45" s="200" t="e">
        <f t="shared" si="27"/>
        <v>#DIV/0!</v>
      </c>
      <c r="Q45" s="200" t="e">
        <f t="shared" si="27"/>
        <v>#DIV/0!</v>
      </c>
      <c r="R45" s="200">
        <f>SUM(R30:R44)</f>
        <v>1</v>
      </c>
      <c r="S45" s="199">
        <f>SUM(S30:S44)</f>
        <v>3</v>
      </c>
      <c r="T45" s="200" t="e">
        <f>AVERAGE(T30:T43)</f>
        <v>#DIV/0!</v>
      </c>
      <c r="U45" s="200">
        <f t="shared" ref="U45:X45" si="28">AVERAGE(U30:U43)</f>
        <v>2</v>
      </c>
      <c r="V45" s="200" t="e">
        <f t="shared" si="28"/>
        <v>#DIV/0!</v>
      </c>
      <c r="W45" s="200" t="e">
        <f t="shared" si="28"/>
        <v>#DIV/0!</v>
      </c>
      <c r="X45" s="200">
        <f t="shared" si="28"/>
        <v>7</v>
      </c>
      <c r="Y45" s="199">
        <f>U45</f>
        <v>2</v>
      </c>
      <c r="Z45" s="200" t="e">
        <f>AVERAGE(Z30:Z43)</f>
        <v>#DIV/0!</v>
      </c>
      <c r="AA45" s="200" t="e">
        <f t="shared" ref="AA45:AD45" si="29">AVERAGE(AA30:AA43)</f>
        <v>#DIV/0!</v>
      </c>
      <c r="AB45" s="200" t="e">
        <f t="shared" si="29"/>
        <v>#DIV/0!</v>
      </c>
      <c r="AC45" s="200" t="e">
        <f t="shared" si="29"/>
        <v>#DIV/0!</v>
      </c>
      <c r="AD45" s="200" t="e">
        <f t="shared" si="29"/>
        <v>#DIV/0!</v>
      </c>
      <c r="AE45" s="199">
        <f>SUM(AE30:AE43)</f>
        <v>0</v>
      </c>
      <c r="AF45" s="200" t="e">
        <f>AVERAGE(AF30:AF43)</f>
        <v>#DIV/0!</v>
      </c>
      <c r="AG45" s="200" t="e">
        <f t="shared" ref="AG45:AJ45" si="30">AVERAGE(AG30:AG43)</f>
        <v>#DIV/0!</v>
      </c>
      <c r="AH45" s="200" t="e">
        <f t="shared" si="30"/>
        <v>#DIV/0!</v>
      </c>
      <c r="AI45" s="200" t="e">
        <f t="shared" si="30"/>
        <v>#DIV/0!</v>
      </c>
      <c r="AJ45" s="200">
        <f t="shared" si="30"/>
        <v>1.6923076923076923</v>
      </c>
      <c r="AK45" s="201">
        <f>SUM(AK30:AK43)</f>
        <v>18</v>
      </c>
      <c r="AL45" s="200" t="e">
        <f>AVERAGE(AL30:AL43)</f>
        <v>#DIV/0!</v>
      </c>
      <c r="AM45" s="200" t="e">
        <f t="shared" ref="AM45:AP45" si="31">AVERAGE(AM30:AM43)</f>
        <v>#DIV/0!</v>
      </c>
      <c r="AN45" s="200" t="e">
        <f t="shared" si="31"/>
        <v>#DIV/0!</v>
      </c>
      <c r="AO45" s="200" t="e">
        <f t="shared" si="31"/>
        <v>#DIV/0!</v>
      </c>
      <c r="AP45" s="200" t="e">
        <f t="shared" si="31"/>
        <v>#DIV/0!</v>
      </c>
      <c r="AQ45" s="199">
        <f>SUM(AQ30:AQ43)</f>
        <v>0</v>
      </c>
      <c r="AR45" s="200" t="e">
        <f>AVERAGE(AR30:AR43)</f>
        <v>#DIV/0!</v>
      </c>
      <c r="AS45" s="200" t="e">
        <f t="shared" ref="AS45:AV45" si="32">AVERAGE(AS30:AS43)</f>
        <v>#DIV/0!</v>
      </c>
      <c r="AT45" s="200" t="e">
        <f t="shared" si="32"/>
        <v>#DIV/0!</v>
      </c>
      <c r="AU45" s="200" t="e">
        <f t="shared" si="32"/>
        <v>#DIV/0!</v>
      </c>
      <c r="AV45" s="200" t="e">
        <f t="shared" si="32"/>
        <v>#DIV/0!</v>
      </c>
      <c r="AW45" s="199">
        <f>SUM(AW30:AW43)</f>
        <v>0</v>
      </c>
      <c r="AX45" s="200" t="e">
        <f>AVERAGE(AX30:AX43)</f>
        <v>#DIV/0!</v>
      </c>
      <c r="AY45" s="200" t="e">
        <f t="shared" ref="AY45:BB45" si="33">AVERAGE(AY30:AY43)</f>
        <v>#DIV/0!</v>
      </c>
      <c r="AZ45" s="200" t="e">
        <f t="shared" si="33"/>
        <v>#DIV/0!</v>
      </c>
      <c r="BA45" s="200" t="e">
        <f t="shared" si="33"/>
        <v>#DIV/0!</v>
      </c>
      <c r="BB45" s="200" t="e">
        <f t="shared" si="33"/>
        <v>#DIV/0!</v>
      </c>
      <c r="BC45" s="199">
        <f>SUM(BC30:BC43)</f>
        <v>0</v>
      </c>
      <c r="BD45" s="200" t="e">
        <f>AVERAGE(BD30:BD43)</f>
        <v>#DIV/0!</v>
      </c>
      <c r="BE45" s="200" t="e">
        <f t="shared" ref="BE45:BH45" si="34">AVERAGE(BE30:BE43)</f>
        <v>#DIV/0!</v>
      </c>
      <c r="BF45" s="200" t="e">
        <f t="shared" si="34"/>
        <v>#DIV/0!</v>
      </c>
      <c r="BG45" s="200" t="e">
        <f t="shared" si="34"/>
        <v>#DIV/0!</v>
      </c>
      <c r="BH45" s="200" t="e">
        <f t="shared" si="34"/>
        <v>#DIV/0!</v>
      </c>
      <c r="BI45" s="199"/>
      <c r="BJ45" s="200" t="e">
        <f>AVERAGE(BJ30:BJ43)</f>
        <v>#DIV/0!</v>
      </c>
      <c r="BK45" s="200" t="e">
        <f t="shared" ref="BK45:BM45" si="35">AVERAGE(BK30:BK43)</f>
        <v>#DIV/0!</v>
      </c>
      <c r="BL45" s="200" t="e">
        <f t="shared" si="35"/>
        <v>#DIV/0!</v>
      </c>
      <c r="BM45" s="200" t="e">
        <f t="shared" si="35"/>
        <v>#DIV/0!</v>
      </c>
      <c r="BN45" s="200"/>
      <c r="BO45" s="199">
        <f>SUM(BO30:BO43)</f>
        <v>0</v>
      </c>
    </row>
    <row r="46" spans="1:67" ht="22.5" hidden="1" customHeight="1" thickBot="1">
      <c r="A46" s="112"/>
      <c r="B46" s="58"/>
      <c r="C46" s="58"/>
      <c r="D46" s="58"/>
      <c r="E46" s="58"/>
      <c r="F46" s="58"/>
      <c r="G46" s="12"/>
      <c r="H46" s="58"/>
      <c r="I46" s="58"/>
      <c r="J46" s="58"/>
      <c r="K46" s="58"/>
      <c r="L46" s="58"/>
      <c r="M46" s="12"/>
      <c r="N46" s="58"/>
      <c r="O46" s="58"/>
      <c r="P46" s="58"/>
      <c r="Q46" s="58"/>
      <c r="R46" s="58"/>
      <c r="S46" s="12"/>
      <c r="T46" s="58"/>
      <c r="U46" s="58"/>
      <c r="V46" s="58"/>
      <c r="W46" s="58"/>
      <c r="X46" s="58"/>
      <c r="Y46" s="12"/>
      <c r="Z46" s="58"/>
      <c r="AA46" s="58"/>
      <c r="AB46" s="58"/>
      <c r="AC46" s="58"/>
      <c r="AD46" s="58"/>
      <c r="AE46" s="12"/>
      <c r="AF46" s="58"/>
      <c r="AG46" s="58"/>
      <c r="AH46" s="58"/>
      <c r="AI46" s="58"/>
      <c r="AJ46" s="58"/>
      <c r="AK46" s="115"/>
      <c r="AL46" s="58"/>
      <c r="AM46" s="58"/>
      <c r="AN46" s="58"/>
      <c r="AO46" s="58"/>
      <c r="AP46" s="58"/>
      <c r="AQ46" s="12"/>
      <c r="AR46" s="58"/>
      <c r="AS46" s="58"/>
      <c r="AT46" s="58"/>
      <c r="AU46" s="58"/>
      <c r="AV46" s="58"/>
      <c r="AW46" s="12"/>
      <c r="AX46" s="58"/>
      <c r="AY46" s="58"/>
      <c r="AZ46" s="58"/>
      <c r="BA46" s="58"/>
      <c r="BB46" s="58"/>
      <c r="BC46" s="12"/>
      <c r="BD46" s="58"/>
      <c r="BE46" s="58"/>
      <c r="BF46" s="58"/>
      <c r="BG46" s="58"/>
      <c r="BH46" s="58"/>
      <c r="BI46" s="12"/>
      <c r="BJ46" s="58"/>
      <c r="BK46" s="58"/>
      <c r="BL46" s="58"/>
      <c r="BM46" s="58"/>
      <c r="BN46" s="58"/>
      <c r="BO46" s="12"/>
    </row>
    <row r="47" spans="1:67" s="194" customFormat="1" ht="22.5" customHeight="1">
      <c r="A47" s="195" t="s">
        <v>29</v>
      </c>
      <c r="B47" s="505" t="s">
        <v>30</v>
      </c>
      <c r="C47" s="505"/>
      <c r="D47" s="505"/>
      <c r="E47" s="505"/>
      <c r="F47" s="505"/>
      <c r="G47" s="508"/>
      <c r="H47" s="504" t="s">
        <v>30</v>
      </c>
      <c r="I47" s="505"/>
      <c r="J47" s="505"/>
      <c r="K47" s="505"/>
      <c r="L47" s="505"/>
      <c r="M47" s="508"/>
      <c r="N47" s="504" t="s">
        <v>30</v>
      </c>
      <c r="O47" s="505"/>
      <c r="P47" s="505"/>
      <c r="Q47" s="505"/>
      <c r="R47" s="505"/>
      <c r="S47" s="508"/>
      <c r="T47" s="504" t="s">
        <v>30</v>
      </c>
      <c r="U47" s="505"/>
      <c r="V47" s="505"/>
      <c r="W47" s="505"/>
      <c r="X47" s="505"/>
      <c r="Y47" s="508"/>
      <c r="Z47" s="504" t="s">
        <v>30</v>
      </c>
      <c r="AA47" s="505"/>
      <c r="AB47" s="505"/>
      <c r="AC47" s="505"/>
      <c r="AD47" s="505"/>
      <c r="AE47" s="508"/>
      <c r="AF47" s="504" t="s">
        <v>30</v>
      </c>
      <c r="AG47" s="505"/>
      <c r="AH47" s="505"/>
      <c r="AI47" s="505"/>
      <c r="AJ47" s="505"/>
      <c r="AK47" s="506"/>
      <c r="AL47" s="507" t="s">
        <v>30</v>
      </c>
      <c r="AM47" s="505"/>
      <c r="AN47" s="505"/>
      <c r="AO47" s="505"/>
      <c r="AP47" s="505"/>
      <c r="AQ47" s="508"/>
      <c r="AR47" s="504" t="s">
        <v>30</v>
      </c>
      <c r="AS47" s="505"/>
      <c r="AT47" s="505"/>
      <c r="AU47" s="505"/>
      <c r="AV47" s="505"/>
      <c r="AW47" s="508"/>
      <c r="AX47" s="504" t="s">
        <v>30</v>
      </c>
      <c r="AY47" s="505"/>
      <c r="AZ47" s="505"/>
      <c r="BA47" s="505"/>
      <c r="BB47" s="505"/>
      <c r="BC47" s="508"/>
      <c r="BD47" s="504" t="s">
        <v>30</v>
      </c>
      <c r="BE47" s="505"/>
      <c r="BF47" s="505"/>
      <c r="BG47" s="505"/>
      <c r="BH47" s="505"/>
      <c r="BI47" s="508"/>
      <c r="BJ47" s="504" t="s">
        <v>30</v>
      </c>
      <c r="BK47" s="505"/>
      <c r="BL47" s="505"/>
      <c r="BM47" s="505"/>
      <c r="BN47" s="505"/>
      <c r="BO47" s="508"/>
    </row>
    <row r="48" spans="1:67" s="210" customFormat="1" ht="22.5" customHeight="1">
      <c r="A48" s="203" t="s">
        <v>40</v>
      </c>
      <c r="B48" s="208">
        <v>18</v>
      </c>
      <c r="C48" s="208"/>
      <c r="D48" s="208"/>
      <c r="E48" s="208"/>
      <c r="F48" s="208">
        <v>18</v>
      </c>
      <c r="G48" s="212">
        <f>F48</f>
        <v>18</v>
      </c>
      <c r="H48" s="211"/>
      <c r="I48" s="211"/>
      <c r="J48" s="211"/>
      <c r="K48" s="211"/>
      <c r="L48" s="208">
        <v>18</v>
      </c>
      <c r="M48" s="207">
        <f>L48</f>
        <v>18</v>
      </c>
      <c r="N48" s="211"/>
      <c r="O48" s="211"/>
      <c r="P48" s="211"/>
      <c r="Q48" s="211"/>
      <c r="R48" s="208">
        <v>20</v>
      </c>
      <c r="S48" s="207">
        <f>SUM(N48:R48)</f>
        <v>20</v>
      </c>
      <c r="T48" s="211"/>
      <c r="U48" s="211"/>
      <c r="V48" s="211"/>
      <c r="W48" s="211"/>
      <c r="X48" s="208"/>
      <c r="Y48" s="207">
        <v>20</v>
      </c>
      <c r="Z48" s="211"/>
      <c r="AA48" s="211"/>
      <c r="AB48" s="211"/>
      <c r="AC48" s="211"/>
      <c r="AD48" s="208">
        <v>22</v>
      </c>
      <c r="AE48" s="207">
        <f>SUM(Z48:AD48)</f>
        <v>22</v>
      </c>
      <c r="AF48" s="211"/>
      <c r="AG48" s="211"/>
      <c r="AH48" s="211"/>
      <c r="AI48" s="211"/>
      <c r="AJ48" s="246">
        <v>22</v>
      </c>
      <c r="AK48" s="209">
        <f>AJ48</f>
        <v>22</v>
      </c>
      <c r="AL48" s="208">
        <v>22</v>
      </c>
      <c r="AM48" s="208"/>
      <c r="AN48" s="208"/>
      <c r="AO48" s="208"/>
      <c r="AP48" s="208">
        <v>22</v>
      </c>
      <c r="AQ48" s="212">
        <f>SUM(AP48)</f>
        <v>22</v>
      </c>
      <c r="AR48" s="211"/>
      <c r="AS48" s="211"/>
      <c r="AT48" s="211"/>
      <c r="AU48" s="211"/>
      <c r="AV48" s="208">
        <v>22</v>
      </c>
      <c r="AW48" s="207">
        <f>SUM(AR48:AV48)</f>
        <v>22</v>
      </c>
      <c r="AX48" s="211"/>
      <c r="AY48" s="211"/>
      <c r="AZ48" s="211"/>
      <c r="BA48" s="211"/>
      <c r="BB48" s="208">
        <v>22</v>
      </c>
      <c r="BC48" s="207">
        <f>SUM(AX48:BB48)</f>
        <v>22</v>
      </c>
      <c r="BD48" s="211"/>
      <c r="BE48" s="211"/>
      <c r="BF48" s="211"/>
      <c r="BG48" s="211"/>
      <c r="BH48" s="208">
        <v>22</v>
      </c>
      <c r="BI48" s="207">
        <f>BH48</f>
        <v>22</v>
      </c>
      <c r="BJ48" s="211"/>
      <c r="BK48" s="211"/>
      <c r="BL48" s="211"/>
      <c r="BM48" s="211"/>
      <c r="BN48" s="208">
        <v>22</v>
      </c>
      <c r="BO48" s="207">
        <f>BN48</f>
        <v>22</v>
      </c>
    </row>
    <row r="49" spans="1:67" s="210" customFormat="1" ht="22.5" customHeight="1">
      <c r="A49" s="203" t="s">
        <v>41</v>
      </c>
      <c r="B49" s="208">
        <v>19</v>
      </c>
      <c r="C49" s="208"/>
      <c r="D49" s="208"/>
      <c r="E49" s="208"/>
      <c r="F49" s="208">
        <v>19</v>
      </c>
      <c r="G49" s="212">
        <f t="shared" ref="G49:G62" si="36">F49</f>
        <v>19</v>
      </c>
      <c r="H49" s="211"/>
      <c r="I49" s="211"/>
      <c r="J49" s="211"/>
      <c r="K49" s="211"/>
      <c r="L49" s="208">
        <v>19</v>
      </c>
      <c r="M49" s="207">
        <f t="shared" ref="M49:M62" si="37">L49</f>
        <v>19</v>
      </c>
      <c r="N49" s="211"/>
      <c r="O49" s="211"/>
      <c r="P49" s="211"/>
      <c r="Q49" s="211"/>
      <c r="R49" s="208">
        <v>19</v>
      </c>
      <c r="S49" s="207">
        <f t="shared" ref="S49:S62" si="38">SUM(N49:R49)</f>
        <v>19</v>
      </c>
      <c r="T49" s="211"/>
      <c r="U49" s="211"/>
      <c r="V49" s="211"/>
      <c r="W49" s="211"/>
      <c r="X49" s="208"/>
      <c r="Y49" s="207">
        <v>19</v>
      </c>
      <c r="Z49" s="211"/>
      <c r="AA49" s="211"/>
      <c r="AB49" s="211"/>
      <c r="AC49" s="211"/>
      <c r="AD49" s="247">
        <v>17</v>
      </c>
      <c r="AE49" s="207">
        <f t="shared" ref="AE49:AE66" si="39">SUM(Z49:AD49)</f>
        <v>17</v>
      </c>
      <c r="AF49" s="211"/>
      <c r="AG49" s="211"/>
      <c r="AH49" s="211"/>
      <c r="AI49" s="211"/>
      <c r="AJ49" s="247">
        <v>17</v>
      </c>
      <c r="AK49" s="209">
        <f t="shared" ref="AK49:AK67" si="40">AJ49</f>
        <v>17</v>
      </c>
      <c r="AL49" s="208">
        <v>14</v>
      </c>
      <c r="AM49" s="208"/>
      <c r="AN49" s="208"/>
      <c r="AO49" s="208"/>
      <c r="AP49" s="208">
        <v>14</v>
      </c>
      <c r="AQ49" s="212">
        <f t="shared" ref="AQ49:AQ67" si="41">SUM(AP49)</f>
        <v>14</v>
      </c>
      <c r="AR49" s="211"/>
      <c r="AS49" s="211"/>
      <c r="AT49" s="211"/>
      <c r="AU49" s="211"/>
      <c r="AV49" s="208">
        <v>2</v>
      </c>
      <c r="AW49" s="207">
        <f t="shared" ref="AW49:AW62" si="42">SUM(AR49:AV49)</f>
        <v>2</v>
      </c>
      <c r="AX49" s="211"/>
      <c r="AY49" s="211"/>
      <c r="AZ49" s="211"/>
      <c r="BA49" s="211"/>
      <c r="BB49" s="208">
        <v>2</v>
      </c>
      <c r="BC49" s="207">
        <f t="shared" ref="BC49:BC62" si="43">SUM(AX49:BB49)</f>
        <v>2</v>
      </c>
      <c r="BD49" s="211"/>
      <c r="BE49" s="211"/>
      <c r="BF49" s="211"/>
      <c r="BG49" s="211"/>
      <c r="BH49" s="208"/>
      <c r="BI49" s="207">
        <f t="shared" ref="BI49:BI68" si="44">BH49</f>
        <v>0</v>
      </c>
      <c r="BJ49" s="211"/>
      <c r="BK49" s="211"/>
      <c r="BL49" s="211"/>
      <c r="BM49" s="211"/>
      <c r="BN49" s="208"/>
      <c r="BO49" s="207">
        <f t="shared" ref="BO49:BO68" si="45">BN49</f>
        <v>0</v>
      </c>
    </row>
    <row r="50" spans="1:67" s="210" customFormat="1" ht="22.5" customHeight="1">
      <c r="A50" s="203" t="s">
        <v>42</v>
      </c>
      <c r="B50" s="208">
        <v>35</v>
      </c>
      <c r="C50" s="208"/>
      <c r="D50" s="208"/>
      <c r="E50" s="208"/>
      <c r="F50" s="208">
        <v>35</v>
      </c>
      <c r="G50" s="212">
        <f t="shared" si="36"/>
        <v>35</v>
      </c>
      <c r="H50" s="211"/>
      <c r="I50" s="211"/>
      <c r="J50" s="211"/>
      <c r="K50" s="211"/>
      <c r="L50" s="208">
        <v>35</v>
      </c>
      <c r="M50" s="207">
        <f t="shared" si="37"/>
        <v>35</v>
      </c>
      <c r="N50" s="211"/>
      <c r="O50" s="211"/>
      <c r="P50" s="211"/>
      <c r="Q50" s="211"/>
      <c r="R50" s="208">
        <v>42</v>
      </c>
      <c r="S50" s="207">
        <f t="shared" si="38"/>
        <v>42</v>
      </c>
      <c r="T50" s="211"/>
      <c r="U50" s="211"/>
      <c r="V50" s="211"/>
      <c r="W50" s="211"/>
      <c r="X50" s="208"/>
      <c r="Y50" s="207">
        <v>42</v>
      </c>
      <c r="Z50" s="211"/>
      <c r="AA50" s="211"/>
      <c r="AB50" s="211"/>
      <c r="AC50" s="211"/>
      <c r="AD50" s="208">
        <v>45</v>
      </c>
      <c r="AE50" s="207">
        <f t="shared" si="39"/>
        <v>45</v>
      </c>
      <c r="AF50" s="211"/>
      <c r="AG50" s="211"/>
      <c r="AH50" s="211"/>
      <c r="AI50" s="211"/>
      <c r="AJ50" s="246">
        <v>43</v>
      </c>
      <c r="AK50" s="209">
        <f t="shared" si="40"/>
        <v>43</v>
      </c>
      <c r="AL50" s="208">
        <v>36</v>
      </c>
      <c r="AM50" s="208"/>
      <c r="AN50" s="208"/>
      <c r="AO50" s="208"/>
      <c r="AP50" s="208">
        <v>36</v>
      </c>
      <c r="AQ50" s="212">
        <f t="shared" si="41"/>
        <v>36</v>
      </c>
      <c r="AR50" s="211"/>
      <c r="AS50" s="211"/>
      <c r="AT50" s="211"/>
      <c r="AU50" s="211"/>
      <c r="AV50" s="208">
        <v>36</v>
      </c>
      <c r="AW50" s="207">
        <f t="shared" si="42"/>
        <v>36</v>
      </c>
      <c r="AX50" s="211"/>
      <c r="AY50" s="211"/>
      <c r="AZ50" s="211"/>
      <c r="BA50" s="211"/>
      <c r="BB50" s="208">
        <v>36</v>
      </c>
      <c r="BC50" s="207">
        <f t="shared" si="43"/>
        <v>36</v>
      </c>
      <c r="BD50" s="211"/>
      <c r="BE50" s="211"/>
      <c r="BF50" s="211"/>
      <c r="BG50" s="211"/>
      <c r="BH50" s="208">
        <v>36</v>
      </c>
      <c r="BI50" s="207">
        <f t="shared" si="44"/>
        <v>36</v>
      </c>
      <c r="BJ50" s="211"/>
      <c r="BK50" s="211"/>
      <c r="BL50" s="211"/>
      <c r="BM50" s="211"/>
      <c r="BN50" s="208">
        <v>36</v>
      </c>
      <c r="BO50" s="207">
        <f t="shared" si="45"/>
        <v>36</v>
      </c>
    </row>
    <row r="51" spans="1:67" s="210" customFormat="1" ht="22.5" customHeight="1">
      <c r="A51" s="203" t="s">
        <v>44</v>
      </c>
      <c r="B51" s="208">
        <v>35</v>
      </c>
      <c r="C51" s="208"/>
      <c r="D51" s="208"/>
      <c r="E51" s="208"/>
      <c r="F51" s="208">
        <v>35</v>
      </c>
      <c r="G51" s="212">
        <f t="shared" si="36"/>
        <v>35</v>
      </c>
      <c r="H51" s="211"/>
      <c r="I51" s="211"/>
      <c r="J51" s="211"/>
      <c r="K51" s="211"/>
      <c r="L51" s="208">
        <v>35</v>
      </c>
      <c r="M51" s="207">
        <f t="shared" si="37"/>
        <v>35</v>
      </c>
      <c r="N51" s="211"/>
      <c r="O51" s="211"/>
      <c r="P51" s="211"/>
      <c r="Q51" s="211"/>
      <c r="R51" s="208">
        <v>35</v>
      </c>
      <c r="S51" s="207">
        <f t="shared" si="38"/>
        <v>35</v>
      </c>
      <c r="T51" s="211"/>
      <c r="U51" s="211"/>
      <c r="V51" s="211"/>
      <c r="W51" s="211"/>
      <c r="X51" s="208"/>
      <c r="Y51" s="207">
        <v>35</v>
      </c>
      <c r="Z51" s="211"/>
      <c r="AA51" s="211"/>
      <c r="AB51" s="211"/>
      <c r="AC51" s="211"/>
      <c r="AD51" s="246">
        <v>36</v>
      </c>
      <c r="AE51" s="207">
        <f t="shared" si="39"/>
        <v>36</v>
      </c>
      <c r="AF51" s="211"/>
      <c r="AG51" s="211"/>
      <c r="AH51" s="211"/>
      <c r="AI51" s="211"/>
      <c r="AJ51" s="246">
        <v>37</v>
      </c>
      <c r="AK51" s="209">
        <f t="shared" si="40"/>
        <v>37</v>
      </c>
      <c r="AL51" s="208">
        <v>37</v>
      </c>
      <c r="AM51" s="208"/>
      <c r="AN51" s="208"/>
      <c r="AO51" s="208"/>
      <c r="AP51" s="208">
        <v>37</v>
      </c>
      <c r="AQ51" s="212">
        <f t="shared" si="41"/>
        <v>37</v>
      </c>
      <c r="AR51" s="211"/>
      <c r="AS51" s="211"/>
      <c r="AT51" s="211"/>
      <c r="AU51" s="211"/>
      <c r="AV51" s="208">
        <v>36</v>
      </c>
      <c r="AW51" s="207">
        <f t="shared" si="42"/>
        <v>36</v>
      </c>
      <c r="AX51" s="211"/>
      <c r="AY51" s="211"/>
      <c r="AZ51" s="211"/>
      <c r="BA51" s="211"/>
      <c r="BB51" s="208">
        <v>36</v>
      </c>
      <c r="BC51" s="207">
        <f t="shared" si="43"/>
        <v>36</v>
      </c>
      <c r="BD51" s="211"/>
      <c r="BE51" s="211"/>
      <c r="BF51" s="211"/>
      <c r="BG51" s="211"/>
      <c r="BH51" s="208">
        <v>38</v>
      </c>
      <c r="BI51" s="207">
        <f t="shared" si="44"/>
        <v>38</v>
      </c>
      <c r="BJ51" s="211"/>
      <c r="BK51" s="211"/>
      <c r="BL51" s="211"/>
      <c r="BM51" s="211"/>
      <c r="BN51" s="208">
        <v>38</v>
      </c>
      <c r="BO51" s="207">
        <f t="shared" si="45"/>
        <v>38</v>
      </c>
    </row>
    <row r="52" spans="1:67" s="210" customFormat="1" ht="22.5" customHeight="1">
      <c r="A52" s="203" t="s">
        <v>46</v>
      </c>
      <c r="B52" s="208">
        <v>15</v>
      </c>
      <c r="C52" s="208"/>
      <c r="D52" s="208"/>
      <c r="E52" s="208"/>
      <c r="F52" s="208">
        <v>15</v>
      </c>
      <c r="G52" s="212">
        <f t="shared" si="36"/>
        <v>15</v>
      </c>
      <c r="H52" s="211"/>
      <c r="I52" s="211"/>
      <c r="J52" s="211"/>
      <c r="K52" s="211"/>
      <c r="L52" s="208">
        <v>15</v>
      </c>
      <c r="M52" s="207">
        <f t="shared" si="37"/>
        <v>15</v>
      </c>
      <c r="N52" s="211"/>
      <c r="O52" s="211"/>
      <c r="P52" s="211"/>
      <c r="Q52" s="211"/>
      <c r="R52" s="208">
        <v>19</v>
      </c>
      <c r="S52" s="207">
        <f t="shared" si="38"/>
        <v>19</v>
      </c>
      <c r="T52" s="211"/>
      <c r="U52" s="211"/>
      <c r="V52" s="211"/>
      <c r="W52" s="211"/>
      <c r="X52" s="208"/>
      <c r="Y52" s="207">
        <v>19</v>
      </c>
      <c r="Z52" s="211"/>
      <c r="AA52" s="211"/>
      <c r="AB52" s="211"/>
      <c r="AC52" s="211"/>
      <c r="AD52" s="247">
        <v>17</v>
      </c>
      <c r="AE52" s="207">
        <f t="shared" si="39"/>
        <v>17</v>
      </c>
      <c r="AF52" s="211"/>
      <c r="AG52" s="211"/>
      <c r="AH52" s="211"/>
      <c r="AI52" s="211"/>
      <c r="AJ52" s="246">
        <v>17</v>
      </c>
      <c r="AK52" s="209">
        <f t="shared" si="40"/>
        <v>17</v>
      </c>
      <c r="AL52" s="208">
        <v>15</v>
      </c>
      <c r="AM52" s="208"/>
      <c r="AN52" s="208"/>
      <c r="AO52" s="208"/>
      <c r="AP52" s="208">
        <v>15</v>
      </c>
      <c r="AQ52" s="212">
        <f t="shared" si="41"/>
        <v>15</v>
      </c>
      <c r="AR52" s="211"/>
      <c r="AS52" s="211"/>
      <c r="AT52" s="211"/>
      <c r="AU52" s="211"/>
      <c r="AV52" s="208">
        <v>15</v>
      </c>
      <c r="AW52" s="207">
        <f t="shared" si="42"/>
        <v>15</v>
      </c>
      <c r="AX52" s="211"/>
      <c r="AY52" s="211"/>
      <c r="AZ52" s="211"/>
      <c r="BA52" s="211"/>
      <c r="BB52" s="208">
        <v>15</v>
      </c>
      <c r="BC52" s="207">
        <f t="shared" si="43"/>
        <v>15</v>
      </c>
      <c r="BD52" s="211"/>
      <c r="BE52" s="211"/>
      <c r="BF52" s="211"/>
      <c r="BG52" s="211"/>
      <c r="BH52" s="208">
        <v>14</v>
      </c>
      <c r="BI52" s="207">
        <f t="shared" si="44"/>
        <v>14</v>
      </c>
      <c r="BJ52" s="211"/>
      <c r="BK52" s="211"/>
      <c r="BL52" s="211"/>
      <c r="BM52" s="211"/>
      <c r="BN52" s="208">
        <v>14</v>
      </c>
      <c r="BO52" s="207">
        <f t="shared" si="45"/>
        <v>14</v>
      </c>
    </row>
    <row r="53" spans="1:67" s="210" customFormat="1" ht="22.5" customHeight="1">
      <c r="A53" s="203" t="s">
        <v>47</v>
      </c>
      <c r="B53" s="208">
        <v>15</v>
      </c>
      <c r="C53" s="208"/>
      <c r="D53" s="208"/>
      <c r="E53" s="208"/>
      <c r="F53" s="208">
        <v>15</v>
      </c>
      <c r="G53" s="212">
        <f t="shared" si="36"/>
        <v>15</v>
      </c>
      <c r="H53" s="211"/>
      <c r="I53" s="211"/>
      <c r="J53" s="211"/>
      <c r="K53" s="211"/>
      <c r="L53" s="208">
        <v>15</v>
      </c>
      <c r="M53" s="207">
        <f t="shared" si="37"/>
        <v>15</v>
      </c>
      <c r="N53" s="211"/>
      <c r="O53" s="211"/>
      <c r="P53" s="211"/>
      <c r="Q53" s="211"/>
      <c r="R53" s="208">
        <v>16</v>
      </c>
      <c r="S53" s="207">
        <f t="shared" si="38"/>
        <v>16</v>
      </c>
      <c r="T53" s="211"/>
      <c r="U53" s="211"/>
      <c r="V53" s="211"/>
      <c r="W53" s="211"/>
      <c r="X53" s="208"/>
      <c r="Y53" s="207">
        <v>16</v>
      </c>
      <c r="Z53" s="211"/>
      <c r="AA53" s="211"/>
      <c r="AB53" s="211"/>
      <c r="AC53" s="211"/>
      <c r="AD53" s="247">
        <v>18</v>
      </c>
      <c r="AE53" s="207">
        <f t="shared" si="39"/>
        <v>18</v>
      </c>
      <c r="AF53" s="211"/>
      <c r="AG53" s="211"/>
      <c r="AH53" s="211"/>
      <c r="AI53" s="211"/>
      <c r="AJ53" s="246">
        <v>17</v>
      </c>
      <c r="AK53" s="209">
        <f t="shared" si="40"/>
        <v>17</v>
      </c>
      <c r="AL53" s="208">
        <v>15</v>
      </c>
      <c r="AM53" s="208"/>
      <c r="AN53" s="208"/>
      <c r="AO53" s="208"/>
      <c r="AP53" s="208">
        <v>15</v>
      </c>
      <c r="AQ53" s="212">
        <f t="shared" si="41"/>
        <v>15</v>
      </c>
      <c r="AR53" s="211"/>
      <c r="AS53" s="211"/>
      <c r="AT53" s="211"/>
      <c r="AU53" s="211"/>
      <c r="AV53" s="208">
        <v>15</v>
      </c>
      <c r="AW53" s="207">
        <f t="shared" si="42"/>
        <v>15</v>
      </c>
      <c r="AX53" s="211"/>
      <c r="AY53" s="211"/>
      <c r="AZ53" s="211"/>
      <c r="BA53" s="211"/>
      <c r="BB53" s="208">
        <v>15</v>
      </c>
      <c r="BC53" s="207">
        <f t="shared" si="43"/>
        <v>15</v>
      </c>
      <c r="BD53" s="211"/>
      <c r="BE53" s="211"/>
      <c r="BF53" s="211"/>
      <c r="BG53" s="211"/>
      <c r="BH53" s="208">
        <v>13</v>
      </c>
      <c r="BI53" s="207">
        <f t="shared" si="44"/>
        <v>13</v>
      </c>
      <c r="BJ53" s="211"/>
      <c r="BK53" s="211"/>
      <c r="BL53" s="211"/>
      <c r="BM53" s="211"/>
      <c r="BN53" s="208">
        <v>13</v>
      </c>
      <c r="BO53" s="207">
        <f t="shared" si="45"/>
        <v>13</v>
      </c>
    </row>
    <row r="54" spans="1:67" s="210" customFormat="1" ht="22.5" customHeight="1">
      <c r="A54" s="203" t="s">
        <v>50</v>
      </c>
      <c r="B54" s="208">
        <v>10</v>
      </c>
      <c r="C54" s="208"/>
      <c r="D54" s="208"/>
      <c r="E54" s="208"/>
      <c r="F54" s="208">
        <v>10</v>
      </c>
      <c r="G54" s="212">
        <f t="shared" si="36"/>
        <v>10</v>
      </c>
      <c r="H54" s="211"/>
      <c r="I54" s="211"/>
      <c r="J54" s="211"/>
      <c r="K54" s="211"/>
      <c r="L54" s="208">
        <v>10</v>
      </c>
      <c r="M54" s="207">
        <f t="shared" si="37"/>
        <v>10</v>
      </c>
      <c r="N54" s="211"/>
      <c r="O54" s="211"/>
      <c r="P54" s="211"/>
      <c r="Q54" s="211"/>
      <c r="R54" s="208">
        <v>9</v>
      </c>
      <c r="S54" s="207">
        <f t="shared" si="38"/>
        <v>9</v>
      </c>
      <c r="T54" s="211"/>
      <c r="U54" s="211"/>
      <c r="V54" s="211"/>
      <c r="W54" s="211"/>
      <c r="X54" s="208"/>
      <c r="Y54" s="207">
        <v>9</v>
      </c>
      <c r="Z54" s="211"/>
      <c r="AA54" s="211"/>
      <c r="AB54" s="211"/>
      <c r="AC54" s="211"/>
      <c r="AD54" s="208">
        <v>12</v>
      </c>
      <c r="AE54" s="207">
        <f t="shared" si="39"/>
        <v>12</v>
      </c>
      <c r="AF54" s="211"/>
      <c r="AG54" s="211"/>
      <c r="AH54" s="211"/>
      <c r="AI54" s="211"/>
      <c r="AJ54" s="247">
        <v>12</v>
      </c>
      <c r="AK54" s="209">
        <f t="shared" si="40"/>
        <v>12</v>
      </c>
      <c r="AL54" s="208">
        <v>14</v>
      </c>
      <c r="AM54" s="208"/>
      <c r="AN54" s="208"/>
      <c r="AO54" s="208"/>
      <c r="AP54" s="208">
        <v>14</v>
      </c>
      <c r="AQ54" s="212">
        <f t="shared" si="41"/>
        <v>14</v>
      </c>
      <c r="AR54" s="211"/>
      <c r="AS54" s="211"/>
      <c r="AT54" s="211"/>
      <c r="AU54" s="211"/>
      <c r="AV54" s="208">
        <v>14</v>
      </c>
      <c r="AW54" s="207">
        <f t="shared" si="42"/>
        <v>14</v>
      </c>
      <c r="AX54" s="211"/>
      <c r="AY54" s="211"/>
      <c r="AZ54" s="211"/>
      <c r="BA54" s="211"/>
      <c r="BB54" s="208">
        <v>14</v>
      </c>
      <c r="BC54" s="207">
        <f t="shared" si="43"/>
        <v>14</v>
      </c>
      <c r="BD54" s="211"/>
      <c r="BE54" s="211"/>
      <c r="BF54" s="211"/>
      <c r="BG54" s="211"/>
      <c r="BH54" s="208">
        <v>14</v>
      </c>
      <c r="BI54" s="207">
        <f t="shared" si="44"/>
        <v>14</v>
      </c>
      <c r="BJ54" s="211"/>
      <c r="BK54" s="211"/>
      <c r="BL54" s="211"/>
      <c r="BM54" s="211"/>
      <c r="BN54" s="208">
        <v>14</v>
      </c>
      <c r="BO54" s="207">
        <f t="shared" si="45"/>
        <v>14</v>
      </c>
    </row>
    <row r="55" spans="1:67" s="210" customFormat="1" ht="22.5" customHeight="1">
      <c r="A55" s="203" t="s">
        <v>51</v>
      </c>
      <c r="B55" s="208">
        <v>18</v>
      </c>
      <c r="C55" s="208"/>
      <c r="D55" s="208"/>
      <c r="E55" s="208"/>
      <c r="F55" s="208">
        <v>18</v>
      </c>
      <c r="G55" s="212">
        <f t="shared" si="36"/>
        <v>18</v>
      </c>
      <c r="H55" s="211"/>
      <c r="I55" s="211"/>
      <c r="J55" s="211"/>
      <c r="K55" s="211"/>
      <c r="L55" s="208">
        <v>18</v>
      </c>
      <c r="M55" s="207">
        <f t="shared" si="37"/>
        <v>18</v>
      </c>
      <c r="N55" s="211"/>
      <c r="O55" s="211"/>
      <c r="P55" s="211"/>
      <c r="Q55" s="211"/>
      <c r="R55" s="208">
        <v>23</v>
      </c>
      <c r="S55" s="207">
        <f t="shared" si="38"/>
        <v>23</v>
      </c>
      <c r="T55" s="211"/>
      <c r="U55" s="211"/>
      <c r="V55" s="211"/>
      <c r="W55" s="211"/>
      <c r="X55" s="208"/>
      <c r="Y55" s="207">
        <v>23</v>
      </c>
      <c r="Z55" s="211"/>
      <c r="AA55" s="211"/>
      <c r="AB55" s="211"/>
      <c r="AC55" s="211"/>
      <c r="AD55" s="208">
        <v>21</v>
      </c>
      <c r="AE55" s="207">
        <f t="shared" si="39"/>
        <v>21</v>
      </c>
      <c r="AF55" s="211"/>
      <c r="AG55" s="211"/>
      <c r="AH55" s="211"/>
      <c r="AI55" s="211"/>
      <c r="AJ55" s="247">
        <v>21</v>
      </c>
      <c r="AK55" s="209">
        <f t="shared" si="40"/>
        <v>21</v>
      </c>
      <c r="AL55" s="208">
        <v>24</v>
      </c>
      <c r="AM55" s="208"/>
      <c r="AN55" s="208"/>
      <c r="AO55" s="208"/>
      <c r="AP55" s="208">
        <v>24</v>
      </c>
      <c r="AQ55" s="212">
        <f t="shared" si="41"/>
        <v>24</v>
      </c>
      <c r="AR55" s="211"/>
      <c r="AS55" s="211"/>
      <c r="AT55" s="211"/>
      <c r="AU55" s="211"/>
      <c r="AV55" s="208">
        <v>16</v>
      </c>
      <c r="AW55" s="207">
        <f t="shared" si="42"/>
        <v>16</v>
      </c>
      <c r="AX55" s="211"/>
      <c r="AY55" s="211"/>
      <c r="AZ55" s="211"/>
      <c r="BA55" s="211"/>
      <c r="BB55" s="208">
        <v>16</v>
      </c>
      <c r="BC55" s="207">
        <f t="shared" si="43"/>
        <v>16</v>
      </c>
      <c r="BD55" s="211"/>
      <c r="BE55" s="211"/>
      <c r="BF55" s="211"/>
      <c r="BG55" s="211"/>
      <c r="BH55" s="208">
        <v>14</v>
      </c>
      <c r="BI55" s="207">
        <f t="shared" si="44"/>
        <v>14</v>
      </c>
      <c r="BJ55" s="211"/>
      <c r="BK55" s="211"/>
      <c r="BL55" s="211"/>
      <c r="BM55" s="211"/>
      <c r="BN55" s="208">
        <v>14</v>
      </c>
      <c r="BO55" s="207">
        <f t="shared" si="45"/>
        <v>14</v>
      </c>
    </row>
    <row r="56" spans="1:67" s="210" customFormat="1" ht="22.5" customHeight="1">
      <c r="A56" s="203" t="s">
        <v>52</v>
      </c>
      <c r="B56" s="208">
        <v>38</v>
      </c>
      <c r="C56" s="208"/>
      <c r="D56" s="208"/>
      <c r="E56" s="208"/>
      <c r="F56" s="208">
        <v>38</v>
      </c>
      <c r="G56" s="212">
        <f t="shared" si="36"/>
        <v>38</v>
      </c>
      <c r="H56" s="211"/>
      <c r="I56" s="211"/>
      <c r="J56" s="211"/>
      <c r="K56" s="211"/>
      <c r="L56" s="208">
        <v>38</v>
      </c>
      <c r="M56" s="207">
        <f t="shared" si="37"/>
        <v>38</v>
      </c>
      <c r="N56" s="211"/>
      <c r="O56" s="211"/>
      <c r="P56" s="211"/>
      <c r="Q56" s="211"/>
      <c r="R56" s="208">
        <v>35</v>
      </c>
      <c r="S56" s="207">
        <f t="shared" si="38"/>
        <v>35</v>
      </c>
      <c r="T56" s="211"/>
      <c r="U56" s="211"/>
      <c r="V56" s="211"/>
      <c r="W56" s="211"/>
      <c r="X56" s="208"/>
      <c r="Y56" s="207">
        <v>35</v>
      </c>
      <c r="Z56" s="211"/>
      <c r="AA56" s="211"/>
      <c r="AB56" s="211"/>
      <c r="AC56" s="211"/>
      <c r="AD56" s="246"/>
      <c r="AE56" s="207">
        <f t="shared" si="39"/>
        <v>0</v>
      </c>
      <c r="AF56" s="211"/>
      <c r="AG56" s="211"/>
      <c r="AH56" s="211"/>
      <c r="AI56" s="211"/>
      <c r="AJ56" s="246"/>
      <c r="AK56" s="209">
        <f t="shared" si="40"/>
        <v>0</v>
      </c>
      <c r="AL56" s="208">
        <v>29</v>
      </c>
      <c r="AM56" s="208"/>
      <c r="AN56" s="208"/>
      <c r="AO56" s="208"/>
      <c r="AP56" s="208">
        <v>30</v>
      </c>
      <c r="AQ56" s="212">
        <f t="shared" si="41"/>
        <v>30</v>
      </c>
      <c r="AR56" s="211"/>
      <c r="AS56" s="211"/>
      <c r="AT56" s="211"/>
      <c r="AU56" s="211"/>
      <c r="AV56" s="208">
        <v>29</v>
      </c>
      <c r="AW56" s="207">
        <f t="shared" si="42"/>
        <v>29</v>
      </c>
      <c r="AX56" s="211"/>
      <c r="AY56" s="211"/>
      <c r="AZ56" s="211"/>
      <c r="BA56" s="211"/>
      <c r="BB56" s="208">
        <v>29</v>
      </c>
      <c r="BC56" s="207">
        <f t="shared" si="43"/>
        <v>29</v>
      </c>
      <c r="BD56" s="211"/>
      <c r="BE56" s="211"/>
      <c r="BF56" s="211"/>
      <c r="BG56" s="211"/>
      <c r="BH56" s="208">
        <v>27</v>
      </c>
      <c r="BI56" s="207">
        <f t="shared" si="44"/>
        <v>27</v>
      </c>
      <c r="BJ56" s="211"/>
      <c r="BK56" s="211"/>
      <c r="BL56" s="211"/>
      <c r="BM56" s="211"/>
      <c r="BN56" s="208">
        <v>27</v>
      </c>
      <c r="BO56" s="207">
        <f t="shared" si="45"/>
        <v>27</v>
      </c>
    </row>
    <row r="57" spans="1:67" s="210" customFormat="1" ht="22.5" customHeight="1">
      <c r="A57" s="203" t="s">
        <v>53</v>
      </c>
      <c r="B57" s="208">
        <v>20</v>
      </c>
      <c r="C57" s="208"/>
      <c r="D57" s="208"/>
      <c r="E57" s="208"/>
      <c r="F57" s="208">
        <v>20</v>
      </c>
      <c r="G57" s="212">
        <f t="shared" si="36"/>
        <v>20</v>
      </c>
      <c r="H57" s="211"/>
      <c r="I57" s="211"/>
      <c r="J57" s="211"/>
      <c r="K57" s="211"/>
      <c r="L57" s="208">
        <v>20</v>
      </c>
      <c r="M57" s="207">
        <f t="shared" si="37"/>
        <v>20</v>
      </c>
      <c r="N57" s="211"/>
      <c r="O57" s="211"/>
      <c r="P57" s="211"/>
      <c r="Q57" s="211"/>
      <c r="R57" s="208">
        <v>22</v>
      </c>
      <c r="S57" s="207">
        <f t="shared" si="38"/>
        <v>22</v>
      </c>
      <c r="T57" s="211"/>
      <c r="U57" s="211"/>
      <c r="V57" s="211"/>
      <c r="W57" s="211"/>
      <c r="X57" s="208"/>
      <c r="Y57" s="207">
        <v>22</v>
      </c>
      <c r="Z57" s="211"/>
      <c r="AA57" s="211"/>
      <c r="AB57" s="211"/>
      <c r="AC57" s="211"/>
      <c r="AD57" s="246">
        <v>28</v>
      </c>
      <c r="AE57" s="207">
        <f t="shared" si="39"/>
        <v>28</v>
      </c>
      <c r="AF57" s="211"/>
      <c r="AG57" s="211"/>
      <c r="AH57" s="211"/>
      <c r="AI57" s="211"/>
      <c r="AJ57" s="246">
        <v>29</v>
      </c>
      <c r="AK57" s="209">
        <f t="shared" si="40"/>
        <v>29</v>
      </c>
      <c r="AL57" s="208" t="s">
        <v>63</v>
      </c>
      <c r="AM57" s="208"/>
      <c r="AN57" s="208"/>
      <c r="AO57" s="208"/>
      <c r="AP57" s="208" t="s">
        <v>63</v>
      </c>
      <c r="AQ57" s="212">
        <f t="shared" si="41"/>
        <v>0</v>
      </c>
      <c r="AR57" s="211"/>
      <c r="AS57" s="211"/>
      <c r="AT57" s="211"/>
      <c r="AU57" s="211"/>
      <c r="AV57" s="208"/>
      <c r="AW57" s="207">
        <f t="shared" si="42"/>
        <v>0</v>
      </c>
      <c r="AX57" s="211"/>
      <c r="AY57" s="211"/>
      <c r="AZ57" s="211"/>
      <c r="BA57" s="211"/>
      <c r="BB57" s="208"/>
      <c r="BC57" s="207">
        <f t="shared" si="43"/>
        <v>0</v>
      </c>
      <c r="BD57" s="211"/>
      <c r="BE57" s="211"/>
      <c r="BF57" s="211"/>
      <c r="BG57" s="211"/>
      <c r="BH57" s="208"/>
      <c r="BI57" s="207">
        <f t="shared" si="44"/>
        <v>0</v>
      </c>
      <c r="BJ57" s="211"/>
      <c r="BK57" s="211"/>
      <c r="BL57" s="211"/>
      <c r="BM57" s="211"/>
      <c r="BN57" s="208"/>
      <c r="BO57" s="207">
        <f t="shared" si="45"/>
        <v>0</v>
      </c>
    </row>
    <row r="58" spans="1:67" s="210" customFormat="1" ht="22.5" customHeight="1">
      <c r="A58" s="203" t="s">
        <v>54</v>
      </c>
      <c r="B58" s="208">
        <v>13</v>
      </c>
      <c r="C58" s="208"/>
      <c r="D58" s="208"/>
      <c r="E58" s="208"/>
      <c r="F58" s="208">
        <v>13</v>
      </c>
      <c r="G58" s="212">
        <f t="shared" si="36"/>
        <v>13</v>
      </c>
      <c r="H58" s="211"/>
      <c r="I58" s="211"/>
      <c r="J58" s="211"/>
      <c r="K58" s="211"/>
      <c r="L58" s="208">
        <v>13</v>
      </c>
      <c r="M58" s="207">
        <f t="shared" si="37"/>
        <v>13</v>
      </c>
      <c r="N58" s="211"/>
      <c r="O58" s="211"/>
      <c r="P58" s="211"/>
      <c r="Q58" s="211"/>
      <c r="R58" s="208">
        <v>19</v>
      </c>
      <c r="S58" s="207">
        <f t="shared" si="38"/>
        <v>19</v>
      </c>
      <c r="T58" s="211"/>
      <c r="U58" s="211"/>
      <c r="V58" s="211"/>
      <c r="W58" s="211"/>
      <c r="X58" s="208"/>
      <c r="Y58" s="207">
        <v>19</v>
      </c>
      <c r="Z58" s="211"/>
      <c r="AA58" s="211"/>
      <c r="AB58" s="211"/>
      <c r="AC58" s="211"/>
      <c r="AD58" s="208">
        <v>22</v>
      </c>
      <c r="AE58" s="207">
        <f t="shared" si="39"/>
        <v>22</v>
      </c>
      <c r="AF58" s="211"/>
      <c r="AG58" s="211"/>
      <c r="AH58" s="211"/>
      <c r="AI58" s="211"/>
      <c r="AJ58" s="247">
        <v>22</v>
      </c>
      <c r="AK58" s="209">
        <f t="shared" si="40"/>
        <v>22</v>
      </c>
      <c r="AL58" s="208">
        <v>20</v>
      </c>
      <c r="AM58" s="208"/>
      <c r="AN58" s="208"/>
      <c r="AO58" s="208"/>
      <c r="AP58" s="208">
        <v>20</v>
      </c>
      <c r="AQ58" s="212">
        <f t="shared" si="41"/>
        <v>20</v>
      </c>
      <c r="AR58" s="211"/>
      <c r="AS58" s="211"/>
      <c r="AT58" s="211"/>
      <c r="AU58" s="211"/>
      <c r="AV58" s="208">
        <v>20</v>
      </c>
      <c r="AW58" s="207">
        <f t="shared" si="42"/>
        <v>20</v>
      </c>
      <c r="AX58" s="211"/>
      <c r="AY58" s="211"/>
      <c r="AZ58" s="211"/>
      <c r="BA58" s="211"/>
      <c r="BB58" s="208">
        <v>20</v>
      </c>
      <c r="BC58" s="207">
        <f t="shared" si="43"/>
        <v>20</v>
      </c>
      <c r="BD58" s="211"/>
      <c r="BE58" s="211"/>
      <c r="BF58" s="211"/>
      <c r="BG58" s="211"/>
      <c r="BH58" s="208">
        <v>20</v>
      </c>
      <c r="BI58" s="207">
        <f t="shared" si="44"/>
        <v>20</v>
      </c>
      <c r="BJ58" s="211"/>
      <c r="BK58" s="211"/>
      <c r="BL58" s="211"/>
      <c r="BM58" s="211"/>
      <c r="BN58" s="208">
        <v>20</v>
      </c>
      <c r="BO58" s="207">
        <f t="shared" si="45"/>
        <v>20</v>
      </c>
    </row>
    <row r="59" spans="1:67" s="210" customFormat="1" ht="22.5" customHeight="1">
      <c r="A59" s="203" t="s">
        <v>55</v>
      </c>
      <c r="B59" s="208">
        <v>12</v>
      </c>
      <c r="C59" s="208"/>
      <c r="D59" s="208"/>
      <c r="E59" s="208"/>
      <c r="F59" s="208">
        <v>12</v>
      </c>
      <c r="G59" s="212">
        <f t="shared" si="36"/>
        <v>12</v>
      </c>
      <c r="H59" s="211"/>
      <c r="I59" s="211"/>
      <c r="J59" s="211"/>
      <c r="K59" s="211"/>
      <c r="L59" s="208">
        <v>12</v>
      </c>
      <c r="M59" s="207">
        <f t="shared" si="37"/>
        <v>12</v>
      </c>
      <c r="N59" s="211"/>
      <c r="O59" s="211"/>
      <c r="P59" s="211"/>
      <c r="Q59" s="211"/>
      <c r="R59" s="208">
        <v>20</v>
      </c>
      <c r="S59" s="207">
        <f t="shared" si="38"/>
        <v>20</v>
      </c>
      <c r="T59" s="211"/>
      <c r="U59" s="211"/>
      <c r="V59" s="211"/>
      <c r="W59" s="211"/>
      <c r="X59" s="208"/>
      <c r="Y59" s="207">
        <v>20</v>
      </c>
      <c r="Z59" s="211"/>
      <c r="AA59" s="211"/>
      <c r="AB59" s="211"/>
      <c r="AC59" s="211"/>
      <c r="AD59" s="208">
        <v>24</v>
      </c>
      <c r="AE59" s="207">
        <f t="shared" si="39"/>
        <v>24</v>
      </c>
      <c r="AF59" s="211"/>
      <c r="AG59" s="211"/>
      <c r="AH59" s="211"/>
      <c r="AI59" s="211"/>
      <c r="AJ59" s="247">
        <v>24</v>
      </c>
      <c r="AK59" s="209">
        <f t="shared" si="40"/>
        <v>24</v>
      </c>
      <c r="AL59" s="208">
        <v>25</v>
      </c>
      <c r="AM59" s="208"/>
      <c r="AN59" s="208"/>
      <c r="AO59" s="208"/>
      <c r="AP59" s="208">
        <v>25</v>
      </c>
      <c r="AQ59" s="212">
        <f t="shared" si="41"/>
        <v>25</v>
      </c>
      <c r="AR59" s="211"/>
      <c r="AS59" s="211"/>
      <c r="AT59" s="211"/>
      <c r="AU59" s="211"/>
      <c r="AV59" s="208">
        <v>26</v>
      </c>
      <c r="AW59" s="207">
        <f t="shared" si="42"/>
        <v>26</v>
      </c>
      <c r="AX59" s="211"/>
      <c r="AY59" s="211"/>
      <c r="AZ59" s="211"/>
      <c r="BA59" s="211"/>
      <c r="BB59" s="208">
        <v>26</v>
      </c>
      <c r="BC59" s="207">
        <f t="shared" si="43"/>
        <v>26</v>
      </c>
      <c r="BD59" s="211"/>
      <c r="BE59" s="211"/>
      <c r="BF59" s="211"/>
      <c r="BG59" s="211"/>
      <c r="BH59" s="208">
        <v>27</v>
      </c>
      <c r="BI59" s="207">
        <f t="shared" si="44"/>
        <v>27</v>
      </c>
      <c r="BJ59" s="211"/>
      <c r="BK59" s="211"/>
      <c r="BL59" s="211"/>
      <c r="BM59" s="211"/>
      <c r="BN59" s="208">
        <v>27</v>
      </c>
      <c r="BO59" s="207">
        <f t="shared" si="45"/>
        <v>27</v>
      </c>
    </row>
    <row r="60" spans="1:67" s="210" customFormat="1" ht="22.5" customHeight="1">
      <c r="A60" s="203" t="s">
        <v>57</v>
      </c>
      <c r="B60" s="208">
        <v>19</v>
      </c>
      <c r="C60" s="208"/>
      <c r="D60" s="208"/>
      <c r="E60" s="208"/>
      <c r="F60" s="208">
        <v>20</v>
      </c>
      <c r="G60" s="212">
        <f t="shared" si="36"/>
        <v>20</v>
      </c>
      <c r="H60" s="211"/>
      <c r="I60" s="211"/>
      <c r="J60" s="211"/>
      <c r="K60" s="211"/>
      <c r="L60" s="208">
        <v>20</v>
      </c>
      <c r="M60" s="207">
        <f t="shared" si="37"/>
        <v>20</v>
      </c>
      <c r="N60" s="211"/>
      <c r="O60" s="211"/>
      <c r="P60" s="211"/>
      <c r="Q60" s="211"/>
      <c r="R60" s="208">
        <v>23</v>
      </c>
      <c r="S60" s="207">
        <f t="shared" si="38"/>
        <v>23</v>
      </c>
      <c r="T60" s="211"/>
      <c r="U60" s="211"/>
      <c r="V60" s="211"/>
      <c r="W60" s="211"/>
      <c r="X60" s="208"/>
      <c r="Y60" s="207">
        <v>23</v>
      </c>
      <c r="Z60" s="211"/>
      <c r="AA60" s="211"/>
      <c r="AB60" s="211"/>
      <c r="AC60" s="211"/>
      <c r="AD60" s="246">
        <v>21</v>
      </c>
      <c r="AE60" s="207">
        <f t="shared" si="39"/>
        <v>21</v>
      </c>
      <c r="AF60" s="211"/>
      <c r="AG60" s="211"/>
      <c r="AH60" s="211"/>
      <c r="AI60" s="211"/>
      <c r="AJ60" s="246">
        <v>21</v>
      </c>
      <c r="AK60" s="209">
        <f t="shared" si="40"/>
        <v>21</v>
      </c>
      <c r="AL60" s="208"/>
      <c r="AM60" s="208"/>
      <c r="AN60" s="208"/>
      <c r="AO60" s="208"/>
      <c r="AP60" s="208"/>
      <c r="AQ60" s="212">
        <f t="shared" si="41"/>
        <v>0</v>
      </c>
      <c r="AR60" s="211"/>
      <c r="AS60" s="211"/>
      <c r="AT60" s="211"/>
      <c r="AU60" s="211"/>
      <c r="AV60" s="208">
        <v>21</v>
      </c>
      <c r="AW60" s="207">
        <f t="shared" si="42"/>
        <v>21</v>
      </c>
      <c r="AX60" s="211"/>
      <c r="AY60" s="211"/>
      <c r="AZ60" s="211"/>
      <c r="BA60" s="211"/>
      <c r="BB60" s="208">
        <v>21</v>
      </c>
      <c r="BC60" s="207">
        <f t="shared" si="43"/>
        <v>21</v>
      </c>
      <c r="BD60" s="211"/>
      <c r="BE60" s="211"/>
      <c r="BF60" s="211"/>
      <c r="BG60" s="211"/>
      <c r="BH60" s="208">
        <v>21</v>
      </c>
      <c r="BI60" s="207">
        <f t="shared" si="44"/>
        <v>21</v>
      </c>
      <c r="BJ60" s="211"/>
      <c r="BK60" s="211"/>
      <c r="BL60" s="211"/>
      <c r="BM60" s="211"/>
      <c r="BN60" s="208">
        <v>21</v>
      </c>
      <c r="BO60" s="207">
        <f t="shared" si="45"/>
        <v>21</v>
      </c>
    </row>
    <row r="61" spans="1:67" s="210" customFormat="1" ht="22.5" customHeight="1">
      <c r="A61" s="203" t="s">
        <v>58</v>
      </c>
      <c r="B61" s="208"/>
      <c r="C61" s="208"/>
      <c r="D61" s="208"/>
      <c r="E61" s="208"/>
      <c r="F61" s="208"/>
      <c r="G61" s="212">
        <f t="shared" si="36"/>
        <v>0</v>
      </c>
      <c r="H61" s="211"/>
      <c r="I61" s="211"/>
      <c r="J61" s="211"/>
      <c r="K61" s="211"/>
      <c r="L61" s="208"/>
      <c r="M61" s="207">
        <f t="shared" si="37"/>
        <v>0</v>
      </c>
      <c r="N61" s="211"/>
      <c r="O61" s="211"/>
      <c r="P61" s="211"/>
      <c r="Q61" s="211"/>
      <c r="R61" s="208"/>
      <c r="S61" s="207">
        <f t="shared" si="38"/>
        <v>0</v>
      </c>
      <c r="T61" s="211"/>
      <c r="U61" s="211"/>
      <c r="V61" s="211"/>
      <c r="W61" s="211"/>
      <c r="X61" s="208"/>
      <c r="Y61" s="207"/>
      <c r="Z61" s="211"/>
      <c r="AA61" s="211"/>
      <c r="AB61" s="211"/>
      <c r="AC61" s="211"/>
      <c r="AD61" s="208">
        <v>19</v>
      </c>
      <c r="AE61" s="207">
        <f t="shared" si="39"/>
        <v>19</v>
      </c>
      <c r="AF61" s="211"/>
      <c r="AG61" s="211"/>
      <c r="AH61" s="211"/>
      <c r="AI61" s="211"/>
      <c r="AJ61" s="247">
        <v>19</v>
      </c>
      <c r="AK61" s="209">
        <f t="shared" si="40"/>
        <v>19</v>
      </c>
      <c r="AL61" s="208">
        <v>19</v>
      </c>
      <c r="AM61" s="208"/>
      <c r="AN61" s="208"/>
      <c r="AO61" s="208"/>
      <c r="AP61" s="208">
        <v>20</v>
      </c>
      <c r="AQ61" s="212">
        <f t="shared" si="41"/>
        <v>20</v>
      </c>
      <c r="AR61" s="211"/>
      <c r="AS61" s="211"/>
      <c r="AT61" s="211"/>
      <c r="AU61" s="211"/>
      <c r="AV61" s="208"/>
      <c r="AW61" s="207">
        <f t="shared" si="42"/>
        <v>0</v>
      </c>
      <c r="AX61" s="211"/>
      <c r="AY61" s="211"/>
      <c r="AZ61" s="211"/>
      <c r="BA61" s="211"/>
      <c r="BB61" s="208"/>
      <c r="BC61" s="207">
        <f t="shared" si="43"/>
        <v>0</v>
      </c>
      <c r="BD61" s="211"/>
      <c r="BE61" s="211"/>
      <c r="BF61" s="211"/>
      <c r="BG61" s="211"/>
      <c r="BH61" s="208"/>
      <c r="BI61" s="207">
        <f t="shared" si="44"/>
        <v>0</v>
      </c>
      <c r="BJ61" s="211"/>
      <c r="BK61" s="211"/>
      <c r="BL61" s="211"/>
      <c r="BM61" s="211"/>
      <c r="BN61" s="208"/>
      <c r="BO61" s="207">
        <f t="shared" si="45"/>
        <v>0</v>
      </c>
    </row>
    <row r="62" spans="1:67" s="210" customFormat="1" ht="22.5" customHeight="1">
      <c r="A62" s="203" t="s">
        <v>59</v>
      </c>
      <c r="B62" s="208">
        <v>35</v>
      </c>
      <c r="C62" s="208"/>
      <c r="D62" s="208"/>
      <c r="E62" s="208"/>
      <c r="F62" s="208">
        <v>35</v>
      </c>
      <c r="G62" s="212">
        <f t="shared" si="36"/>
        <v>35</v>
      </c>
      <c r="H62" s="211"/>
      <c r="I62" s="211"/>
      <c r="J62" s="211"/>
      <c r="K62" s="211"/>
      <c r="L62" s="208">
        <v>40</v>
      </c>
      <c r="M62" s="207">
        <f t="shared" si="37"/>
        <v>40</v>
      </c>
      <c r="N62" s="211"/>
      <c r="O62" s="211"/>
      <c r="P62" s="211"/>
      <c r="Q62" s="211"/>
      <c r="R62" s="221">
        <v>41</v>
      </c>
      <c r="S62" s="207">
        <f t="shared" si="38"/>
        <v>41</v>
      </c>
      <c r="T62" s="211"/>
      <c r="U62" s="211"/>
      <c r="V62" s="211"/>
      <c r="W62" s="211"/>
      <c r="X62" s="208"/>
      <c r="Y62" s="207">
        <v>41</v>
      </c>
      <c r="Z62" s="211"/>
      <c r="AA62" s="211"/>
      <c r="AB62" s="211"/>
      <c r="AC62" s="211"/>
      <c r="AD62" s="208">
        <v>44</v>
      </c>
      <c r="AE62" s="207">
        <f t="shared" si="39"/>
        <v>44</v>
      </c>
      <c r="AF62" s="211"/>
      <c r="AG62" s="211"/>
      <c r="AH62" s="211"/>
      <c r="AI62" s="211"/>
      <c r="AJ62" s="208">
        <v>55</v>
      </c>
      <c r="AK62" s="209">
        <f t="shared" si="40"/>
        <v>55</v>
      </c>
      <c r="AL62" s="208">
        <v>52</v>
      </c>
      <c r="AM62" s="208"/>
      <c r="AN62" s="208"/>
      <c r="AO62" s="208"/>
      <c r="AP62" s="208">
        <v>54</v>
      </c>
      <c r="AQ62" s="212">
        <f t="shared" si="41"/>
        <v>54</v>
      </c>
      <c r="AR62" s="211"/>
      <c r="AS62" s="211"/>
      <c r="AT62" s="211"/>
      <c r="AU62" s="211"/>
      <c r="AV62" s="208">
        <v>54</v>
      </c>
      <c r="AW62" s="207">
        <f t="shared" si="42"/>
        <v>54</v>
      </c>
      <c r="AX62" s="211"/>
      <c r="AY62" s="211"/>
      <c r="AZ62" s="211"/>
      <c r="BA62" s="211"/>
      <c r="BB62" s="208">
        <v>54</v>
      </c>
      <c r="BC62" s="207">
        <f t="shared" si="43"/>
        <v>54</v>
      </c>
      <c r="BD62" s="211"/>
      <c r="BE62" s="211"/>
      <c r="BF62" s="211"/>
      <c r="BG62" s="211"/>
      <c r="BH62" s="208">
        <v>52</v>
      </c>
      <c r="BI62" s="207">
        <f t="shared" si="44"/>
        <v>52</v>
      </c>
      <c r="BJ62" s="211"/>
      <c r="BK62" s="211"/>
      <c r="BL62" s="211"/>
      <c r="BM62" s="211"/>
      <c r="BN62" s="208">
        <v>52</v>
      </c>
      <c r="BO62" s="207">
        <f t="shared" si="45"/>
        <v>52</v>
      </c>
    </row>
    <row r="63" spans="1:67" s="210" customFormat="1" ht="22.5" customHeight="1">
      <c r="A63" s="203" t="s">
        <v>16</v>
      </c>
      <c r="B63" s="221"/>
      <c r="C63" s="221"/>
      <c r="D63" s="221"/>
      <c r="E63" s="221"/>
      <c r="F63" s="221"/>
      <c r="G63" s="212"/>
      <c r="H63" s="220"/>
      <c r="I63" s="220"/>
      <c r="J63" s="220"/>
      <c r="K63" s="220"/>
      <c r="L63" s="221"/>
      <c r="M63" s="207"/>
      <c r="N63" s="220"/>
      <c r="O63" s="220"/>
      <c r="P63" s="220"/>
      <c r="Q63" s="220"/>
      <c r="R63" s="221"/>
      <c r="S63" s="207"/>
      <c r="T63" s="220"/>
      <c r="U63" s="220"/>
      <c r="V63" s="220"/>
      <c r="W63" s="220"/>
      <c r="X63" s="221"/>
      <c r="Y63" s="207"/>
      <c r="Z63" s="220"/>
      <c r="AA63" s="220"/>
      <c r="AB63" s="220"/>
      <c r="AC63" s="220"/>
      <c r="AD63" s="221">
        <v>22</v>
      </c>
      <c r="AE63" s="207">
        <f t="shared" si="39"/>
        <v>22</v>
      </c>
      <c r="AF63" s="220"/>
      <c r="AG63" s="220"/>
      <c r="AH63" s="220"/>
      <c r="AI63" s="220"/>
      <c r="AJ63" s="221"/>
      <c r="AK63" s="209">
        <f t="shared" si="40"/>
        <v>0</v>
      </c>
      <c r="AL63" s="221" t="s">
        <v>63</v>
      </c>
      <c r="AM63" s="221"/>
      <c r="AN63" s="221"/>
      <c r="AO63" s="221"/>
      <c r="AP63" s="221" t="s">
        <v>63</v>
      </c>
      <c r="AQ63" s="212">
        <f t="shared" si="41"/>
        <v>0</v>
      </c>
      <c r="AR63" s="220"/>
      <c r="AS63" s="220"/>
      <c r="AT63" s="220"/>
      <c r="AU63" s="220"/>
      <c r="AV63" s="221"/>
      <c r="AW63" s="207"/>
      <c r="AX63" s="220"/>
      <c r="AY63" s="220"/>
      <c r="AZ63" s="220"/>
      <c r="BA63" s="220"/>
      <c r="BB63" s="221"/>
      <c r="BC63" s="207"/>
      <c r="BD63" s="220"/>
      <c r="BE63" s="220"/>
      <c r="BF63" s="220"/>
      <c r="BG63" s="220"/>
      <c r="BH63" s="221"/>
      <c r="BI63" s="207">
        <f t="shared" si="44"/>
        <v>0</v>
      </c>
      <c r="BJ63" s="220"/>
      <c r="BK63" s="220"/>
      <c r="BL63" s="220"/>
      <c r="BM63" s="220"/>
      <c r="BN63" s="221"/>
      <c r="BO63" s="207">
        <f t="shared" si="45"/>
        <v>0</v>
      </c>
    </row>
    <row r="64" spans="1:67" s="210" customFormat="1" ht="22.5" customHeight="1">
      <c r="A64" s="203" t="s">
        <v>17</v>
      </c>
      <c r="B64" s="221"/>
      <c r="C64" s="221"/>
      <c r="D64" s="221"/>
      <c r="E64" s="221"/>
      <c r="F64" s="221"/>
      <c r="G64" s="212"/>
      <c r="H64" s="220"/>
      <c r="I64" s="220"/>
      <c r="J64" s="220"/>
      <c r="K64" s="220"/>
      <c r="L64" s="221"/>
      <c r="M64" s="207"/>
      <c r="N64" s="220"/>
      <c r="O64" s="220"/>
      <c r="P64" s="220"/>
      <c r="Q64" s="220"/>
      <c r="R64" s="221"/>
      <c r="S64" s="207"/>
      <c r="T64" s="220"/>
      <c r="U64" s="220"/>
      <c r="V64" s="220"/>
      <c r="W64" s="220"/>
      <c r="X64" s="221"/>
      <c r="Y64" s="207"/>
      <c r="Z64" s="220"/>
      <c r="AA64" s="220"/>
      <c r="AB64" s="220"/>
      <c r="AC64" s="220"/>
      <c r="AD64" s="221">
        <v>20</v>
      </c>
      <c r="AE64" s="207">
        <f t="shared" si="39"/>
        <v>20</v>
      </c>
      <c r="AF64" s="220"/>
      <c r="AG64" s="220"/>
      <c r="AH64" s="220"/>
      <c r="AI64" s="220"/>
      <c r="AJ64" s="221"/>
      <c r="AK64" s="209">
        <f t="shared" si="40"/>
        <v>0</v>
      </c>
      <c r="AL64" s="221" t="s">
        <v>63</v>
      </c>
      <c r="AM64" s="221"/>
      <c r="AN64" s="221"/>
      <c r="AO64" s="221"/>
      <c r="AP64" s="221" t="s">
        <v>63</v>
      </c>
      <c r="AQ64" s="212">
        <f t="shared" si="41"/>
        <v>0</v>
      </c>
      <c r="AR64" s="220"/>
      <c r="AS64" s="220"/>
      <c r="AT64" s="220"/>
      <c r="AU64" s="220"/>
      <c r="AV64" s="221"/>
      <c r="AW64" s="207"/>
      <c r="AX64" s="220"/>
      <c r="AY64" s="220"/>
      <c r="AZ64" s="220"/>
      <c r="BA64" s="220"/>
      <c r="BB64" s="221"/>
      <c r="BC64" s="207"/>
      <c r="BD64" s="220"/>
      <c r="BE64" s="220"/>
      <c r="BF64" s="220"/>
      <c r="BG64" s="220"/>
      <c r="BH64" s="221"/>
      <c r="BI64" s="207">
        <f t="shared" si="44"/>
        <v>0</v>
      </c>
      <c r="BJ64" s="220"/>
      <c r="BK64" s="220"/>
      <c r="BL64" s="220"/>
      <c r="BM64" s="220"/>
      <c r="BN64" s="221"/>
      <c r="BO64" s="207">
        <f t="shared" si="45"/>
        <v>0</v>
      </c>
    </row>
    <row r="65" spans="1:67" s="210" customFormat="1" ht="22.5" customHeight="1">
      <c r="A65" s="203" t="s">
        <v>18</v>
      </c>
      <c r="B65" s="221"/>
      <c r="C65" s="221"/>
      <c r="D65" s="221"/>
      <c r="E65" s="221"/>
      <c r="F65" s="221"/>
      <c r="G65" s="212"/>
      <c r="H65" s="220"/>
      <c r="I65" s="220"/>
      <c r="J65" s="220"/>
      <c r="K65" s="220"/>
      <c r="L65" s="221"/>
      <c r="M65" s="207"/>
      <c r="N65" s="220"/>
      <c r="O65" s="220"/>
      <c r="P65" s="220"/>
      <c r="Q65" s="220"/>
      <c r="R65" s="221"/>
      <c r="S65" s="207"/>
      <c r="T65" s="220"/>
      <c r="U65" s="220"/>
      <c r="V65" s="220"/>
      <c r="W65" s="220"/>
      <c r="X65" s="221"/>
      <c r="Y65" s="207"/>
      <c r="Z65" s="220"/>
      <c r="AA65" s="220"/>
      <c r="AB65" s="220"/>
      <c r="AC65" s="220"/>
      <c r="AD65" s="221">
        <v>16</v>
      </c>
      <c r="AE65" s="207">
        <f t="shared" si="39"/>
        <v>16</v>
      </c>
      <c r="AF65" s="220"/>
      <c r="AG65" s="220"/>
      <c r="AH65" s="220"/>
      <c r="AI65" s="220"/>
      <c r="AJ65" s="221"/>
      <c r="AK65" s="209">
        <f t="shared" si="40"/>
        <v>0</v>
      </c>
      <c r="AL65" s="221" t="s">
        <v>63</v>
      </c>
      <c r="AM65" s="221"/>
      <c r="AN65" s="221"/>
      <c r="AO65" s="221"/>
      <c r="AP65" s="221" t="s">
        <v>63</v>
      </c>
      <c r="AQ65" s="212">
        <f t="shared" si="41"/>
        <v>0</v>
      </c>
      <c r="AR65" s="220"/>
      <c r="AS65" s="220"/>
      <c r="AT65" s="220"/>
      <c r="AU65" s="220"/>
      <c r="AV65" s="221"/>
      <c r="AW65" s="207"/>
      <c r="AX65" s="220"/>
      <c r="AY65" s="220"/>
      <c r="AZ65" s="220"/>
      <c r="BA65" s="220"/>
      <c r="BB65" s="221"/>
      <c r="BC65" s="207"/>
      <c r="BD65" s="220"/>
      <c r="BE65" s="220"/>
      <c r="BF65" s="220"/>
      <c r="BG65" s="220"/>
      <c r="BH65" s="221"/>
      <c r="BI65" s="207">
        <f t="shared" si="44"/>
        <v>0</v>
      </c>
      <c r="BJ65" s="220"/>
      <c r="BK65" s="220"/>
      <c r="BL65" s="220"/>
      <c r="BM65" s="220"/>
      <c r="BN65" s="221"/>
      <c r="BO65" s="207">
        <f t="shared" si="45"/>
        <v>0</v>
      </c>
    </row>
    <row r="66" spans="1:67" s="210" customFormat="1" ht="22.5" customHeight="1">
      <c r="A66" s="203" t="s">
        <v>19</v>
      </c>
      <c r="B66" s="221"/>
      <c r="C66" s="221"/>
      <c r="D66" s="221"/>
      <c r="E66" s="221"/>
      <c r="F66" s="221"/>
      <c r="G66" s="212"/>
      <c r="H66" s="220"/>
      <c r="I66" s="220"/>
      <c r="J66" s="220"/>
      <c r="K66" s="220"/>
      <c r="L66" s="221"/>
      <c r="M66" s="207"/>
      <c r="N66" s="220"/>
      <c r="O66" s="220"/>
      <c r="P66" s="220"/>
      <c r="Q66" s="220"/>
      <c r="R66" s="221"/>
      <c r="S66" s="207"/>
      <c r="T66" s="220"/>
      <c r="U66" s="220"/>
      <c r="V66" s="220"/>
      <c r="W66" s="220"/>
      <c r="X66" s="221"/>
      <c r="Y66" s="207"/>
      <c r="Z66" s="220"/>
      <c r="AA66" s="220"/>
      <c r="AB66" s="220"/>
      <c r="AC66" s="220"/>
      <c r="AD66" s="221">
        <v>10</v>
      </c>
      <c r="AE66" s="207">
        <f t="shared" si="39"/>
        <v>10</v>
      </c>
      <c r="AF66" s="220"/>
      <c r="AG66" s="220"/>
      <c r="AH66" s="220"/>
      <c r="AI66" s="220"/>
      <c r="AJ66" s="221"/>
      <c r="AK66" s="209">
        <f t="shared" si="40"/>
        <v>0</v>
      </c>
      <c r="AL66" s="221" t="s">
        <v>63</v>
      </c>
      <c r="AM66" s="221"/>
      <c r="AN66" s="221"/>
      <c r="AO66" s="221"/>
      <c r="AP66" s="221" t="s">
        <v>63</v>
      </c>
      <c r="AQ66" s="212">
        <f t="shared" si="41"/>
        <v>0</v>
      </c>
      <c r="AR66" s="220"/>
      <c r="AS66" s="220"/>
      <c r="AT66" s="220"/>
      <c r="AU66" s="220"/>
      <c r="AV66" s="221"/>
      <c r="AW66" s="207"/>
      <c r="AX66" s="220"/>
      <c r="AY66" s="220"/>
      <c r="AZ66" s="220"/>
      <c r="BA66" s="220"/>
      <c r="BB66" s="221"/>
      <c r="BC66" s="207"/>
      <c r="BD66" s="220"/>
      <c r="BE66" s="220"/>
      <c r="BF66" s="220"/>
      <c r="BG66" s="220"/>
      <c r="BH66" s="221"/>
      <c r="BI66" s="207">
        <f t="shared" si="44"/>
        <v>0</v>
      </c>
      <c r="BJ66" s="220"/>
      <c r="BK66" s="220"/>
      <c r="BL66" s="220"/>
      <c r="BM66" s="220"/>
      <c r="BN66" s="221"/>
      <c r="BO66" s="207">
        <f t="shared" si="45"/>
        <v>0</v>
      </c>
    </row>
    <row r="67" spans="1:67" s="210" customFormat="1" ht="22.5" customHeight="1">
      <c r="A67" s="203" t="s">
        <v>20</v>
      </c>
      <c r="B67" s="221"/>
      <c r="C67" s="221"/>
      <c r="D67" s="221"/>
      <c r="E67" s="221"/>
      <c r="F67" s="221"/>
      <c r="G67" s="212"/>
      <c r="H67" s="220"/>
      <c r="I67" s="220"/>
      <c r="J67" s="220"/>
      <c r="K67" s="220"/>
      <c r="L67" s="221"/>
      <c r="M67" s="207"/>
      <c r="N67" s="220"/>
      <c r="O67" s="220"/>
      <c r="P67" s="220"/>
      <c r="Q67" s="220"/>
      <c r="R67" s="221"/>
      <c r="S67" s="207"/>
      <c r="T67" s="220"/>
      <c r="U67" s="220"/>
      <c r="V67" s="220"/>
      <c r="W67" s="220"/>
      <c r="X67" s="221"/>
      <c r="Y67" s="207"/>
      <c r="Z67" s="220"/>
      <c r="AA67" s="220"/>
      <c r="AB67" s="220"/>
      <c r="AC67" s="220"/>
      <c r="AD67" s="221"/>
      <c r="AE67" s="207"/>
      <c r="AF67" s="220"/>
      <c r="AG67" s="220"/>
      <c r="AH67" s="220"/>
      <c r="AI67" s="220"/>
      <c r="AJ67" s="221"/>
      <c r="AK67" s="209">
        <f t="shared" si="40"/>
        <v>0</v>
      </c>
      <c r="AL67" s="221" t="s">
        <v>63</v>
      </c>
      <c r="AM67" s="221"/>
      <c r="AN67" s="221"/>
      <c r="AO67" s="221"/>
      <c r="AP67" s="221" t="s">
        <v>63</v>
      </c>
      <c r="AQ67" s="212">
        <f t="shared" si="41"/>
        <v>0</v>
      </c>
      <c r="AR67" s="220"/>
      <c r="AS67" s="220"/>
      <c r="AT67" s="220"/>
      <c r="AU67" s="220"/>
      <c r="AV67" s="221"/>
      <c r="AW67" s="207"/>
      <c r="AX67" s="220"/>
      <c r="AY67" s="220"/>
      <c r="AZ67" s="220"/>
      <c r="BA67" s="220"/>
      <c r="BB67" s="221"/>
      <c r="BC67" s="207"/>
      <c r="BD67" s="220"/>
      <c r="BE67" s="220"/>
      <c r="BF67" s="220"/>
      <c r="BG67" s="220"/>
      <c r="BH67" s="221"/>
      <c r="BI67" s="207">
        <f t="shared" si="44"/>
        <v>0</v>
      </c>
      <c r="BJ67" s="220"/>
      <c r="BK67" s="220"/>
      <c r="BL67" s="220"/>
      <c r="BM67" s="220"/>
      <c r="BN67" s="221"/>
      <c r="BO67" s="207">
        <f t="shared" si="45"/>
        <v>0</v>
      </c>
    </row>
    <row r="68" spans="1:67" s="210" customFormat="1" ht="22.5" customHeight="1">
      <c r="A68" s="203" t="s">
        <v>64</v>
      </c>
      <c r="B68" s="221"/>
      <c r="C68" s="221"/>
      <c r="D68" s="221"/>
      <c r="E68" s="221"/>
      <c r="F68" s="221"/>
      <c r="G68" s="212"/>
      <c r="H68" s="220"/>
      <c r="I68" s="220"/>
      <c r="J68" s="220"/>
      <c r="K68" s="220"/>
      <c r="L68" s="221"/>
      <c r="M68" s="207"/>
      <c r="N68" s="220"/>
      <c r="O68" s="220"/>
      <c r="P68" s="220"/>
      <c r="Q68" s="220"/>
      <c r="R68" s="221"/>
      <c r="S68" s="207"/>
      <c r="T68" s="220"/>
      <c r="U68" s="220"/>
      <c r="V68" s="220"/>
      <c r="W68" s="220"/>
      <c r="X68" s="221"/>
      <c r="Y68" s="207"/>
      <c r="Z68" s="220"/>
      <c r="AA68" s="220"/>
      <c r="AB68" s="220"/>
      <c r="AC68" s="220"/>
      <c r="AD68" s="221"/>
      <c r="AE68" s="207"/>
      <c r="AF68" s="220"/>
      <c r="AG68" s="220"/>
      <c r="AH68" s="220"/>
      <c r="AI68" s="220"/>
      <c r="AJ68" s="221"/>
      <c r="AK68" s="209"/>
      <c r="AL68" s="221"/>
      <c r="AM68" s="221"/>
      <c r="AN68" s="221"/>
      <c r="AO68" s="221"/>
      <c r="AP68" s="221"/>
      <c r="AQ68" s="212"/>
      <c r="AR68" s="220"/>
      <c r="AS68" s="220"/>
      <c r="AT68" s="220"/>
      <c r="AU68" s="220"/>
      <c r="AV68" s="221"/>
      <c r="AW68" s="207"/>
      <c r="AX68" s="220"/>
      <c r="AY68" s="220"/>
      <c r="AZ68" s="220"/>
      <c r="BA68" s="220"/>
      <c r="BB68" s="221">
        <v>8</v>
      </c>
      <c r="BC68" s="207">
        <v>8</v>
      </c>
      <c r="BD68" s="220"/>
      <c r="BE68" s="220"/>
      <c r="BF68" s="220"/>
      <c r="BG68" s="220"/>
      <c r="BH68" s="221">
        <v>8</v>
      </c>
      <c r="BI68" s="207">
        <f t="shared" si="44"/>
        <v>8</v>
      </c>
      <c r="BJ68" s="220"/>
      <c r="BK68" s="220"/>
      <c r="BL68" s="220"/>
      <c r="BM68" s="220"/>
      <c r="BN68" s="221">
        <v>8</v>
      </c>
      <c r="BO68" s="207">
        <f t="shared" si="45"/>
        <v>8</v>
      </c>
    </row>
    <row r="69" spans="1:67" s="194" customFormat="1" ht="22.5" customHeight="1" thickBot="1">
      <c r="A69" s="202" t="s">
        <v>12</v>
      </c>
      <c r="B69" s="200">
        <f t="shared" ref="B69:G69" si="46">SUM(B48:B62)</f>
        <v>302</v>
      </c>
      <c r="C69" s="200">
        <f t="shared" si="46"/>
        <v>0</v>
      </c>
      <c r="D69" s="200">
        <f t="shared" si="46"/>
        <v>0</v>
      </c>
      <c r="E69" s="200">
        <f t="shared" si="46"/>
        <v>0</v>
      </c>
      <c r="F69" s="200">
        <f t="shared" si="46"/>
        <v>303</v>
      </c>
      <c r="G69" s="199">
        <f t="shared" si="46"/>
        <v>303</v>
      </c>
      <c r="H69" s="200" t="e">
        <f>AVERAGE(H48:H62)</f>
        <v>#DIV/0!</v>
      </c>
      <c r="I69" s="200" t="e">
        <f t="shared" ref="I69:K69" si="47">AVERAGE(I48:I62)</f>
        <v>#DIV/0!</v>
      </c>
      <c r="J69" s="200" t="e">
        <f t="shared" si="47"/>
        <v>#DIV/0!</v>
      </c>
      <c r="K69" s="200" t="e">
        <f t="shared" si="47"/>
        <v>#DIV/0!</v>
      </c>
      <c r="L69" s="200">
        <f>SUM(L48:L62)</f>
        <v>308</v>
      </c>
      <c r="M69" s="199">
        <f>SUM(M48:M62)</f>
        <v>308</v>
      </c>
      <c r="N69" s="200" t="e">
        <f>AVERAGE(N48:N62)</f>
        <v>#DIV/0!</v>
      </c>
      <c r="O69" s="200" t="e">
        <f t="shared" ref="O69:Q69" si="48">AVERAGE(O48:O62)</f>
        <v>#DIV/0!</v>
      </c>
      <c r="P69" s="200" t="e">
        <f t="shared" si="48"/>
        <v>#DIV/0!</v>
      </c>
      <c r="Q69" s="200" t="e">
        <f t="shared" si="48"/>
        <v>#DIV/0!</v>
      </c>
      <c r="R69" s="200">
        <v>352</v>
      </c>
      <c r="S69" s="199">
        <f>SUM(S48:S62)</f>
        <v>343</v>
      </c>
      <c r="T69" s="200" t="e">
        <f>AVERAGE(T48:T62)</f>
        <v>#DIV/0!</v>
      </c>
      <c r="U69" s="200" t="e">
        <f t="shared" ref="U69:X69" si="49">AVERAGE(U48:U62)</f>
        <v>#DIV/0!</v>
      </c>
      <c r="V69" s="200" t="e">
        <f t="shared" si="49"/>
        <v>#DIV/0!</v>
      </c>
      <c r="W69" s="200" t="e">
        <f t="shared" si="49"/>
        <v>#DIV/0!</v>
      </c>
      <c r="X69" s="200" t="e">
        <f t="shared" si="49"/>
        <v>#DIV/0!</v>
      </c>
      <c r="Y69" s="199">
        <f>SUM(Y48:Y62)</f>
        <v>343</v>
      </c>
      <c r="Z69" s="200" t="e">
        <f>AVERAGE(Z48:Z62)</f>
        <v>#DIV/0!</v>
      </c>
      <c r="AA69" s="200" t="e">
        <f t="shared" ref="AA69:AC69" si="50">AVERAGE(AA48:AA62)</f>
        <v>#DIV/0!</v>
      </c>
      <c r="AB69" s="200" t="e">
        <f t="shared" si="50"/>
        <v>#DIV/0!</v>
      </c>
      <c r="AC69" s="200" t="e">
        <f t="shared" si="50"/>
        <v>#DIV/0!</v>
      </c>
      <c r="AD69" s="200"/>
      <c r="AE69" s="199">
        <f>SUM(AE48:AE66)</f>
        <v>414</v>
      </c>
      <c r="AF69" s="200" t="e">
        <f>AVERAGE(AF48:AF62)</f>
        <v>#DIV/0!</v>
      </c>
      <c r="AG69" s="200" t="e">
        <f t="shared" ref="AG69:AJ69" si="51">AVERAGE(AG48:AG62)</f>
        <v>#DIV/0!</v>
      </c>
      <c r="AH69" s="200" t="e">
        <f t="shared" si="51"/>
        <v>#DIV/0!</v>
      </c>
      <c r="AI69" s="200" t="e">
        <f t="shared" si="51"/>
        <v>#DIV/0!</v>
      </c>
      <c r="AJ69" s="200">
        <f t="shared" si="51"/>
        <v>25.428571428571427</v>
      </c>
      <c r="AK69" s="201">
        <f>SUM(AK48:AK67)</f>
        <v>356</v>
      </c>
      <c r="AL69" s="200">
        <f>SUM(AL48:AL67)</f>
        <v>322</v>
      </c>
      <c r="AM69" s="200">
        <f>SUM(AM48:AM62)</f>
        <v>0</v>
      </c>
      <c r="AN69" s="200">
        <f>SUM(AN48:AN62)</f>
        <v>0</v>
      </c>
      <c r="AO69" s="200">
        <f>SUM(AO48:AO62)</f>
        <v>0</v>
      </c>
      <c r="AP69" s="200">
        <f>SUM(AP48:AP62)</f>
        <v>326</v>
      </c>
      <c r="AQ69" s="199">
        <f>SUM(AQ48:AQ62)</f>
        <v>326</v>
      </c>
      <c r="AR69" s="200" t="e">
        <f>AVERAGE(AR48:AR62)</f>
        <v>#DIV/0!</v>
      </c>
      <c r="AS69" s="200" t="e">
        <f t="shared" ref="AS69:AU69" si="52">AVERAGE(AS48:AS62)</f>
        <v>#DIV/0!</v>
      </c>
      <c r="AT69" s="200" t="e">
        <f t="shared" si="52"/>
        <v>#DIV/0!</v>
      </c>
      <c r="AU69" s="200" t="e">
        <f t="shared" si="52"/>
        <v>#DIV/0!</v>
      </c>
      <c r="AV69" s="200"/>
      <c r="AW69" s="199">
        <f>SUM(AW48:AW62)</f>
        <v>306</v>
      </c>
      <c r="AX69" s="200" t="e">
        <f>AVERAGE(AX48:AX62)</f>
        <v>#DIV/0!</v>
      </c>
      <c r="AY69" s="200" t="e">
        <f t="shared" ref="AY69:BA69" si="53">AVERAGE(AY48:AY62)</f>
        <v>#DIV/0!</v>
      </c>
      <c r="AZ69" s="200" t="e">
        <f t="shared" si="53"/>
        <v>#DIV/0!</v>
      </c>
      <c r="BA69" s="200" t="e">
        <f t="shared" si="53"/>
        <v>#DIV/0!</v>
      </c>
      <c r="BB69" s="200">
        <v>352</v>
      </c>
      <c r="BC69" s="199">
        <f>SUM(BC48:BC68)</f>
        <v>314</v>
      </c>
      <c r="BD69" s="200" t="e">
        <f>AVERAGE(BD48:BD62)</f>
        <v>#DIV/0!</v>
      </c>
      <c r="BE69" s="200" t="e">
        <f t="shared" ref="BE69:BG69" si="54">AVERAGE(BE48:BE62)</f>
        <v>#DIV/0!</v>
      </c>
      <c r="BF69" s="200" t="e">
        <f t="shared" si="54"/>
        <v>#DIV/0!</v>
      </c>
      <c r="BG69" s="200" t="e">
        <f t="shared" si="54"/>
        <v>#DIV/0!</v>
      </c>
      <c r="BH69" s="200">
        <f>SUM(BH48:BH68)</f>
        <v>306</v>
      </c>
      <c r="BI69" s="199">
        <f>SUM(BI48:BI68)</f>
        <v>306</v>
      </c>
      <c r="BJ69" s="200" t="e">
        <f>AVERAGE(BJ48:BJ62)</f>
        <v>#DIV/0!</v>
      </c>
      <c r="BK69" s="200" t="e">
        <f t="shared" ref="BK69:BN69" si="55">AVERAGE(BK48:BK62)</f>
        <v>#DIV/0!</v>
      </c>
      <c r="BL69" s="200" t="e">
        <f t="shared" si="55"/>
        <v>#DIV/0!</v>
      </c>
      <c r="BM69" s="200" t="e">
        <f t="shared" si="55"/>
        <v>#DIV/0!</v>
      </c>
      <c r="BN69" s="200">
        <f t="shared" si="55"/>
        <v>24.833333333333332</v>
      </c>
      <c r="BO69" s="199">
        <f>SUM(BO48:BO68)</f>
        <v>306</v>
      </c>
    </row>
    <row r="70" spans="1:67" s="210" customFormat="1" ht="22.5" customHeight="1">
      <c r="A70" s="213" t="s">
        <v>33</v>
      </c>
      <c r="B70" s="211"/>
      <c r="C70" s="211"/>
      <c r="D70" s="211"/>
      <c r="E70" s="211"/>
      <c r="F70" s="208"/>
      <c r="G70" s="207">
        <f>SUM(B70:F70)</f>
        <v>0</v>
      </c>
      <c r="H70" s="211"/>
      <c r="I70" s="211"/>
      <c r="J70" s="211"/>
      <c r="K70" s="211"/>
      <c r="L70" s="208"/>
      <c r="M70" s="207">
        <f>SUM(H70:L70)</f>
        <v>0</v>
      </c>
      <c r="N70" s="211"/>
      <c r="O70" s="211"/>
      <c r="P70" s="211"/>
      <c r="Q70" s="211"/>
      <c r="R70" s="208"/>
      <c r="S70" s="207">
        <f>SUM(N70:R70)</f>
        <v>0</v>
      </c>
      <c r="T70" s="211"/>
      <c r="U70" s="211"/>
      <c r="V70" s="211"/>
      <c r="W70" s="211"/>
      <c r="X70" s="208"/>
      <c r="Y70" s="207">
        <f>SUM(T70:X70)</f>
        <v>0</v>
      </c>
      <c r="Z70" s="211">
        <v>86</v>
      </c>
      <c r="AA70" s="211"/>
      <c r="AB70" s="211"/>
      <c r="AC70" s="211"/>
      <c r="AD70" s="208"/>
      <c r="AE70" s="207">
        <v>86</v>
      </c>
      <c r="AF70" s="211"/>
      <c r="AG70" s="211"/>
      <c r="AH70" s="211"/>
      <c r="AI70" s="211"/>
      <c r="AJ70" s="208"/>
      <c r="AK70" s="209">
        <f>SUM(AF70:AJ70)</f>
        <v>0</v>
      </c>
      <c r="AL70" s="211"/>
      <c r="AM70" s="211"/>
      <c r="AN70" s="211"/>
      <c r="AO70" s="211"/>
      <c r="AP70" s="208"/>
      <c r="AQ70" s="207">
        <f>SUM(AL70:AP70)</f>
        <v>0</v>
      </c>
      <c r="AR70" s="211"/>
      <c r="AS70" s="211"/>
      <c r="AT70" s="211"/>
      <c r="AU70" s="211"/>
      <c r="AV70" s="208"/>
      <c r="AW70" s="207">
        <f>SUM(AR70:AV70)</f>
        <v>0</v>
      </c>
      <c r="AX70" s="211"/>
      <c r="AY70" s="211"/>
      <c r="AZ70" s="211"/>
      <c r="BA70" s="211"/>
      <c r="BB70" s="208"/>
      <c r="BC70" s="207">
        <f>SUM(AX70:BB70)</f>
        <v>0</v>
      </c>
      <c r="BD70" s="211"/>
      <c r="BE70" s="211"/>
      <c r="BF70" s="211"/>
      <c r="BG70" s="211"/>
      <c r="BH70" s="208"/>
      <c r="BI70" s="207">
        <f>SUM(BD70:BH70)</f>
        <v>0</v>
      </c>
      <c r="BJ70" s="211"/>
      <c r="BK70" s="211"/>
      <c r="BL70" s="211"/>
      <c r="BM70" s="211"/>
      <c r="BN70" s="208"/>
      <c r="BO70" s="207">
        <f>SUM(BJ70:BN70)</f>
        <v>0</v>
      </c>
    </row>
    <row r="71" spans="1:67" s="210" customFormat="1" ht="22.5" customHeight="1" thickBot="1">
      <c r="A71" s="214" t="s">
        <v>34</v>
      </c>
      <c r="B71" s="215"/>
      <c r="C71" s="215"/>
      <c r="D71" s="215"/>
      <c r="E71" s="215"/>
      <c r="F71" s="215"/>
      <c r="G71" s="216">
        <f>F71</f>
        <v>0</v>
      </c>
      <c r="H71" s="215"/>
      <c r="I71" s="215"/>
      <c r="J71" s="215"/>
      <c r="K71" s="215"/>
      <c r="L71" s="215"/>
      <c r="M71" s="216">
        <f>SUM(H71:L71)</f>
        <v>0</v>
      </c>
      <c r="N71" s="215"/>
      <c r="O71" s="215"/>
      <c r="P71" s="215"/>
      <c r="Q71" s="215"/>
      <c r="R71" s="215"/>
      <c r="S71" s="216">
        <f>SUM(N71:R71)</f>
        <v>0</v>
      </c>
      <c r="T71" s="215"/>
      <c r="U71" s="215"/>
      <c r="V71" s="215"/>
      <c r="W71" s="215"/>
      <c r="X71" s="215"/>
      <c r="Y71" s="216">
        <f>SUM(T71:X71)</f>
        <v>0</v>
      </c>
      <c r="Z71" s="215">
        <v>96</v>
      </c>
      <c r="AA71" s="215"/>
      <c r="AB71" s="215"/>
      <c r="AC71" s="215"/>
      <c r="AD71" s="215"/>
      <c r="AE71" s="216">
        <f>SUM(Z71:AD71)</f>
        <v>96</v>
      </c>
      <c r="AF71" s="215"/>
      <c r="AG71" s="215"/>
      <c r="AH71" s="215"/>
      <c r="AI71" s="215"/>
      <c r="AJ71" s="215"/>
      <c r="AK71" s="217"/>
      <c r="AL71" s="215"/>
      <c r="AM71" s="215"/>
      <c r="AN71" s="215"/>
      <c r="AO71" s="215"/>
      <c r="AP71" s="215"/>
      <c r="AQ71" s="216">
        <f>AP71</f>
        <v>0</v>
      </c>
      <c r="AR71" s="215"/>
      <c r="AS71" s="215"/>
      <c r="AT71" s="215"/>
      <c r="AU71" s="215"/>
      <c r="AV71" s="215"/>
      <c r="AW71" s="216">
        <f>SUM(AR71:AV71)</f>
        <v>0</v>
      </c>
      <c r="AX71" s="215"/>
      <c r="AY71" s="215"/>
      <c r="AZ71" s="215"/>
      <c r="BA71" s="215"/>
      <c r="BB71" s="215"/>
      <c r="BC71" s="216">
        <f>SUM(AX71:BB71)</f>
        <v>0</v>
      </c>
      <c r="BD71" s="215"/>
      <c r="BE71" s="215"/>
      <c r="BF71" s="215"/>
      <c r="BG71" s="215"/>
      <c r="BH71" s="215"/>
      <c r="BI71" s="216">
        <f>SUM(BD71:BH71)</f>
        <v>0</v>
      </c>
      <c r="BJ71" s="215"/>
      <c r="BK71" s="215"/>
      <c r="BL71" s="215"/>
      <c r="BM71" s="215"/>
      <c r="BN71" s="215"/>
      <c r="BO71" s="216">
        <f>SUM(BJ71:BN71)</f>
        <v>0</v>
      </c>
    </row>
    <row r="72" spans="1:67" ht="22.5" customHeight="1"/>
    <row r="73" spans="1:67" ht="22.5" customHeight="1"/>
  </sheetData>
  <mergeCells count="56">
    <mergeCell ref="BD2:BH2"/>
    <mergeCell ref="BJ2:BN2"/>
    <mergeCell ref="A1:M1"/>
    <mergeCell ref="B2:F2"/>
    <mergeCell ref="H2:L2"/>
    <mergeCell ref="N2:R2"/>
    <mergeCell ref="T2:X2"/>
    <mergeCell ref="Z2:AD2"/>
    <mergeCell ref="AF4:AJ4"/>
    <mergeCell ref="AF2:AJ2"/>
    <mergeCell ref="AL2:AP2"/>
    <mergeCell ref="AR2:AV2"/>
    <mergeCell ref="AX2:BB2"/>
    <mergeCell ref="B4:F4"/>
    <mergeCell ref="H4:L4"/>
    <mergeCell ref="N4:R4"/>
    <mergeCell ref="T4:X4"/>
    <mergeCell ref="Z4:AD4"/>
    <mergeCell ref="B5:G5"/>
    <mergeCell ref="H5:M5"/>
    <mergeCell ref="N5:S5"/>
    <mergeCell ref="T5:Y5"/>
    <mergeCell ref="Z5:AE5"/>
    <mergeCell ref="BD5:BI5"/>
    <mergeCell ref="BJ5:BO5"/>
    <mergeCell ref="AL4:AP4"/>
    <mergeCell ref="AR4:AV4"/>
    <mergeCell ref="AX4:BB4"/>
    <mergeCell ref="BD4:BH4"/>
    <mergeCell ref="BJ4:BN4"/>
    <mergeCell ref="AF29:AK29"/>
    <mergeCell ref="AF5:AK5"/>
    <mergeCell ref="AL5:AQ5"/>
    <mergeCell ref="AR5:AW5"/>
    <mergeCell ref="AX5:BC5"/>
    <mergeCell ref="B29:G29"/>
    <mergeCell ref="H29:M29"/>
    <mergeCell ref="N29:S29"/>
    <mergeCell ref="T29:Y29"/>
    <mergeCell ref="Z29:AE29"/>
    <mergeCell ref="B47:G47"/>
    <mergeCell ref="H47:M47"/>
    <mergeCell ref="N47:S47"/>
    <mergeCell ref="T47:Y47"/>
    <mergeCell ref="Z47:AE47"/>
    <mergeCell ref="BJ47:BO47"/>
    <mergeCell ref="AL29:AQ29"/>
    <mergeCell ref="AR29:AW29"/>
    <mergeCell ref="AX29:BC29"/>
    <mergeCell ref="BD29:BI29"/>
    <mergeCell ref="BJ29:BO29"/>
    <mergeCell ref="AF47:AK47"/>
    <mergeCell ref="AL47:AQ47"/>
    <mergeCell ref="AR47:AW47"/>
    <mergeCell ref="AX47:BC47"/>
    <mergeCell ref="BD47:BI47"/>
  </mergeCells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2F54-F717-4539-983F-1FC893115338}">
  <dimension ref="A1:BP12"/>
  <sheetViews>
    <sheetView showGridLines="0" topLeftCell="B1" zoomScale="60" zoomScaleNormal="60" workbookViewId="0">
      <pane xSplit="1" topLeftCell="BN14" activePane="topRight" state="frozen"/>
      <selection pane="topRight" activeCell="BN15" sqref="BN15"/>
      <selection activeCell="B1" sqref="B1"/>
    </sheetView>
  </sheetViews>
  <sheetFormatPr defaultColWidth="5.7109375" defaultRowHeight="15"/>
  <cols>
    <col min="1" max="1" width="10.5703125" style="1" hidden="1" customWidth="1"/>
    <col min="2" max="2" width="41.85546875" style="10" customWidth="1"/>
    <col min="3" max="5" width="14.7109375" style="9" bestFit="1" customWidth="1"/>
    <col min="6" max="7" width="14.42578125" style="9" bestFit="1" customWidth="1"/>
    <col min="8" max="8" width="18" style="9" customWidth="1"/>
    <col min="9" max="11" width="14.7109375" style="9" bestFit="1" customWidth="1"/>
    <col min="12" max="13" width="14.42578125" style="9" bestFit="1" customWidth="1"/>
    <col min="14" max="14" width="18" style="9" customWidth="1"/>
    <col min="15" max="17" width="14.7109375" style="9" bestFit="1" customWidth="1"/>
    <col min="18" max="19" width="14.42578125" style="9" bestFit="1" customWidth="1"/>
    <col min="20" max="20" width="18" style="9" customWidth="1"/>
    <col min="21" max="23" width="14.7109375" style="9" bestFit="1" customWidth="1"/>
    <col min="24" max="25" width="14.42578125" style="9" bestFit="1" customWidth="1"/>
    <col min="26" max="26" width="18" style="9" customWidth="1"/>
    <col min="27" max="29" width="14.7109375" style="9" bestFit="1" customWidth="1"/>
    <col min="30" max="31" width="14.42578125" style="9" bestFit="1" customWidth="1"/>
    <col min="32" max="32" width="18" style="9" customWidth="1"/>
    <col min="33" max="35" width="14.7109375" style="9" bestFit="1" customWidth="1"/>
    <col min="36" max="37" width="14.42578125" style="9" bestFit="1" customWidth="1"/>
    <col min="38" max="38" width="18" style="9" customWidth="1"/>
    <col min="39" max="44" width="18" style="1" customWidth="1"/>
    <col min="45" max="45" width="13.85546875" style="1" customWidth="1"/>
    <col min="46" max="46" width="14.5703125" style="1" customWidth="1"/>
    <col min="47" max="47" width="13" style="1" customWidth="1"/>
    <col min="48" max="48" width="14.7109375" style="1" customWidth="1"/>
    <col min="49" max="49" width="17.140625" style="1" customWidth="1"/>
    <col min="50" max="50" width="13.140625" style="1" customWidth="1"/>
    <col min="51" max="56" width="14.85546875" style="1" customWidth="1"/>
    <col min="57" max="57" width="13.7109375" style="1" customWidth="1"/>
    <col min="58" max="58" width="12.42578125" style="1" customWidth="1"/>
    <col min="59" max="59" width="11.85546875" style="1" customWidth="1"/>
    <col min="60" max="60" width="15" style="1" customWidth="1"/>
    <col min="61" max="61" width="12.85546875" style="1" customWidth="1"/>
    <col min="62" max="62" width="11.42578125" style="1" customWidth="1"/>
    <col min="63" max="63" width="14.28515625" style="1" customWidth="1"/>
    <col min="64" max="64" width="14.42578125" style="1" customWidth="1"/>
    <col min="65" max="66" width="15.85546875" style="1" customWidth="1"/>
    <col min="67" max="67" width="18.140625" style="1" customWidth="1"/>
    <col min="68" max="68" width="10.28515625" style="1" customWidth="1"/>
    <col min="69" max="16384" width="5.7109375" style="1"/>
  </cols>
  <sheetData>
    <row r="1" spans="1:68" ht="40.5" customHeight="1">
      <c r="A1" s="531" t="s">
        <v>65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532"/>
      <c r="N1" s="53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68" ht="40.5" customHeight="1">
      <c r="A2" s="57"/>
      <c r="B2" s="110"/>
      <c r="C2" s="529" t="s">
        <v>66</v>
      </c>
      <c r="D2" s="530"/>
      <c r="E2" s="530"/>
      <c r="F2" s="530"/>
      <c r="G2" s="530"/>
      <c r="H2" s="533"/>
      <c r="I2" s="529" t="s">
        <v>67</v>
      </c>
      <c r="J2" s="530"/>
      <c r="K2" s="530"/>
      <c r="L2" s="530"/>
      <c r="M2" s="530"/>
      <c r="N2" s="130"/>
      <c r="O2" s="529" t="s">
        <v>68</v>
      </c>
      <c r="P2" s="530"/>
      <c r="Q2" s="530"/>
      <c r="R2" s="530"/>
      <c r="S2" s="530"/>
      <c r="T2" s="533"/>
      <c r="U2" s="529" t="s">
        <v>69</v>
      </c>
      <c r="V2" s="530"/>
      <c r="W2" s="530"/>
      <c r="X2" s="530"/>
      <c r="Y2" s="530"/>
      <c r="Z2" s="533"/>
      <c r="AA2" s="529" t="s">
        <v>70</v>
      </c>
      <c r="AB2" s="530"/>
      <c r="AC2" s="530"/>
      <c r="AD2" s="530"/>
      <c r="AE2" s="530"/>
      <c r="AF2" s="533"/>
      <c r="AG2" s="529" t="s">
        <v>71</v>
      </c>
      <c r="AH2" s="530"/>
      <c r="AI2" s="530"/>
      <c r="AJ2" s="530"/>
      <c r="AK2" s="530"/>
      <c r="AL2" s="530"/>
      <c r="AM2" s="529" t="s">
        <v>72</v>
      </c>
      <c r="AN2" s="530"/>
      <c r="AO2" s="530"/>
      <c r="AP2" s="530"/>
      <c r="AQ2" s="530"/>
      <c r="AR2" s="530"/>
      <c r="AS2" s="529" t="s">
        <v>2</v>
      </c>
      <c r="AT2" s="530"/>
      <c r="AU2" s="530"/>
      <c r="AV2" s="530"/>
      <c r="AW2" s="530"/>
      <c r="AX2" s="530"/>
      <c r="AY2" s="529" t="s">
        <v>3</v>
      </c>
      <c r="AZ2" s="530"/>
      <c r="BA2" s="530"/>
      <c r="BB2" s="530"/>
      <c r="BC2" s="530"/>
      <c r="BD2" s="530"/>
      <c r="BE2" s="529" t="s">
        <v>4</v>
      </c>
      <c r="BF2" s="530"/>
      <c r="BG2" s="530"/>
      <c r="BH2" s="530"/>
      <c r="BI2" s="530"/>
      <c r="BJ2" s="530"/>
      <c r="BK2" s="529" t="s">
        <v>5</v>
      </c>
      <c r="BL2" s="530"/>
      <c r="BM2" s="530"/>
      <c r="BN2" s="530"/>
      <c r="BO2" s="530"/>
      <c r="BP2" s="530"/>
    </row>
    <row r="3" spans="1:68" ht="39" customHeight="1">
      <c r="A3" s="129" t="s">
        <v>73</v>
      </c>
      <c r="B3" s="120" t="s">
        <v>6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2" t="s">
        <v>12</v>
      </c>
      <c r="I3" s="121" t="s">
        <v>7</v>
      </c>
      <c r="J3" s="121" t="s">
        <v>8</v>
      </c>
      <c r="K3" s="121" t="s">
        <v>9</v>
      </c>
      <c r="L3" s="121" t="s">
        <v>10</v>
      </c>
      <c r="M3" s="121" t="s">
        <v>11</v>
      </c>
      <c r="N3" s="122" t="s">
        <v>12</v>
      </c>
      <c r="O3" s="121" t="s">
        <v>7</v>
      </c>
      <c r="P3" s="121" t="s">
        <v>8</v>
      </c>
      <c r="Q3" s="121" t="s">
        <v>9</v>
      </c>
      <c r="R3" s="121" t="s">
        <v>10</v>
      </c>
      <c r="S3" s="121" t="s">
        <v>11</v>
      </c>
      <c r="T3" s="122" t="s">
        <v>12</v>
      </c>
      <c r="U3" s="121" t="s">
        <v>7</v>
      </c>
      <c r="V3" s="121" t="s">
        <v>8</v>
      </c>
      <c r="W3" s="121" t="s">
        <v>9</v>
      </c>
      <c r="X3" s="121" t="s">
        <v>10</v>
      </c>
      <c r="Y3" s="121" t="s">
        <v>11</v>
      </c>
      <c r="Z3" s="122" t="s">
        <v>12</v>
      </c>
      <c r="AA3" s="121" t="s">
        <v>7</v>
      </c>
      <c r="AB3" s="121" t="s">
        <v>8</v>
      </c>
      <c r="AC3" s="121" t="s">
        <v>9</v>
      </c>
      <c r="AD3" s="121" t="s">
        <v>10</v>
      </c>
      <c r="AE3" s="121" t="s">
        <v>11</v>
      </c>
      <c r="AF3" s="122" t="s">
        <v>12</v>
      </c>
      <c r="AG3" s="121" t="s">
        <v>7</v>
      </c>
      <c r="AH3" s="121" t="s">
        <v>8</v>
      </c>
      <c r="AI3" s="121" t="s">
        <v>9</v>
      </c>
      <c r="AJ3" s="121" t="s">
        <v>10</v>
      </c>
      <c r="AK3" s="121" t="s">
        <v>11</v>
      </c>
      <c r="AL3" s="123" t="s">
        <v>12</v>
      </c>
      <c r="AM3" s="121" t="s">
        <v>7</v>
      </c>
      <c r="AN3" s="121" t="s">
        <v>8</v>
      </c>
      <c r="AO3" s="121" t="s">
        <v>9</v>
      </c>
      <c r="AP3" s="121" t="s">
        <v>10</v>
      </c>
      <c r="AQ3" s="121" t="s">
        <v>11</v>
      </c>
      <c r="AR3" s="123" t="s">
        <v>12</v>
      </c>
      <c r="AS3" s="121" t="s">
        <v>7</v>
      </c>
      <c r="AT3" s="121" t="s">
        <v>8</v>
      </c>
      <c r="AU3" s="121" t="s">
        <v>9</v>
      </c>
      <c r="AV3" s="121" t="s">
        <v>10</v>
      </c>
      <c r="AW3" s="121" t="s">
        <v>11</v>
      </c>
      <c r="AX3" s="123" t="s">
        <v>12</v>
      </c>
      <c r="AY3" s="121" t="s">
        <v>7</v>
      </c>
      <c r="AZ3" s="121" t="s">
        <v>8</v>
      </c>
      <c r="BA3" s="121" t="s">
        <v>9</v>
      </c>
      <c r="BB3" s="121" t="s">
        <v>10</v>
      </c>
      <c r="BC3" s="121" t="s">
        <v>11</v>
      </c>
      <c r="BD3" s="123" t="s">
        <v>12</v>
      </c>
      <c r="BE3" s="121" t="s">
        <v>7</v>
      </c>
      <c r="BF3" s="121" t="s">
        <v>8</v>
      </c>
      <c r="BG3" s="121" t="s">
        <v>9</v>
      </c>
      <c r="BH3" s="121" t="s">
        <v>10</v>
      </c>
      <c r="BI3" s="121" t="s">
        <v>11</v>
      </c>
      <c r="BJ3" s="123" t="s">
        <v>12</v>
      </c>
      <c r="BK3" s="121" t="s">
        <v>7</v>
      </c>
      <c r="BL3" s="121" t="s">
        <v>8</v>
      </c>
      <c r="BM3" s="121" t="s">
        <v>9</v>
      </c>
      <c r="BN3" s="121" t="s">
        <v>10</v>
      </c>
      <c r="BO3" s="121" t="s">
        <v>11</v>
      </c>
      <c r="BP3" s="123" t="s">
        <v>12</v>
      </c>
    </row>
    <row r="4" spans="1:68" ht="23.25" customHeight="1">
      <c r="A4" s="11"/>
      <c r="B4" s="92"/>
      <c r="C4" s="526" t="s">
        <v>13</v>
      </c>
      <c r="D4" s="526"/>
      <c r="E4" s="526"/>
      <c r="F4" s="526"/>
      <c r="G4" s="526"/>
      <c r="H4" s="61"/>
      <c r="I4" s="526" t="s">
        <v>13</v>
      </c>
      <c r="J4" s="526"/>
      <c r="K4" s="526"/>
      <c r="L4" s="526"/>
      <c r="M4" s="526"/>
      <c r="N4" s="61"/>
      <c r="O4" s="526" t="s">
        <v>13</v>
      </c>
      <c r="P4" s="526"/>
      <c r="Q4" s="526"/>
      <c r="R4" s="526"/>
      <c r="S4" s="526"/>
      <c r="T4" s="61"/>
      <c r="U4" s="526" t="s">
        <v>13</v>
      </c>
      <c r="V4" s="526"/>
      <c r="W4" s="526"/>
      <c r="X4" s="526"/>
      <c r="Y4" s="526"/>
      <c r="Z4" s="61"/>
      <c r="AA4" s="526" t="s">
        <v>13</v>
      </c>
      <c r="AB4" s="526"/>
      <c r="AC4" s="526"/>
      <c r="AD4" s="526"/>
      <c r="AE4" s="526"/>
      <c r="AF4" s="61"/>
      <c r="AG4" s="526" t="s">
        <v>13</v>
      </c>
      <c r="AH4" s="526"/>
      <c r="AI4" s="526"/>
      <c r="AJ4" s="526"/>
      <c r="AK4" s="526"/>
      <c r="AL4" s="93"/>
      <c r="AM4" s="526" t="s">
        <v>13</v>
      </c>
      <c r="AN4" s="526"/>
      <c r="AO4" s="526"/>
      <c r="AP4" s="526"/>
      <c r="AQ4" s="526"/>
      <c r="AR4" s="93"/>
      <c r="AS4" s="526" t="s">
        <v>13</v>
      </c>
      <c r="AT4" s="526"/>
      <c r="AU4" s="526"/>
      <c r="AV4" s="526"/>
      <c r="AW4" s="526"/>
      <c r="AX4" s="93"/>
      <c r="AY4" s="526" t="s">
        <v>13</v>
      </c>
      <c r="AZ4" s="526"/>
      <c r="BA4" s="526"/>
      <c r="BB4" s="526"/>
      <c r="BC4" s="526"/>
      <c r="BD4" s="93"/>
      <c r="BE4" s="526" t="s">
        <v>13</v>
      </c>
      <c r="BF4" s="526"/>
      <c r="BG4" s="526"/>
      <c r="BH4" s="526"/>
      <c r="BI4" s="526"/>
      <c r="BJ4" s="93"/>
      <c r="BK4" s="526" t="s">
        <v>13</v>
      </c>
      <c r="BL4" s="526"/>
      <c r="BM4" s="526"/>
      <c r="BN4" s="526"/>
      <c r="BO4" s="526"/>
      <c r="BP4" s="93"/>
    </row>
    <row r="5" spans="1:68" ht="22.5" customHeight="1">
      <c r="A5" s="527" t="s">
        <v>74</v>
      </c>
      <c r="B5" s="124" t="s">
        <v>75</v>
      </c>
      <c r="C5" s="72">
        <v>0</v>
      </c>
      <c r="D5" s="73">
        <v>1</v>
      </c>
      <c r="E5" s="73">
        <v>10</v>
      </c>
      <c r="F5" s="73">
        <v>4</v>
      </c>
      <c r="G5" s="73">
        <v>0</v>
      </c>
      <c r="H5" s="20">
        <f>SUM(C5:G5)</f>
        <v>15</v>
      </c>
      <c r="I5" s="73">
        <v>7</v>
      </c>
      <c r="J5" s="73">
        <v>12</v>
      </c>
      <c r="K5" s="73">
        <v>8</v>
      </c>
      <c r="L5" s="74">
        <v>9</v>
      </c>
      <c r="M5" s="74">
        <v>5</v>
      </c>
      <c r="N5" s="20">
        <f>SUM(I5:M5)</f>
        <v>41</v>
      </c>
      <c r="O5" s="72">
        <v>5</v>
      </c>
      <c r="P5" s="73">
        <v>4</v>
      </c>
      <c r="Q5" s="73">
        <v>10</v>
      </c>
      <c r="R5" s="73">
        <v>23</v>
      </c>
      <c r="S5" s="74">
        <v>0</v>
      </c>
      <c r="T5" s="20">
        <f>SUM(O5:S5)</f>
        <v>42</v>
      </c>
      <c r="U5" s="72">
        <v>3</v>
      </c>
      <c r="V5" s="73">
        <v>5</v>
      </c>
      <c r="W5" s="73">
        <v>30</v>
      </c>
      <c r="X5" s="73">
        <v>40</v>
      </c>
      <c r="Y5" s="74">
        <v>0</v>
      </c>
      <c r="Z5" s="20">
        <f>SUM(U5:Y5)</f>
        <v>78</v>
      </c>
      <c r="AA5" s="72">
        <v>8</v>
      </c>
      <c r="AB5" s="73">
        <v>15</v>
      </c>
      <c r="AC5" s="73">
        <v>5</v>
      </c>
      <c r="AD5" s="73">
        <v>12</v>
      </c>
      <c r="AE5" s="74">
        <v>6</v>
      </c>
      <c r="AF5" s="20">
        <f>SUM(AA5:AE5)</f>
        <v>46</v>
      </c>
      <c r="AG5" s="72">
        <v>8</v>
      </c>
      <c r="AH5" s="73">
        <v>11</v>
      </c>
      <c r="AI5" s="73">
        <v>13</v>
      </c>
      <c r="AJ5" s="73">
        <v>9</v>
      </c>
      <c r="AK5" s="73">
        <v>2</v>
      </c>
      <c r="AL5" s="192">
        <f>SUM(AG5:AK5)</f>
        <v>43</v>
      </c>
      <c r="AM5" s="72">
        <v>4</v>
      </c>
      <c r="AN5" s="73">
        <v>7</v>
      </c>
      <c r="AO5" s="73">
        <v>7</v>
      </c>
      <c r="AP5" s="73">
        <v>19</v>
      </c>
      <c r="AQ5" s="73">
        <v>6</v>
      </c>
      <c r="AR5" s="192">
        <f t="shared" ref="AR5:AR10" si="0">SUM(AM5:AQ5)</f>
        <v>43</v>
      </c>
      <c r="AS5" s="72">
        <v>0</v>
      </c>
      <c r="AT5" s="73">
        <v>6</v>
      </c>
      <c r="AU5" s="73">
        <v>12</v>
      </c>
      <c r="AV5" s="73">
        <v>10</v>
      </c>
      <c r="AW5" s="73">
        <v>12</v>
      </c>
      <c r="AX5" s="192">
        <f t="shared" ref="AX5:AX10" si="1">SUM(AS5:AW5)</f>
        <v>40</v>
      </c>
      <c r="AY5" s="72">
        <v>8</v>
      </c>
      <c r="AZ5" s="73">
        <v>9</v>
      </c>
      <c r="BA5" s="73">
        <v>7</v>
      </c>
      <c r="BB5" s="73">
        <v>16</v>
      </c>
      <c r="BC5" s="73">
        <v>0</v>
      </c>
      <c r="BD5" s="192">
        <f t="shared" ref="BD5:BD10" si="2">SUM(AY5:BC5)</f>
        <v>40</v>
      </c>
      <c r="BE5" s="72">
        <v>5</v>
      </c>
      <c r="BF5" s="73">
        <v>11</v>
      </c>
      <c r="BG5" s="73">
        <v>2</v>
      </c>
      <c r="BH5" s="73">
        <v>7</v>
      </c>
      <c r="BI5" s="73">
        <v>18</v>
      </c>
      <c r="BJ5" s="192">
        <f t="shared" ref="BJ5:BJ10" si="3">SUM(BE5:BI5)</f>
        <v>43</v>
      </c>
      <c r="BK5" s="72">
        <v>2</v>
      </c>
      <c r="BL5" s="73">
        <v>4</v>
      </c>
      <c r="BM5" s="73">
        <v>7</v>
      </c>
      <c r="BN5" s="73">
        <v>7</v>
      </c>
      <c r="BO5" s="73"/>
      <c r="BP5" s="192">
        <f t="shared" ref="BP5:BP10" si="4">SUM(BK5:BO5)</f>
        <v>20</v>
      </c>
    </row>
    <row r="6" spans="1:68" ht="22.5" customHeight="1">
      <c r="A6" s="528"/>
      <c r="B6" s="166" t="s">
        <v>76</v>
      </c>
      <c r="C6" s="167">
        <v>0</v>
      </c>
      <c r="D6" s="168">
        <v>0</v>
      </c>
      <c r="E6" s="168">
        <v>0</v>
      </c>
      <c r="F6" s="168">
        <v>20</v>
      </c>
      <c r="G6" s="168">
        <v>0</v>
      </c>
      <c r="H6" s="20">
        <f t="shared" ref="H6:H7" si="5">SUM(C6:G6)</f>
        <v>20</v>
      </c>
      <c r="I6" s="168">
        <v>0</v>
      </c>
      <c r="J6" s="168">
        <v>0</v>
      </c>
      <c r="K6" s="168">
        <v>0</v>
      </c>
      <c r="L6" s="168">
        <v>18</v>
      </c>
      <c r="M6" s="169">
        <v>72</v>
      </c>
      <c r="N6" s="20">
        <f t="shared" ref="N6:N8" si="6">SUM(I6:M6)</f>
        <v>90</v>
      </c>
      <c r="O6" s="167">
        <v>0</v>
      </c>
      <c r="P6" s="168">
        <v>0</v>
      </c>
      <c r="Q6" s="168">
        <v>0</v>
      </c>
      <c r="R6" s="168">
        <v>124</v>
      </c>
      <c r="S6" s="169">
        <v>0</v>
      </c>
      <c r="T6" s="20">
        <f t="shared" ref="T6:T7" si="7">SUM(O6:S6)</f>
        <v>124</v>
      </c>
      <c r="U6" s="167">
        <v>29</v>
      </c>
      <c r="V6" s="168">
        <v>0</v>
      </c>
      <c r="W6" s="168">
        <v>0</v>
      </c>
      <c r="X6" s="168">
        <v>146</v>
      </c>
      <c r="Y6" s="169">
        <v>0</v>
      </c>
      <c r="Z6" s="20">
        <f>SUM(U6:Y6)</f>
        <v>175</v>
      </c>
      <c r="AA6" s="167">
        <v>0</v>
      </c>
      <c r="AB6" s="168">
        <v>0</v>
      </c>
      <c r="AC6" s="168">
        <v>0</v>
      </c>
      <c r="AD6" s="168">
        <v>26</v>
      </c>
      <c r="AE6" s="169">
        <v>59</v>
      </c>
      <c r="AF6" s="20">
        <f t="shared" ref="AF6:AF8" si="8">SUM(AA6:AE6)</f>
        <v>85</v>
      </c>
      <c r="AG6" s="167">
        <v>47</v>
      </c>
      <c r="AH6" s="168">
        <v>32</v>
      </c>
      <c r="AI6" s="168">
        <v>9</v>
      </c>
      <c r="AJ6" s="168">
        <v>0</v>
      </c>
      <c r="AK6" s="168">
        <v>0</v>
      </c>
      <c r="AL6" s="192">
        <f t="shared" ref="AL6:AL8" si="9">SUM(AG6:AK6)</f>
        <v>88</v>
      </c>
      <c r="AM6" s="167">
        <v>0</v>
      </c>
      <c r="AN6" s="227">
        <v>0</v>
      </c>
      <c r="AO6" s="227">
        <v>80</v>
      </c>
      <c r="AP6" s="227">
        <v>16</v>
      </c>
      <c r="AQ6" s="227">
        <v>0</v>
      </c>
      <c r="AR6" s="192">
        <f t="shared" si="0"/>
        <v>96</v>
      </c>
      <c r="AS6" s="167">
        <v>19</v>
      </c>
      <c r="AT6" s="227">
        <v>0</v>
      </c>
      <c r="AU6" s="227">
        <v>0</v>
      </c>
      <c r="AV6" s="227">
        <v>51</v>
      </c>
      <c r="AW6" s="227">
        <v>18</v>
      </c>
      <c r="AX6" s="192">
        <f t="shared" si="1"/>
        <v>88</v>
      </c>
      <c r="AY6" s="167">
        <v>0</v>
      </c>
      <c r="AZ6" s="227">
        <v>0</v>
      </c>
      <c r="BA6" s="227">
        <v>78</v>
      </c>
      <c r="BB6" s="227">
        <v>10</v>
      </c>
      <c r="BC6" s="227">
        <v>0</v>
      </c>
      <c r="BD6" s="192">
        <f t="shared" si="2"/>
        <v>88</v>
      </c>
      <c r="BE6" s="167">
        <v>39</v>
      </c>
      <c r="BF6" s="227">
        <v>0</v>
      </c>
      <c r="BG6" s="227">
        <v>41</v>
      </c>
      <c r="BH6" s="227">
        <v>0</v>
      </c>
      <c r="BI6" s="227">
        <v>0</v>
      </c>
      <c r="BJ6" s="192">
        <f t="shared" si="3"/>
        <v>80</v>
      </c>
      <c r="BK6" s="167">
        <v>46</v>
      </c>
      <c r="BL6" s="227">
        <v>0</v>
      </c>
      <c r="BM6" s="227">
        <v>49</v>
      </c>
      <c r="BN6" s="227">
        <v>0</v>
      </c>
      <c r="BO6" s="227"/>
      <c r="BP6" s="192">
        <f t="shared" si="4"/>
        <v>95</v>
      </c>
    </row>
    <row r="7" spans="1:68" ht="22.5" customHeight="1">
      <c r="A7" s="528"/>
      <c r="B7" s="166" t="s">
        <v>77</v>
      </c>
      <c r="C7" s="167">
        <v>0</v>
      </c>
      <c r="D7" s="168">
        <v>0</v>
      </c>
      <c r="E7" s="168">
        <v>0</v>
      </c>
      <c r="F7" s="168">
        <v>1</v>
      </c>
      <c r="G7" s="168">
        <v>0</v>
      </c>
      <c r="H7" s="20">
        <f t="shared" si="5"/>
        <v>1</v>
      </c>
      <c r="I7" s="168">
        <v>0</v>
      </c>
      <c r="J7" s="168">
        <v>0</v>
      </c>
      <c r="K7" s="168">
        <v>0</v>
      </c>
      <c r="L7" s="168">
        <v>1</v>
      </c>
      <c r="M7" s="169">
        <v>0</v>
      </c>
      <c r="N7" s="20">
        <f t="shared" si="6"/>
        <v>1</v>
      </c>
      <c r="O7" s="167">
        <v>0</v>
      </c>
      <c r="P7" s="168">
        <v>1</v>
      </c>
      <c r="Q7" s="168">
        <v>0</v>
      </c>
      <c r="R7" s="168">
        <v>0</v>
      </c>
      <c r="S7" s="169">
        <v>0</v>
      </c>
      <c r="T7" s="20">
        <f t="shared" si="7"/>
        <v>1</v>
      </c>
      <c r="U7" s="167">
        <v>0</v>
      </c>
      <c r="V7" s="168">
        <v>0</v>
      </c>
      <c r="W7" s="168">
        <v>0</v>
      </c>
      <c r="X7" s="168">
        <v>0</v>
      </c>
      <c r="Y7" s="169">
        <v>0</v>
      </c>
      <c r="Z7" s="20">
        <f t="shared" ref="Z7" si="10">SUM(U7:Y7)</f>
        <v>0</v>
      </c>
      <c r="AA7" s="167">
        <v>0</v>
      </c>
      <c r="AB7" s="168">
        <v>0</v>
      </c>
      <c r="AC7" s="168">
        <v>0</v>
      </c>
      <c r="AD7" s="168">
        <v>0</v>
      </c>
      <c r="AE7" s="169">
        <v>1</v>
      </c>
      <c r="AF7" s="20">
        <f t="shared" si="8"/>
        <v>1</v>
      </c>
      <c r="AG7" s="167">
        <v>1</v>
      </c>
      <c r="AH7" s="168">
        <v>0</v>
      </c>
      <c r="AI7" s="168">
        <v>0</v>
      </c>
      <c r="AJ7" s="168">
        <v>0</v>
      </c>
      <c r="AK7" s="168">
        <v>0</v>
      </c>
      <c r="AL7" s="192">
        <f t="shared" si="9"/>
        <v>1</v>
      </c>
      <c r="AM7" s="167">
        <v>0</v>
      </c>
      <c r="AN7" s="227">
        <v>0</v>
      </c>
      <c r="AO7" s="227">
        <v>0</v>
      </c>
      <c r="AP7" s="227">
        <v>1</v>
      </c>
      <c r="AQ7" s="227">
        <v>0</v>
      </c>
      <c r="AR7" s="192">
        <f t="shared" si="0"/>
        <v>1</v>
      </c>
      <c r="AS7" s="167">
        <v>0</v>
      </c>
      <c r="AT7" s="227">
        <v>0</v>
      </c>
      <c r="AU7" s="227">
        <v>2</v>
      </c>
      <c r="AV7" s="227">
        <v>0</v>
      </c>
      <c r="AW7" s="227">
        <v>0</v>
      </c>
      <c r="AX7" s="192">
        <f t="shared" si="1"/>
        <v>2</v>
      </c>
      <c r="AY7" s="167">
        <v>0</v>
      </c>
      <c r="AZ7" s="227">
        <v>0</v>
      </c>
      <c r="BA7" s="227">
        <v>0</v>
      </c>
      <c r="BB7" s="227">
        <v>1</v>
      </c>
      <c r="BC7" s="227">
        <v>0</v>
      </c>
      <c r="BD7" s="192">
        <f t="shared" si="2"/>
        <v>1</v>
      </c>
      <c r="BE7" s="167">
        <v>0</v>
      </c>
      <c r="BF7" s="227">
        <v>0</v>
      </c>
      <c r="BG7" s="227">
        <v>0</v>
      </c>
      <c r="BH7" s="227">
        <v>1</v>
      </c>
      <c r="BI7" s="227">
        <v>0</v>
      </c>
      <c r="BJ7" s="192">
        <f t="shared" si="3"/>
        <v>1</v>
      </c>
      <c r="BK7" s="167">
        <v>0</v>
      </c>
      <c r="BL7" s="227">
        <v>0</v>
      </c>
      <c r="BM7" s="227">
        <v>1</v>
      </c>
      <c r="BN7" s="227">
        <v>0</v>
      </c>
      <c r="BO7" s="227"/>
      <c r="BP7" s="192">
        <f t="shared" si="4"/>
        <v>1</v>
      </c>
    </row>
    <row r="8" spans="1:68" ht="22.5" customHeight="1">
      <c r="A8" s="528"/>
      <c r="B8" s="166" t="s">
        <v>78</v>
      </c>
      <c r="C8" s="167">
        <v>0</v>
      </c>
      <c r="D8" s="168">
        <v>0</v>
      </c>
      <c r="E8" s="168">
        <v>0</v>
      </c>
      <c r="F8" s="168">
        <v>0</v>
      </c>
      <c r="G8" s="168">
        <v>0</v>
      </c>
      <c r="H8" s="222">
        <f>SUM(C8:G8)</f>
        <v>0</v>
      </c>
      <c r="I8" s="168">
        <v>0</v>
      </c>
      <c r="J8" s="168">
        <v>0</v>
      </c>
      <c r="K8" s="168">
        <v>0</v>
      </c>
      <c r="L8" s="168">
        <v>1</v>
      </c>
      <c r="M8" s="169">
        <v>0</v>
      </c>
      <c r="N8" s="20">
        <f t="shared" si="6"/>
        <v>1</v>
      </c>
      <c r="O8" s="167">
        <v>0</v>
      </c>
      <c r="P8" s="168">
        <v>0</v>
      </c>
      <c r="Q8" s="168">
        <v>0</v>
      </c>
      <c r="R8" s="168">
        <v>0</v>
      </c>
      <c r="S8" s="169">
        <v>0</v>
      </c>
      <c r="T8" s="20">
        <v>0</v>
      </c>
      <c r="U8" s="167">
        <v>0</v>
      </c>
      <c r="V8" s="168">
        <v>0</v>
      </c>
      <c r="W8" s="168">
        <v>0</v>
      </c>
      <c r="X8" s="168">
        <v>1</v>
      </c>
      <c r="Y8" s="168">
        <v>0</v>
      </c>
      <c r="Z8" s="192">
        <f>SUM(U8:Y8)</f>
        <v>1</v>
      </c>
      <c r="AA8" s="168">
        <v>0</v>
      </c>
      <c r="AB8" s="168">
        <v>0</v>
      </c>
      <c r="AC8" s="168">
        <v>0</v>
      </c>
      <c r="AD8" s="168">
        <v>1</v>
      </c>
      <c r="AE8" s="168">
        <v>0</v>
      </c>
      <c r="AF8" s="192">
        <f t="shared" si="8"/>
        <v>1</v>
      </c>
      <c r="AG8" s="168">
        <v>0</v>
      </c>
      <c r="AH8" s="168">
        <v>0</v>
      </c>
      <c r="AI8" s="168">
        <v>0</v>
      </c>
      <c r="AJ8" s="168">
        <v>0</v>
      </c>
      <c r="AK8" s="168">
        <v>1</v>
      </c>
      <c r="AL8" s="192">
        <f t="shared" si="9"/>
        <v>1</v>
      </c>
      <c r="AM8" s="227">
        <v>0</v>
      </c>
      <c r="AN8" s="227">
        <v>0</v>
      </c>
      <c r="AO8" s="227">
        <v>1</v>
      </c>
      <c r="AP8" s="227">
        <v>0</v>
      </c>
      <c r="AQ8" s="227">
        <v>1</v>
      </c>
      <c r="AR8" s="192">
        <f t="shared" si="0"/>
        <v>2</v>
      </c>
      <c r="AS8" s="227">
        <v>0</v>
      </c>
      <c r="AT8" s="227">
        <v>0</v>
      </c>
      <c r="AU8" s="227">
        <v>0</v>
      </c>
      <c r="AV8" s="227">
        <v>0</v>
      </c>
      <c r="AW8" s="227">
        <v>1</v>
      </c>
      <c r="AX8" s="192">
        <f t="shared" si="1"/>
        <v>1</v>
      </c>
      <c r="AY8" s="227">
        <v>0</v>
      </c>
      <c r="AZ8" s="227">
        <v>0</v>
      </c>
      <c r="BA8" s="227">
        <v>0</v>
      </c>
      <c r="BB8" s="227">
        <v>1</v>
      </c>
      <c r="BC8" s="227">
        <v>0</v>
      </c>
      <c r="BD8" s="192">
        <f t="shared" si="2"/>
        <v>1</v>
      </c>
      <c r="BE8" s="227">
        <v>0</v>
      </c>
      <c r="BF8" s="227">
        <v>0</v>
      </c>
      <c r="BG8" s="227">
        <v>0</v>
      </c>
      <c r="BH8" s="227">
        <v>0</v>
      </c>
      <c r="BI8" s="227">
        <v>1</v>
      </c>
      <c r="BJ8" s="192">
        <f t="shared" si="3"/>
        <v>1</v>
      </c>
      <c r="BK8" s="227">
        <v>1</v>
      </c>
      <c r="BL8" s="227">
        <v>0</v>
      </c>
      <c r="BM8" s="227">
        <v>0</v>
      </c>
      <c r="BN8" s="227">
        <v>0</v>
      </c>
      <c r="BO8" s="227"/>
      <c r="BP8" s="192">
        <f t="shared" si="4"/>
        <v>1</v>
      </c>
    </row>
    <row r="9" spans="1:68" ht="22.5" customHeight="1">
      <c r="A9" s="524" t="s">
        <v>79</v>
      </c>
      <c r="B9" s="125" t="s">
        <v>80</v>
      </c>
      <c r="C9" s="75">
        <v>31</v>
      </c>
      <c r="D9" s="76">
        <v>30</v>
      </c>
      <c r="E9" s="76">
        <v>31</v>
      </c>
      <c r="F9" s="77">
        <v>8</v>
      </c>
      <c r="G9" s="78"/>
      <c r="H9" s="15">
        <f>SUM(C9:G9)</f>
        <v>100</v>
      </c>
      <c r="I9" s="75">
        <v>21</v>
      </c>
      <c r="J9" s="76">
        <v>36</v>
      </c>
      <c r="K9" s="76">
        <v>73</v>
      </c>
      <c r="L9" s="77">
        <v>23</v>
      </c>
      <c r="M9" s="78"/>
      <c r="N9" s="15">
        <f>SUM(I9:M9)</f>
        <v>153</v>
      </c>
      <c r="O9" s="75">
        <v>22</v>
      </c>
      <c r="P9" s="76">
        <v>48</v>
      </c>
      <c r="Q9" s="76">
        <v>7</v>
      </c>
      <c r="R9" s="77">
        <v>11</v>
      </c>
      <c r="S9" s="78"/>
      <c r="T9" s="15">
        <f>SUM(O9:S9)</f>
        <v>88</v>
      </c>
      <c r="U9" s="75">
        <v>34</v>
      </c>
      <c r="V9" s="76">
        <v>14</v>
      </c>
      <c r="W9" s="76">
        <v>32</v>
      </c>
      <c r="X9" s="77">
        <v>18</v>
      </c>
      <c r="Y9" s="78">
        <v>0</v>
      </c>
      <c r="Z9" s="15">
        <v>98</v>
      </c>
      <c r="AA9" s="75">
        <v>20</v>
      </c>
      <c r="AB9" s="76">
        <v>20</v>
      </c>
      <c r="AC9" s="76">
        <v>16</v>
      </c>
      <c r="AD9" s="77">
        <v>14</v>
      </c>
      <c r="AE9" s="78"/>
      <c r="AF9" s="15">
        <f>SUM(AA9:AE9)</f>
        <v>70</v>
      </c>
      <c r="AG9" s="75">
        <v>14</v>
      </c>
      <c r="AH9" s="76">
        <v>20</v>
      </c>
      <c r="AI9" s="76">
        <v>50</v>
      </c>
      <c r="AJ9" s="77">
        <v>9</v>
      </c>
      <c r="AK9" s="78"/>
      <c r="AL9" s="17">
        <f>SUM(AG9:AK9)</f>
        <v>93</v>
      </c>
      <c r="AM9" s="75">
        <v>21</v>
      </c>
      <c r="AN9" s="76">
        <v>19</v>
      </c>
      <c r="AO9" s="76">
        <v>28</v>
      </c>
      <c r="AP9" s="77">
        <v>96</v>
      </c>
      <c r="AQ9" s="78"/>
      <c r="AR9" s="17">
        <f t="shared" si="0"/>
        <v>164</v>
      </c>
      <c r="AS9" s="75">
        <v>27</v>
      </c>
      <c r="AT9" s="76">
        <v>17</v>
      </c>
      <c r="AU9" s="76">
        <v>37</v>
      </c>
      <c r="AV9" s="77">
        <v>34</v>
      </c>
      <c r="AW9" s="78"/>
      <c r="AX9" s="17">
        <f t="shared" si="1"/>
        <v>115</v>
      </c>
      <c r="AY9" s="75">
        <v>21</v>
      </c>
      <c r="AZ9" s="76">
        <v>21</v>
      </c>
      <c r="BA9" s="76">
        <v>31</v>
      </c>
      <c r="BB9" s="77">
        <v>12</v>
      </c>
      <c r="BC9" s="78"/>
      <c r="BD9" s="17">
        <f t="shared" si="2"/>
        <v>85</v>
      </c>
      <c r="BE9" s="75">
        <v>16</v>
      </c>
      <c r="BF9" s="76">
        <v>22</v>
      </c>
      <c r="BG9" s="76">
        <v>28</v>
      </c>
      <c r="BH9" s="77"/>
      <c r="BI9" s="78"/>
      <c r="BJ9" s="17">
        <f t="shared" si="3"/>
        <v>66</v>
      </c>
      <c r="BK9" s="75"/>
      <c r="BL9" s="76"/>
      <c r="BM9" s="76"/>
      <c r="BN9" s="77"/>
      <c r="BO9" s="78"/>
      <c r="BP9" s="17">
        <f t="shared" si="4"/>
        <v>0</v>
      </c>
    </row>
    <row r="10" spans="1:68" ht="22.5" customHeight="1">
      <c r="A10" s="525"/>
      <c r="B10" s="126" t="s">
        <v>81</v>
      </c>
      <c r="C10" s="127"/>
      <c r="D10" s="16"/>
      <c r="E10" s="16"/>
      <c r="F10" s="19"/>
      <c r="G10" s="128"/>
      <c r="H10" s="19">
        <v>0</v>
      </c>
      <c r="I10" s="127"/>
      <c r="J10" s="16"/>
      <c r="K10" s="16"/>
      <c r="L10" s="19"/>
      <c r="M10" s="128"/>
      <c r="N10" s="19">
        <f>SUM(I10:M10)</f>
        <v>0</v>
      </c>
      <c r="O10" s="127"/>
      <c r="P10" s="16"/>
      <c r="Q10" s="16"/>
      <c r="R10" s="19"/>
      <c r="S10" s="128"/>
      <c r="T10" s="19">
        <f>SUM(O10:S10)</f>
        <v>0</v>
      </c>
      <c r="U10" s="127">
        <v>0</v>
      </c>
      <c r="V10" s="16">
        <v>0</v>
      </c>
      <c r="W10" s="16">
        <v>0</v>
      </c>
      <c r="X10" s="19">
        <v>0</v>
      </c>
      <c r="Y10" s="128"/>
      <c r="Z10" s="19">
        <f>SUM(U10:Y10)</f>
        <v>0</v>
      </c>
      <c r="AA10" s="127">
        <v>0</v>
      </c>
      <c r="AB10" s="16"/>
      <c r="AC10" s="16"/>
      <c r="AD10" s="19"/>
      <c r="AE10" s="128"/>
      <c r="AF10" s="19">
        <f>SUM(AA10:AE10)</f>
        <v>0</v>
      </c>
      <c r="AG10" s="127"/>
      <c r="AH10" s="16"/>
      <c r="AI10" s="16"/>
      <c r="AJ10" s="19"/>
      <c r="AK10" s="128"/>
      <c r="AL10" s="18">
        <f>SUM(AG10:AK10)</f>
        <v>0</v>
      </c>
      <c r="AM10" s="127"/>
      <c r="AN10" s="16"/>
      <c r="AO10" s="16"/>
      <c r="AP10" s="19"/>
      <c r="AQ10" s="128"/>
      <c r="AR10" s="18">
        <f t="shared" si="0"/>
        <v>0</v>
      </c>
      <c r="AS10" s="127"/>
      <c r="AT10" s="16"/>
      <c r="AU10" s="16"/>
      <c r="AV10" s="19"/>
      <c r="AW10" s="128"/>
      <c r="AX10" s="18">
        <f t="shared" si="1"/>
        <v>0</v>
      </c>
      <c r="AY10" s="127"/>
      <c r="AZ10" s="16"/>
      <c r="BA10" s="16"/>
      <c r="BB10" s="19"/>
      <c r="BC10" s="128"/>
      <c r="BD10" s="18">
        <f t="shared" si="2"/>
        <v>0</v>
      </c>
      <c r="BE10" s="127"/>
      <c r="BF10" s="16"/>
      <c r="BG10" s="16"/>
      <c r="BH10" s="19"/>
      <c r="BI10" s="128"/>
      <c r="BJ10" s="18">
        <f t="shared" si="3"/>
        <v>0</v>
      </c>
      <c r="BK10" s="127"/>
      <c r="BL10" s="16"/>
      <c r="BM10" s="16"/>
      <c r="BN10" s="19"/>
      <c r="BO10" s="128"/>
      <c r="BP10" s="18">
        <f t="shared" si="4"/>
        <v>0</v>
      </c>
    </row>
    <row r="12" spans="1:68">
      <c r="O12" s="9" t="s">
        <v>82</v>
      </c>
    </row>
  </sheetData>
  <mergeCells count="25">
    <mergeCell ref="BE2:BJ2"/>
    <mergeCell ref="BE4:BI4"/>
    <mergeCell ref="BK2:BP2"/>
    <mergeCell ref="BK4:BO4"/>
    <mergeCell ref="A1:N1"/>
    <mergeCell ref="C2:H2"/>
    <mergeCell ref="O2:T2"/>
    <mergeCell ref="I2:M2"/>
    <mergeCell ref="AS2:AX2"/>
    <mergeCell ref="AM2:AR2"/>
    <mergeCell ref="U2:Z2"/>
    <mergeCell ref="AA2:AF2"/>
    <mergeCell ref="AG2:AL2"/>
    <mergeCell ref="AY2:BD2"/>
    <mergeCell ref="AY4:BC4"/>
    <mergeCell ref="A9:A10"/>
    <mergeCell ref="C4:G4"/>
    <mergeCell ref="I4:M4"/>
    <mergeCell ref="O4:S4"/>
    <mergeCell ref="AS4:AW4"/>
    <mergeCell ref="AM4:AQ4"/>
    <mergeCell ref="A5:A8"/>
    <mergeCell ref="U4:Y4"/>
    <mergeCell ref="AA4:AE4"/>
    <mergeCell ref="AG4:AK4"/>
  </mergeCells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4EE1-3508-4E6F-BDA7-FCE8E8DC540A}">
  <dimension ref="A1:BY61"/>
  <sheetViews>
    <sheetView showGridLines="0" zoomScale="80" zoomScaleNormal="80" workbookViewId="0">
      <selection activeCell="BY56" sqref="BY56"/>
    </sheetView>
  </sheetViews>
  <sheetFormatPr defaultColWidth="5.7109375" defaultRowHeight="15"/>
  <cols>
    <col min="1" max="1" width="32" style="10" customWidth="1"/>
    <col min="2" max="4" width="14.7109375" style="9" bestFit="1" customWidth="1"/>
    <col min="5" max="6" width="14.42578125" style="9" bestFit="1" customWidth="1"/>
    <col min="7" max="7" width="18" style="9" customWidth="1"/>
    <col min="8" max="8" width="32" style="10" customWidth="1"/>
    <col min="9" max="11" width="14.7109375" style="9" bestFit="1" customWidth="1"/>
    <col min="12" max="13" width="14.42578125" style="9" bestFit="1" customWidth="1"/>
    <col min="14" max="14" width="18" style="9" customWidth="1"/>
    <col min="15" max="15" width="29" style="9" bestFit="1" customWidth="1"/>
    <col min="16" max="18" width="14.7109375" style="9" bestFit="1" customWidth="1"/>
    <col min="19" max="20" width="14.42578125" style="9" bestFit="1" customWidth="1"/>
    <col min="21" max="21" width="18" style="9" customWidth="1"/>
    <col min="22" max="22" width="31.42578125" style="9" customWidth="1"/>
    <col min="23" max="25" width="14.7109375" style="9" bestFit="1" customWidth="1"/>
    <col min="26" max="27" width="14.42578125" style="9" bestFit="1" customWidth="1"/>
    <col min="28" max="28" width="18" style="9" customWidth="1"/>
    <col min="29" max="29" width="19" style="9" customWidth="1"/>
    <col min="30" max="32" width="14.7109375" style="9" bestFit="1" customWidth="1"/>
    <col min="33" max="34" width="14.42578125" style="9" bestFit="1" customWidth="1"/>
    <col min="35" max="35" width="18" style="9" customWidth="1"/>
    <col min="36" max="36" width="46.5703125" style="9" bestFit="1" customWidth="1"/>
    <col min="37" max="39" width="14.7109375" style="9" bestFit="1" customWidth="1"/>
    <col min="40" max="41" width="14.42578125" style="9" bestFit="1" customWidth="1"/>
    <col min="42" max="42" width="18" style="9" customWidth="1"/>
    <col min="43" max="43" width="50.140625" style="1" customWidth="1"/>
    <col min="44" max="44" width="11.7109375" style="1" customWidth="1"/>
    <col min="45" max="45" width="10.85546875" style="1" customWidth="1"/>
    <col min="46" max="46" width="12" style="1" customWidth="1"/>
    <col min="47" max="47" width="13.7109375" style="1" customWidth="1"/>
    <col min="48" max="48" width="14.140625" style="1" customWidth="1"/>
    <col min="49" max="49" width="12.5703125" style="1" customWidth="1"/>
    <col min="50" max="50" width="50.42578125" style="1" customWidth="1"/>
    <col min="51" max="51" width="15.7109375" style="1" customWidth="1"/>
    <col min="52" max="52" width="13" style="1" customWidth="1"/>
    <col min="53" max="53" width="14.28515625" style="1" customWidth="1"/>
    <col min="54" max="54" width="14.140625" style="1" customWidth="1"/>
    <col min="55" max="55" width="12.5703125" style="1" customWidth="1"/>
    <col min="56" max="56" width="13.85546875" style="1" customWidth="1"/>
    <col min="57" max="57" width="45.85546875" style="1" customWidth="1"/>
    <col min="58" max="58" width="13.42578125" style="1" customWidth="1"/>
    <col min="59" max="59" width="12.85546875" style="1" customWidth="1"/>
    <col min="60" max="60" width="12.5703125" style="1" customWidth="1"/>
    <col min="61" max="61" width="14" style="1" customWidth="1"/>
    <col min="62" max="62" width="14.7109375" style="1" customWidth="1"/>
    <col min="63" max="63" width="12" style="1" customWidth="1"/>
    <col min="64" max="64" width="31.28515625" style="1" customWidth="1"/>
    <col min="65" max="65" width="16.28515625" style="1" customWidth="1"/>
    <col min="66" max="66" width="17.42578125" style="1" customWidth="1"/>
    <col min="67" max="67" width="14.85546875" style="1" customWidth="1"/>
    <col min="68" max="68" width="15.7109375" style="1" customWidth="1"/>
    <col min="69" max="69" width="13.28515625" style="1" customWidth="1"/>
    <col min="70" max="70" width="13.140625" style="1" customWidth="1"/>
    <col min="71" max="71" width="40.7109375" style="1" customWidth="1"/>
    <col min="72" max="72" width="14.140625" style="1" customWidth="1"/>
    <col min="73" max="73" width="13.140625" style="1" customWidth="1"/>
    <col min="74" max="74" width="11.7109375" style="1" customWidth="1"/>
    <col min="75" max="75" width="12.85546875" style="1" customWidth="1"/>
    <col min="76" max="76" width="12.28515625" style="1" customWidth="1"/>
    <col min="77" max="77" width="18.140625" style="1" customWidth="1"/>
    <col min="78" max="16384" width="5.7109375" style="1"/>
  </cols>
  <sheetData>
    <row r="1" spans="1:77" ht="40.5" customHeight="1">
      <c r="A1" s="523"/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523"/>
      <c r="O1" s="16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77" ht="40.5" customHeight="1">
      <c r="A2" s="87"/>
      <c r="B2" s="534" t="s">
        <v>35</v>
      </c>
      <c r="C2" s="535"/>
      <c r="D2" s="535"/>
      <c r="E2" s="535"/>
      <c r="F2" s="535"/>
      <c r="G2" s="88"/>
      <c r="H2" s="87"/>
      <c r="I2" s="534" t="s">
        <v>36</v>
      </c>
      <c r="J2" s="535"/>
      <c r="K2" s="535"/>
      <c r="L2" s="535"/>
      <c r="M2" s="535"/>
      <c r="N2" s="88"/>
      <c r="O2" s="88"/>
      <c r="P2" s="534" t="s">
        <v>37</v>
      </c>
      <c r="Q2" s="535"/>
      <c r="R2" s="535"/>
      <c r="S2" s="535"/>
      <c r="T2" s="535"/>
      <c r="U2" s="88"/>
      <c r="V2" s="88"/>
      <c r="W2" s="534" t="s">
        <v>38</v>
      </c>
      <c r="X2" s="535"/>
      <c r="Y2" s="535"/>
      <c r="Z2" s="535"/>
      <c r="AA2" s="535"/>
      <c r="AB2" s="88"/>
      <c r="AC2" s="88"/>
      <c r="AD2" s="534" t="s">
        <v>39</v>
      </c>
      <c r="AE2" s="535"/>
      <c r="AF2" s="535"/>
      <c r="AG2" s="535"/>
      <c r="AH2" s="535"/>
      <c r="AI2" s="88"/>
      <c r="AJ2" s="88"/>
      <c r="AK2" s="534" t="s">
        <v>0</v>
      </c>
      <c r="AL2" s="535"/>
      <c r="AM2" s="535"/>
      <c r="AN2" s="535"/>
      <c r="AO2" s="535"/>
      <c r="AP2" s="89"/>
      <c r="AQ2" s="88"/>
      <c r="AR2" s="534" t="s">
        <v>1</v>
      </c>
      <c r="AS2" s="535"/>
      <c r="AT2" s="535"/>
      <c r="AU2" s="535"/>
      <c r="AV2" s="535"/>
      <c r="AW2" s="89"/>
      <c r="AX2" s="88"/>
      <c r="AY2" s="534" t="s">
        <v>2</v>
      </c>
      <c r="AZ2" s="535"/>
      <c r="BA2" s="535"/>
      <c r="BB2" s="535"/>
      <c r="BC2" s="535"/>
      <c r="BD2" s="89"/>
      <c r="BE2" s="88"/>
      <c r="BF2" s="534" t="s">
        <v>3</v>
      </c>
      <c r="BG2" s="535"/>
      <c r="BH2" s="535"/>
      <c r="BI2" s="535"/>
      <c r="BJ2" s="535"/>
      <c r="BK2" s="89"/>
      <c r="BL2" s="88"/>
      <c r="BM2" s="534" t="s">
        <v>4</v>
      </c>
      <c r="BN2" s="535"/>
      <c r="BO2" s="535"/>
      <c r="BP2" s="535"/>
      <c r="BQ2" s="535"/>
      <c r="BR2" s="89"/>
      <c r="BS2" s="88"/>
      <c r="BT2" s="534" t="s">
        <v>5</v>
      </c>
      <c r="BU2" s="535"/>
      <c r="BV2" s="535"/>
      <c r="BW2" s="535"/>
      <c r="BX2" s="535"/>
      <c r="BY2" s="89"/>
    </row>
    <row r="3" spans="1:77" ht="39" customHeight="1">
      <c r="A3" s="90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4" t="s">
        <v>12</v>
      </c>
      <c r="H3" s="90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4" t="s">
        <v>12</v>
      </c>
      <c r="O3" s="164"/>
      <c r="P3" s="13" t="s">
        <v>7</v>
      </c>
      <c r="Q3" s="13" t="s">
        <v>8</v>
      </c>
      <c r="R3" s="13" t="s">
        <v>9</v>
      </c>
      <c r="S3" s="13" t="s">
        <v>10</v>
      </c>
      <c r="T3" s="13" t="s">
        <v>11</v>
      </c>
      <c r="U3" s="14" t="s">
        <v>12</v>
      </c>
      <c r="V3" s="164"/>
      <c r="W3" s="13" t="s">
        <v>7</v>
      </c>
      <c r="X3" s="13" t="s">
        <v>8</v>
      </c>
      <c r="Y3" s="13" t="s">
        <v>9</v>
      </c>
      <c r="Z3" s="13" t="s">
        <v>10</v>
      </c>
      <c r="AA3" s="13" t="s">
        <v>11</v>
      </c>
      <c r="AB3" s="14" t="s">
        <v>12</v>
      </c>
      <c r="AC3" s="164"/>
      <c r="AD3" s="13" t="s">
        <v>7</v>
      </c>
      <c r="AE3" s="13" t="s">
        <v>8</v>
      </c>
      <c r="AF3" s="13" t="s">
        <v>9</v>
      </c>
      <c r="AG3" s="13" t="s">
        <v>10</v>
      </c>
      <c r="AH3" s="13" t="s">
        <v>11</v>
      </c>
      <c r="AI3" s="14" t="s">
        <v>12</v>
      </c>
      <c r="AJ3" s="164" t="s">
        <v>83</v>
      </c>
      <c r="AK3" s="13" t="s">
        <v>7</v>
      </c>
      <c r="AL3" s="13" t="s">
        <v>8</v>
      </c>
      <c r="AM3" s="13" t="s">
        <v>9</v>
      </c>
      <c r="AN3" s="13" t="s">
        <v>10</v>
      </c>
      <c r="AO3" s="13" t="s">
        <v>11</v>
      </c>
      <c r="AP3" s="91" t="s">
        <v>12</v>
      </c>
      <c r="AQ3" s="164" t="s">
        <v>83</v>
      </c>
      <c r="AR3" s="13" t="s">
        <v>7</v>
      </c>
      <c r="AS3" s="13" t="s">
        <v>8</v>
      </c>
      <c r="AT3" s="13" t="s">
        <v>9</v>
      </c>
      <c r="AU3" s="13" t="s">
        <v>10</v>
      </c>
      <c r="AV3" s="13" t="s">
        <v>11</v>
      </c>
      <c r="AW3" s="91" t="s">
        <v>12</v>
      </c>
      <c r="AX3" s="164" t="s">
        <v>83</v>
      </c>
      <c r="AY3" s="13" t="s">
        <v>7</v>
      </c>
      <c r="AZ3" s="13" t="s">
        <v>8</v>
      </c>
      <c r="BA3" s="13" t="s">
        <v>9</v>
      </c>
      <c r="BB3" s="13" t="s">
        <v>10</v>
      </c>
      <c r="BC3" s="13" t="s">
        <v>11</v>
      </c>
      <c r="BD3" s="91" t="s">
        <v>12</v>
      </c>
      <c r="BE3" s="164" t="s">
        <v>83</v>
      </c>
      <c r="BF3" s="13" t="s">
        <v>7</v>
      </c>
      <c r="BG3" s="13" t="s">
        <v>8</v>
      </c>
      <c r="BH3" s="13" t="s">
        <v>9</v>
      </c>
      <c r="BI3" s="13" t="s">
        <v>10</v>
      </c>
      <c r="BJ3" s="13" t="s">
        <v>11</v>
      </c>
      <c r="BK3" s="91" t="s">
        <v>12</v>
      </c>
      <c r="BL3" s="164" t="s">
        <v>83</v>
      </c>
      <c r="BM3" s="13" t="s">
        <v>7</v>
      </c>
      <c r="BN3" s="13" t="s">
        <v>8</v>
      </c>
      <c r="BO3" s="13" t="s">
        <v>9</v>
      </c>
      <c r="BP3" s="13" t="s">
        <v>10</v>
      </c>
      <c r="BQ3" s="13" t="s">
        <v>11</v>
      </c>
      <c r="BR3" s="91" t="s">
        <v>12</v>
      </c>
      <c r="BS3" s="164" t="s">
        <v>83</v>
      </c>
      <c r="BT3" s="13" t="s">
        <v>7</v>
      </c>
      <c r="BU3" s="13" t="s">
        <v>8</v>
      </c>
      <c r="BV3" s="13" t="s">
        <v>9</v>
      </c>
      <c r="BW3" s="13" t="s">
        <v>10</v>
      </c>
      <c r="BX3" s="13" t="s">
        <v>11</v>
      </c>
      <c r="BY3" s="91" t="s">
        <v>12</v>
      </c>
    </row>
    <row r="4" spans="1:77" ht="23.25" customHeight="1">
      <c r="A4" s="92"/>
      <c r="B4" s="526" t="s">
        <v>13</v>
      </c>
      <c r="C4" s="526"/>
      <c r="D4" s="526"/>
      <c r="E4" s="526"/>
      <c r="F4" s="526"/>
      <c r="G4" s="61"/>
      <c r="H4" s="92"/>
      <c r="I4" s="526" t="s">
        <v>13</v>
      </c>
      <c r="J4" s="526"/>
      <c r="K4" s="526"/>
      <c r="L4" s="526"/>
      <c r="M4" s="526"/>
      <c r="N4" s="61"/>
      <c r="O4" s="61"/>
      <c r="P4" s="526" t="s">
        <v>13</v>
      </c>
      <c r="Q4" s="526"/>
      <c r="R4" s="526"/>
      <c r="S4" s="526"/>
      <c r="T4" s="526"/>
      <c r="U4" s="61"/>
      <c r="V4" s="61"/>
      <c r="W4" s="516" t="s">
        <v>13</v>
      </c>
      <c r="X4" s="516"/>
      <c r="Y4" s="516"/>
      <c r="Z4" s="516"/>
      <c r="AA4" s="516"/>
      <c r="AB4" s="61"/>
      <c r="AC4" s="61"/>
      <c r="AD4" s="526" t="s">
        <v>13</v>
      </c>
      <c r="AE4" s="526"/>
      <c r="AF4" s="526"/>
      <c r="AG4" s="526"/>
      <c r="AH4" s="526"/>
      <c r="AI4" s="61"/>
      <c r="AJ4" s="61"/>
      <c r="AK4" s="526" t="s">
        <v>13</v>
      </c>
      <c r="AL4" s="526"/>
      <c r="AM4" s="526"/>
      <c r="AN4" s="526"/>
      <c r="AO4" s="526"/>
      <c r="AP4" s="93"/>
      <c r="AQ4" s="61"/>
      <c r="AR4" s="526" t="s">
        <v>13</v>
      </c>
      <c r="AS4" s="526"/>
      <c r="AT4" s="526"/>
      <c r="AU4" s="526"/>
      <c r="AV4" s="526"/>
      <c r="AW4" s="93"/>
      <c r="AX4" s="61"/>
      <c r="AY4" s="526" t="s">
        <v>13</v>
      </c>
      <c r="AZ4" s="526"/>
      <c r="BA4" s="526"/>
      <c r="BB4" s="526"/>
      <c r="BC4" s="526"/>
      <c r="BD4" s="93"/>
      <c r="BE4" s="61"/>
      <c r="BF4" s="526" t="s">
        <v>13</v>
      </c>
      <c r="BG4" s="526"/>
      <c r="BH4" s="526"/>
      <c r="BI4" s="526"/>
      <c r="BJ4" s="526"/>
      <c r="BK4" s="93"/>
      <c r="BL4" s="61"/>
      <c r="BM4" s="526" t="s">
        <v>13</v>
      </c>
      <c r="BN4" s="526"/>
      <c r="BO4" s="526"/>
      <c r="BP4" s="526"/>
      <c r="BQ4" s="526"/>
      <c r="BR4" s="93"/>
      <c r="BS4" s="61"/>
      <c r="BT4" s="526" t="s">
        <v>13</v>
      </c>
      <c r="BU4" s="526"/>
      <c r="BV4" s="526"/>
      <c r="BW4" s="526"/>
      <c r="BX4" s="526"/>
      <c r="BY4" s="93"/>
    </row>
    <row r="5" spans="1:77" ht="22.5" customHeight="1">
      <c r="A5" s="158" t="s">
        <v>29</v>
      </c>
      <c r="B5" s="539" t="s">
        <v>15</v>
      </c>
      <c r="C5" s="539"/>
      <c r="D5" s="539"/>
      <c r="E5" s="539"/>
      <c r="F5" s="539"/>
      <c r="G5" s="540"/>
      <c r="H5" s="94" t="s">
        <v>29</v>
      </c>
      <c r="I5" s="536" t="s">
        <v>15</v>
      </c>
      <c r="J5" s="537"/>
      <c r="K5" s="537"/>
      <c r="L5" s="537"/>
      <c r="M5" s="537"/>
      <c r="N5" s="541"/>
      <c r="O5" s="160"/>
      <c r="P5" s="536" t="s">
        <v>15</v>
      </c>
      <c r="Q5" s="537"/>
      <c r="R5" s="537"/>
      <c r="S5" s="537"/>
      <c r="T5" s="537"/>
      <c r="U5" s="541"/>
      <c r="V5" s="160"/>
      <c r="W5" s="536" t="s">
        <v>15</v>
      </c>
      <c r="X5" s="537"/>
      <c r="Y5" s="537"/>
      <c r="Z5" s="537"/>
      <c r="AA5" s="537"/>
      <c r="AB5" s="541"/>
      <c r="AC5" s="160"/>
      <c r="AD5" s="536" t="s">
        <v>15</v>
      </c>
      <c r="AE5" s="537"/>
      <c r="AF5" s="537"/>
      <c r="AG5" s="537"/>
      <c r="AH5" s="537"/>
      <c r="AI5" s="541"/>
      <c r="AJ5" s="181"/>
      <c r="AK5" s="536" t="s">
        <v>15</v>
      </c>
      <c r="AL5" s="537"/>
      <c r="AM5" s="537"/>
      <c r="AN5" s="537"/>
      <c r="AO5" s="537"/>
      <c r="AP5" s="538"/>
      <c r="AQ5" s="181"/>
      <c r="AR5" s="536" t="s">
        <v>15</v>
      </c>
      <c r="AS5" s="537"/>
      <c r="AT5" s="537"/>
      <c r="AU5" s="537"/>
      <c r="AV5" s="537"/>
      <c r="AW5" s="538"/>
      <c r="AX5" s="181"/>
      <c r="AY5" s="536" t="s">
        <v>15</v>
      </c>
      <c r="AZ5" s="537"/>
      <c r="BA5" s="537"/>
      <c r="BB5" s="537"/>
      <c r="BC5" s="537"/>
      <c r="BD5" s="538"/>
      <c r="BE5" s="181"/>
      <c r="BF5" s="536" t="s">
        <v>15</v>
      </c>
      <c r="BG5" s="537"/>
      <c r="BH5" s="537"/>
      <c r="BI5" s="537"/>
      <c r="BJ5" s="537"/>
      <c r="BK5" s="538"/>
      <c r="BL5" s="181"/>
      <c r="BM5" s="536" t="s">
        <v>15</v>
      </c>
      <c r="BN5" s="537"/>
      <c r="BO5" s="537"/>
      <c r="BP5" s="537"/>
      <c r="BQ5" s="537"/>
      <c r="BR5" s="538"/>
      <c r="BS5" s="181"/>
      <c r="BT5" s="536" t="s">
        <v>15</v>
      </c>
      <c r="BU5" s="537"/>
      <c r="BV5" s="537"/>
      <c r="BW5" s="537"/>
      <c r="BX5" s="537"/>
      <c r="BY5" s="538"/>
    </row>
    <row r="6" spans="1:77" ht="22.5" customHeight="1">
      <c r="A6" s="146" t="s">
        <v>84</v>
      </c>
      <c r="B6" s="156">
        <v>100</v>
      </c>
      <c r="C6" s="79">
        <v>100</v>
      </c>
      <c r="D6" s="79">
        <v>100</v>
      </c>
      <c r="E6" s="79">
        <v>94</v>
      </c>
      <c r="F6" s="79">
        <v>97</v>
      </c>
      <c r="G6" s="66">
        <f>AVERAGE(B6:F6)</f>
        <v>98.2</v>
      </c>
      <c r="H6" s="95" t="s">
        <v>85</v>
      </c>
      <c r="I6" s="79">
        <v>100</v>
      </c>
      <c r="J6" s="79">
        <v>100</v>
      </c>
      <c r="K6" s="79">
        <v>81</v>
      </c>
      <c r="L6" s="82">
        <v>85</v>
      </c>
      <c r="M6" s="79">
        <v>96</v>
      </c>
      <c r="N6" s="66">
        <f>AVERAGE(I6:M6)</f>
        <v>92.4</v>
      </c>
      <c r="O6" s="95" t="s">
        <v>86</v>
      </c>
      <c r="P6" s="79">
        <v>100</v>
      </c>
      <c r="Q6" s="79">
        <v>96.88</v>
      </c>
      <c r="R6" s="79">
        <v>87.5</v>
      </c>
      <c r="S6" s="79">
        <v>81.25</v>
      </c>
      <c r="T6" s="79"/>
      <c r="U6" s="66">
        <f>AVERAGE(P6:T6)</f>
        <v>91.407499999999999</v>
      </c>
      <c r="V6" s="95" t="s">
        <v>87</v>
      </c>
      <c r="W6" s="79">
        <v>100</v>
      </c>
      <c r="X6" s="79">
        <v>99</v>
      </c>
      <c r="Y6" s="79">
        <v>91</v>
      </c>
      <c r="Z6" s="79">
        <v>81</v>
      </c>
      <c r="AA6" s="79">
        <v>79</v>
      </c>
      <c r="AB6" s="66">
        <f>AVERAGE(W6:AA6)</f>
        <v>90</v>
      </c>
      <c r="AC6" s="95" t="s">
        <v>88</v>
      </c>
      <c r="AD6" s="79">
        <v>100</v>
      </c>
      <c r="AE6" s="79">
        <v>100</v>
      </c>
      <c r="AF6" s="79">
        <v>89</v>
      </c>
      <c r="AG6" s="79">
        <v>93</v>
      </c>
      <c r="AH6" s="79">
        <v>84</v>
      </c>
      <c r="AI6" s="165">
        <f>AVERAGE(AD6:AH6)</f>
        <v>93.2</v>
      </c>
      <c r="AJ6" s="182" t="s">
        <v>89</v>
      </c>
      <c r="AK6" s="156">
        <v>100</v>
      </c>
      <c r="AL6" s="79">
        <v>91</v>
      </c>
      <c r="AM6" s="79">
        <v>86</v>
      </c>
      <c r="AN6" s="79">
        <v>85</v>
      </c>
      <c r="AO6" s="79"/>
      <c r="AP6" s="96">
        <f>AVERAGE(AK6:AO6)</f>
        <v>90.5</v>
      </c>
      <c r="AQ6" s="182" t="s">
        <v>90</v>
      </c>
      <c r="AR6" s="156">
        <v>100</v>
      </c>
      <c r="AS6" s="79"/>
      <c r="AT6" s="79"/>
      <c r="AU6" s="79"/>
      <c r="AV6" s="79"/>
      <c r="AW6" s="96">
        <f>AVERAGE(AR6:AV6)</f>
        <v>100</v>
      </c>
      <c r="AX6" s="182" t="s">
        <v>91</v>
      </c>
      <c r="AY6" s="156">
        <v>100</v>
      </c>
      <c r="AZ6" s="79">
        <v>100</v>
      </c>
      <c r="BA6" s="79"/>
      <c r="BB6" s="79"/>
      <c r="BC6" s="79"/>
      <c r="BD6" s="96">
        <f>AVERAGE(AY6:BC6)</f>
        <v>100</v>
      </c>
      <c r="BE6" s="182" t="s">
        <v>92</v>
      </c>
      <c r="BF6" s="156">
        <v>80</v>
      </c>
      <c r="BG6" s="79">
        <v>75</v>
      </c>
      <c r="BH6" s="79">
        <v>69</v>
      </c>
      <c r="BI6" s="79">
        <v>100</v>
      </c>
      <c r="BJ6" s="79"/>
      <c r="BK6" s="96">
        <f>AVERAGE(BF6:BJ6)</f>
        <v>81</v>
      </c>
      <c r="BL6" s="182" t="s">
        <v>93</v>
      </c>
      <c r="BM6" s="156"/>
      <c r="BN6" s="79">
        <v>73</v>
      </c>
      <c r="BO6" s="79">
        <v>48</v>
      </c>
      <c r="BP6" s="79">
        <v>48</v>
      </c>
      <c r="BQ6" s="79">
        <v>100</v>
      </c>
      <c r="BR6" s="96">
        <f t="shared" ref="BR6:BR11" si="0">AVERAGE(BM6:BQ6)</f>
        <v>67.25</v>
      </c>
      <c r="BS6" s="182" t="s">
        <v>94</v>
      </c>
      <c r="BT6" s="156"/>
      <c r="BU6" s="79">
        <v>96</v>
      </c>
      <c r="BV6" s="79"/>
      <c r="BW6" s="79"/>
      <c r="BX6" s="79"/>
      <c r="BY6" s="96">
        <f>AVERAGE(BT6:BX6)</f>
        <v>96</v>
      </c>
    </row>
    <row r="7" spans="1:77" ht="22.5" customHeight="1">
      <c r="A7" s="147" t="s">
        <v>95</v>
      </c>
      <c r="B7" s="156">
        <v>100</v>
      </c>
      <c r="C7" s="65">
        <v>100</v>
      </c>
      <c r="D7" s="65">
        <v>74</v>
      </c>
      <c r="E7" s="65">
        <v>93</v>
      </c>
      <c r="F7" s="65">
        <v>89</v>
      </c>
      <c r="G7" s="66">
        <f>AVERAGE(B7:F7)</f>
        <v>91.2</v>
      </c>
      <c r="H7" s="95" t="s">
        <v>96</v>
      </c>
      <c r="I7" s="65"/>
      <c r="J7" s="65">
        <v>94.12</v>
      </c>
      <c r="K7" s="65">
        <v>88</v>
      </c>
      <c r="L7" s="69">
        <v>95</v>
      </c>
      <c r="M7" s="65"/>
      <c r="N7" s="66">
        <f>AVERAGE(I7:M7)</f>
        <v>92.373333333333335</v>
      </c>
      <c r="O7" s="95" t="s">
        <v>97</v>
      </c>
      <c r="P7" s="65">
        <v>100</v>
      </c>
      <c r="Q7" s="65">
        <v>100</v>
      </c>
      <c r="R7" s="65">
        <v>88.89</v>
      </c>
      <c r="S7" s="65">
        <v>87</v>
      </c>
      <c r="T7" s="65"/>
      <c r="U7" s="66">
        <f>AVERAGE(P7:T7)</f>
        <v>93.972499999999997</v>
      </c>
      <c r="V7" s="95" t="s">
        <v>98</v>
      </c>
      <c r="W7" s="65">
        <v>87.5</v>
      </c>
      <c r="X7" s="65">
        <v>80</v>
      </c>
      <c r="Y7" s="65">
        <v>77</v>
      </c>
      <c r="Z7" s="65">
        <v>71.67</v>
      </c>
      <c r="AA7" s="65">
        <v>75</v>
      </c>
      <c r="AB7" s="66">
        <f>AVERAGE(W7:AA7)</f>
        <v>78.234000000000009</v>
      </c>
      <c r="AC7" s="95" t="s">
        <v>99</v>
      </c>
      <c r="AD7" s="65">
        <v>100</v>
      </c>
      <c r="AE7" s="65">
        <v>100</v>
      </c>
      <c r="AF7" s="65">
        <v>89</v>
      </c>
      <c r="AG7" s="65">
        <v>100</v>
      </c>
      <c r="AH7" s="65">
        <v>94</v>
      </c>
      <c r="AI7" s="165">
        <f t="shared" ref="AI7:AI11" si="1">AVERAGE(AD7:AH7)</f>
        <v>96.6</v>
      </c>
      <c r="AJ7" s="182" t="s">
        <v>100</v>
      </c>
      <c r="AK7" s="150"/>
      <c r="AL7" s="65">
        <v>100</v>
      </c>
      <c r="AM7" s="65">
        <v>76</v>
      </c>
      <c r="AN7" s="65">
        <v>79</v>
      </c>
      <c r="AO7" s="65"/>
      <c r="AP7" s="96">
        <f>AVERAGE(AK7:AO7)</f>
        <v>85</v>
      </c>
      <c r="AQ7" s="182" t="s">
        <v>101</v>
      </c>
      <c r="AR7" s="150">
        <v>100</v>
      </c>
      <c r="AS7" s="65">
        <v>100</v>
      </c>
      <c r="AT7" s="65">
        <v>82.14</v>
      </c>
      <c r="AU7" s="65">
        <v>88.1</v>
      </c>
      <c r="AV7" s="65">
        <v>74</v>
      </c>
      <c r="AW7" s="96">
        <f t="shared" ref="AW7:AW8" si="2">AVERAGE(AR7:AV7)</f>
        <v>88.847999999999999</v>
      </c>
      <c r="AX7" s="182" t="s">
        <v>102</v>
      </c>
      <c r="AY7" s="150">
        <v>93</v>
      </c>
      <c r="AZ7" s="65">
        <v>92</v>
      </c>
      <c r="BA7" s="65">
        <v>80</v>
      </c>
      <c r="BB7" s="65">
        <v>80</v>
      </c>
      <c r="BC7" s="65">
        <v>47</v>
      </c>
      <c r="BD7" s="96">
        <f t="shared" ref="BD7:BD8" si="3">AVERAGE(AY7:BC7)</f>
        <v>78.400000000000006</v>
      </c>
      <c r="BE7" s="182" t="s">
        <v>103</v>
      </c>
      <c r="BF7" s="150">
        <v>100</v>
      </c>
      <c r="BG7" s="65"/>
      <c r="BH7" s="65"/>
      <c r="BI7" s="65"/>
      <c r="BJ7" s="65"/>
      <c r="BK7" s="96">
        <f t="shared" ref="BK7:BK19" si="4">AVERAGE(BF7:BJ7)</f>
        <v>100</v>
      </c>
      <c r="BL7" s="182" t="s">
        <v>104</v>
      </c>
      <c r="BM7" s="150"/>
      <c r="BN7" s="65"/>
      <c r="BO7" s="65">
        <v>100</v>
      </c>
      <c r="BP7" s="65">
        <v>100</v>
      </c>
      <c r="BQ7" s="65">
        <v>100</v>
      </c>
      <c r="BR7" s="96">
        <f t="shared" si="0"/>
        <v>100</v>
      </c>
      <c r="BS7" s="182" t="s">
        <v>105</v>
      </c>
      <c r="BT7" s="150">
        <v>96</v>
      </c>
      <c r="BU7" s="65"/>
      <c r="BV7" s="65"/>
      <c r="BW7" s="65"/>
      <c r="BX7" s="65"/>
      <c r="BY7" s="96">
        <f>AVERAGE(BT7:BX7)</f>
        <v>96</v>
      </c>
    </row>
    <row r="8" spans="1:77" ht="22.5" customHeight="1">
      <c r="A8" s="147" t="s">
        <v>106</v>
      </c>
      <c r="B8" s="156">
        <v>100</v>
      </c>
      <c r="C8" s="65">
        <v>100</v>
      </c>
      <c r="D8" s="65">
        <v>79</v>
      </c>
      <c r="E8" s="65">
        <v>97</v>
      </c>
      <c r="F8" s="65">
        <v>95</v>
      </c>
      <c r="G8" s="66">
        <f t="shared" ref="G8:G14" si="5">AVERAGE(B8:F8)</f>
        <v>94.2</v>
      </c>
      <c r="H8" s="95" t="s">
        <v>107</v>
      </c>
      <c r="I8" s="65"/>
      <c r="J8" s="65">
        <v>88</v>
      </c>
      <c r="K8" s="65">
        <v>85</v>
      </c>
      <c r="L8" s="69">
        <v>87</v>
      </c>
      <c r="M8" s="65">
        <v>83</v>
      </c>
      <c r="N8" s="66">
        <f>AVERAGE(I8:M8)</f>
        <v>85.75</v>
      </c>
      <c r="O8" s="95" t="s">
        <v>108</v>
      </c>
      <c r="P8" s="65">
        <v>89.47</v>
      </c>
      <c r="Q8" s="65">
        <v>92.11</v>
      </c>
      <c r="R8" s="65">
        <v>87.5</v>
      </c>
      <c r="S8" s="65">
        <v>91.27</v>
      </c>
      <c r="T8" s="65"/>
      <c r="U8" s="66">
        <f>AVERAGE(P8:T8)</f>
        <v>90.087499999999991</v>
      </c>
      <c r="V8" s="95" t="s">
        <v>109</v>
      </c>
      <c r="W8" s="65"/>
      <c r="X8" s="65">
        <v>98</v>
      </c>
      <c r="Y8" s="65">
        <v>88</v>
      </c>
      <c r="Z8" s="65">
        <v>73</v>
      </c>
      <c r="AA8" s="65">
        <v>100</v>
      </c>
      <c r="AB8" s="66">
        <f>AVERAGE(W8:AA8)</f>
        <v>89.75</v>
      </c>
      <c r="AC8" s="95" t="s">
        <v>110</v>
      </c>
      <c r="AD8" s="65"/>
      <c r="AE8" s="65">
        <v>85</v>
      </c>
      <c r="AF8" s="65">
        <v>85</v>
      </c>
      <c r="AG8" s="65"/>
      <c r="AH8" s="65"/>
      <c r="AI8" s="165">
        <f t="shared" si="1"/>
        <v>85</v>
      </c>
      <c r="AJ8" s="182" t="s">
        <v>111</v>
      </c>
      <c r="AK8" s="150"/>
      <c r="AL8" s="65">
        <v>83</v>
      </c>
      <c r="AM8" s="65">
        <v>87</v>
      </c>
      <c r="AN8" s="65">
        <v>79</v>
      </c>
      <c r="AO8" s="65"/>
      <c r="AP8" s="96">
        <f>AVERAGE(AK8:AO8)</f>
        <v>83</v>
      </c>
      <c r="AQ8" s="182" t="s">
        <v>112</v>
      </c>
      <c r="AR8" s="150">
        <v>100</v>
      </c>
      <c r="AS8" s="65">
        <v>100</v>
      </c>
      <c r="AT8" s="65">
        <v>92.86</v>
      </c>
      <c r="AU8" s="65">
        <v>92.86</v>
      </c>
      <c r="AV8" s="65">
        <v>92</v>
      </c>
      <c r="AW8" s="96">
        <f t="shared" si="2"/>
        <v>95.544000000000011</v>
      </c>
      <c r="AX8" s="182" t="s">
        <v>113</v>
      </c>
      <c r="AY8" s="150">
        <v>86</v>
      </c>
      <c r="AZ8" s="65">
        <v>87</v>
      </c>
      <c r="BA8" s="65"/>
      <c r="BB8" s="65"/>
      <c r="BC8" s="65"/>
      <c r="BD8" s="96">
        <f t="shared" si="3"/>
        <v>86.5</v>
      </c>
      <c r="BE8" s="182" t="s">
        <v>114</v>
      </c>
      <c r="BF8" s="150">
        <v>100</v>
      </c>
      <c r="BG8" s="65"/>
      <c r="BH8" s="65"/>
      <c r="BI8" s="65"/>
      <c r="BJ8" s="65"/>
      <c r="BK8" s="96">
        <f t="shared" si="4"/>
        <v>100</v>
      </c>
      <c r="BL8" s="182" t="s">
        <v>115</v>
      </c>
      <c r="BM8" s="150"/>
      <c r="BN8" s="65"/>
      <c r="BO8" s="65">
        <v>100</v>
      </c>
      <c r="BP8" s="65">
        <v>100</v>
      </c>
      <c r="BQ8" s="65"/>
      <c r="BR8" s="96">
        <f t="shared" si="0"/>
        <v>100</v>
      </c>
      <c r="BS8" s="182" t="s">
        <v>116</v>
      </c>
      <c r="BT8" s="150"/>
      <c r="BU8" s="65"/>
      <c r="BV8" s="65">
        <v>87</v>
      </c>
      <c r="BW8" s="65"/>
      <c r="BX8" s="65"/>
      <c r="BY8" s="96">
        <f>AVERAGE(BT8:BX8)</f>
        <v>87</v>
      </c>
    </row>
    <row r="9" spans="1:77" ht="22.5" customHeight="1">
      <c r="A9" s="147"/>
      <c r="B9" s="150"/>
      <c r="C9" s="65"/>
      <c r="D9" s="65"/>
      <c r="E9" s="65"/>
      <c r="F9" s="65"/>
      <c r="G9" s="66" t="e">
        <f t="shared" si="5"/>
        <v>#DIV/0!</v>
      </c>
      <c r="H9" s="95" t="s">
        <v>117</v>
      </c>
      <c r="I9" s="65"/>
      <c r="J9" s="65"/>
      <c r="K9" s="65">
        <v>92</v>
      </c>
      <c r="L9" s="65">
        <v>95</v>
      </c>
      <c r="M9" s="65">
        <v>95</v>
      </c>
      <c r="N9" s="66">
        <f>AVERAGE(I9:M9)</f>
        <v>94</v>
      </c>
      <c r="O9" s="95" t="s">
        <v>118</v>
      </c>
      <c r="P9" s="65"/>
      <c r="Q9" s="65">
        <v>90</v>
      </c>
      <c r="R9" s="65">
        <v>90</v>
      </c>
      <c r="S9" s="65">
        <v>90</v>
      </c>
      <c r="T9" s="65">
        <v>85</v>
      </c>
      <c r="U9" s="66">
        <f>AVERAGE(P9:T9)</f>
        <v>88.75</v>
      </c>
      <c r="V9" s="95" t="s">
        <v>118</v>
      </c>
      <c r="W9" s="65">
        <v>100</v>
      </c>
      <c r="X9" s="65"/>
      <c r="Y9" s="65">
        <v>80</v>
      </c>
      <c r="Z9" s="65">
        <v>75</v>
      </c>
      <c r="AA9" s="65"/>
      <c r="AB9" s="66">
        <f>AVERAGE(W9:AA9)</f>
        <v>85</v>
      </c>
      <c r="AC9" s="95" t="s">
        <v>119</v>
      </c>
      <c r="AD9" s="65"/>
      <c r="AE9" s="65">
        <v>95</v>
      </c>
      <c r="AF9" s="65">
        <v>97</v>
      </c>
      <c r="AG9" s="65">
        <v>95</v>
      </c>
      <c r="AH9" s="65">
        <v>100</v>
      </c>
      <c r="AI9" s="165">
        <f t="shared" si="1"/>
        <v>96.75</v>
      </c>
      <c r="AJ9" s="182" t="s">
        <v>120</v>
      </c>
      <c r="AK9" s="150"/>
      <c r="AL9" s="65"/>
      <c r="AM9" s="65">
        <v>97</v>
      </c>
      <c r="AN9" s="65">
        <v>96</v>
      </c>
      <c r="AO9" s="65">
        <v>100</v>
      </c>
      <c r="AP9" s="96">
        <f>AVERAGE(AK9:AO9)</f>
        <v>97.666666666666671</v>
      </c>
      <c r="AQ9" s="182" t="s">
        <v>121</v>
      </c>
      <c r="AR9" s="150"/>
      <c r="AS9" s="65">
        <v>89.93</v>
      </c>
      <c r="AT9" s="65">
        <v>76.790000000000006</v>
      </c>
      <c r="AU9" s="65"/>
      <c r="AV9" s="65"/>
      <c r="AW9" s="96">
        <v>90</v>
      </c>
      <c r="AX9" s="182" t="s">
        <v>122</v>
      </c>
      <c r="AY9" s="150"/>
      <c r="AZ9" s="65"/>
      <c r="BA9" s="65">
        <v>97</v>
      </c>
      <c r="BB9" s="65"/>
      <c r="BC9" s="65"/>
      <c r="BD9" s="96">
        <v>90</v>
      </c>
      <c r="BE9" s="182" t="s">
        <v>123</v>
      </c>
      <c r="BF9" s="150">
        <v>96</v>
      </c>
      <c r="BG9" s="65"/>
      <c r="BH9" s="65"/>
      <c r="BI9" s="65"/>
      <c r="BJ9" s="65"/>
      <c r="BK9" s="96">
        <f t="shared" si="4"/>
        <v>96</v>
      </c>
      <c r="BL9" s="182" t="s">
        <v>124</v>
      </c>
      <c r="BM9" s="150"/>
      <c r="BN9" s="65"/>
      <c r="BO9" s="65">
        <v>100</v>
      </c>
      <c r="BP9" s="65">
        <v>100</v>
      </c>
      <c r="BQ9" s="65"/>
      <c r="BR9" s="96">
        <f t="shared" si="0"/>
        <v>100</v>
      </c>
      <c r="BS9" s="182"/>
      <c r="BT9" s="150"/>
      <c r="BU9" s="65"/>
      <c r="BV9" s="65"/>
      <c r="BW9" s="65"/>
      <c r="BX9" s="65"/>
      <c r="BY9" s="96"/>
    </row>
    <row r="10" spans="1:77" ht="22.5" customHeight="1">
      <c r="A10" s="147"/>
      <c r="B10" s="150"/>
      <c r="C10" s="65"/>
      <c r="D10" s="65"/>
      <c r="E10" s="65"/>
      <c r="F10" s="65"/>
      <c r="G10" s="66" t="e">
        <f>AVERAGE(B10:F10)</f>
        <v>#DIV/0!</v>
      </c>
      <c r="H10" s="95"/>
      <c r="I10" s="65"/>
      <c r="J10" s="65"/>
      <c r="K10" s="65"/>
      <c r="L10" s="65"/>
      <c r="M10" s="65"/>
      <c r="N10" s="66" t="e">
        <f t="shared" ref="N10:N14" si="6">AVERAGE(I10:M10)</f>
        <v>#DIV/0!</v>
      </c>
      <c r="O10" s="165"/>
      <c r="P10" s="65"/>
      <c r="Q10" s="65"/>
      <c r="R10" s="65"/>
      <c r="S10" s="65"/>
      <c r="T10" s="65"/>
      <c r="U10" s="66"/>
      <c r="V10" s="95"/>
      <c r="W10" s="65"/>
      <c r="X10" s="65"/>
      <c r="Y10" s="65"/>
      <c r="Z10" s="65"/>
      <c r="AA10" s="65"/>
      <c r="AB10" s="66"/>
      <c r="AC10" s="95" t="s">
        <v>125</v>
      </c>
      <c r="AD10" s="65">
        <v>100</v>
      </c>
      <c r="AE10" s="65">
        <v>100</v>
      </c>
      <c r="AF10" s="65"/>
      <c r="AG10" s="65"/>
      <c r="AH10" s="65"/>
      <c r="AI10" s="165">
        <f t="shared" si="1"/>
        <v>100</v>
      </c>
      <c r="AJ10" s="182"/>
      <c r="AK10" s="150"/>
      <c r="AL10" s="65"/>
      <c r="AM10" s="65"/>
      <c r="AN10" s="65"/>
      <c r="AO10" s="65"/>
      <c r="AP10" s="96"/>
      <c r="AQ10" s="182" t="s">
        <v>126</v>
      </c>
      <c r="AR10" s="150"/>
      <c r="AS10" s="65">
        <v>100</v>
      </c>
      <c r="AT10" s="65">
        <v>88</v>
      </c>
      <c r="AU10" s="65">
        <v>90</v>
      </c>
      <c r="AV10" s="65">
        <v>83</v>
      </c>
      <c r="AW10" s="96">
        <v>100</v>
      </c>
      <c r="AX10" s="182" t="s">
        <v>127</v>
      </c>
      <c r="AY10" s="150"/>
      <c r="AZ10" s="65"/>
      <c r="BA10" s="65"/>
      <c r="BB10" s="65">
        <v>96</v>
      </c>
      <c r="BC10" s="65"/>
      <c r="BD10" s="96">
        <v>100</v>
      </c>
      <c r="BE10" s="182" t="s">
        <v>128</v>
      </c>
      <c r="BF10" s="150">
        <v>98</v>
      </c>
      <c r="BG10" s="65"/>
      <c r="BH10" s="65"/>
      <c r="BI10" s="65"/>
      <c r="BJ10" s="65"/>
      <c r="BK10" s="96">
        <f t="shared" si="4"/>
        <v>98</v>
      </c>
      <c r="BL10" s="182" t="s">
        <v>129</v>
      </c>
      <c r="BM10" s="150"/>
      <c r="BN10" s="65"/>
      <c r="BO10" s="65">
        <v>100</v>
      </c>
      <c r="BP10" s="65">
        <v>100</v>
      </c>
      <c r="BQ10" s="65"/>
      <c r="BR10" s="96">
        <f t="shared" si="0"/>
        <v>100</v>
      </c>
      <c r="BS10" s="182"/>
      <c r="BT10" s="150"/>
      <c r="BU10" s="65"/>
      <c r="BV10" s="65"/>
      <c r="BW10" s="65"/>
      <c r="BX10" s="65"/>
      <c r="BY10" s="96"/>
    </row>
    <row r="11" spans="1:77" ht="22.5" customHeight="1">
      <c r="A11" s="147"/>
      <c r="B11" s="150"/>
      <c r="C11" s="65"/>
      <c r="D11" s="65"/>
      <c r="E11" s="65"/>
      <c r="F11" s="65"/>
      <c r="G11" s="66" t="e">
        <f t="shared" si="5"/>
        <v>#DIV/0!</v>
      </c>
      <c r="H11" s="95"/>
      <c r="I11" s="65"/>
      <c r="J11" s="65"/>
      <c r="K11" s="65"/>
      <c r="L11" s="65"/>
      <c r="M11" s="65"/>
      <c r="N11" s="66" t="e">
        <f t="shared" si="6"/>
        <v>#DIV/0!</v>
      </c>
      <c r="O11" s="165"/>
      <c r="P11" s="65"/>
      <c r="Q11" s="65"/>
      <c r="R11" s="65"/>
      <c r="S11" s="65"/>
      <c r="T11" s="65"/>
      <c r="U11" s="66"/>
      <c r="V11" s="95"/>
      <c r="W11" s="65"/>
      <c r="X11" s="65"/>
      <c r="Y11" s="65"/>
      <c r="Z11" s="65"/>
      <c r="AA11" s="65"/>
      <c r="AB11" s="66"/>
      <c r="AC11" s="95" t="s">
        <v>130</v>
      </c>
      <c r="AD11" s="65"/>
      <c r="AE11" s="65"/>
      <c r="AF11" s="65"/>
      <c r="AG11" s="65">
        <v>100</v>
      </c>
      <c r="AH11" s="65">
        <v>100</v>
      </c>
      <c r="AI11" s="165">
        <f t="shared" si="1"/>
        <v>100</v>
      </c>
      <c r="AJ11" s="182"/>
      <c r="AK11" s="150"/>
      <c r="AL11" s="65"/>
      <c r="AM11" s="65"/>
      <c r="AN11" s="65"/>
      <c r="AO11" s="65"/>
      <c r="AP11" s="96"/>
      <c r="AQ11" s="182" t="s">
        <v>131</v>
      </c>
      <c r="AR11" s="150"/>
      <c r="AS11" s="65"/>
      <c r="AT11" s="65">
        <v>94</v>
      </c>
      <c r="AU11" s="65">
        <v>92.86</v>
      </c>
      <c r="AV11" s="65">
        <v>85</v>
      </c>
      <c r="AW11" s="96"/>
      <c r="AX11" s="182" t="s">
        <v>132</v>
      </c>
      <c r="AY11" s="150"/>
      <c r="AZ11" s="65"/>
      <c r="BA11" s="65"/>
      <c r="BB11" s="65"/>
      <c r="BC11" s="65">
        <v>98</v>
      </c>
      <c r="BD11" s="96"/>
      <c r="BE11" s="182" t="s">
        <v>133</v>
      </c>
      <c r="BF11" s="150">
        <v>73</v>
      </c>
      <c r="BG11" s="65">
        <v>60</v>
      </c>
      <c r="BH11" s="65">
        <v>66</v>
      </c>
      <c r="BI11" s="65"/>
      <c r="BJ11" s="65"/>
      <c r="BK11" s="96">
        <f t="shared" si="4"/>
        <v>66.333333333333329</v>
      </c>
      <c r="BL11" s="182" t="s">
        <v>134</v>
      </c>
      <c r="BM11" s="150">
        <v>100</v>
      </c>
      <c r="BN11" s="65">
        <v>100</v>
      </c>
      <c r="BO11" s="65"/>
      <c r="BP11" s="65"/>
      <c r="BQ11" s="65"/>
      <c r="BR11" s="96">
        <f t="shared" si="0"/>
        <v>100</v>
      </c>
      <c r="BS11" s="182"/>
      <c r="BT11" s="150"/>
      <c r="BU11" s="65"/>
      <c r="BV11" s="65"/>
      <c r="BW11" s="65"/>
      <c r="BX11" s="65"/>
      <c r="BY11" s="96"/>
    </row>
    <row r="12" spans="1:77" ht="22.5" customHeight="1">
      <c r="A12" s="147"/>
      <c r="B12" s="150"/>
      <c r="C12" s="65"/>
      <c r="D12" s="65"/>
      <c r="E12" s="65"/>
      <c r="F12" s="65"/>
      <c r="G12" s="66" t="e">
        <f t="shared" si="5"/>
        <v>#DIV/0!</v>
      </c>
      <c r="H12" s="95"/>
      <c r="I12" s="65"/>
      <c r="J12" s="65"/>
      <c r="K12" s="65"/>
      <c r="L12" s="65"/>
      <c r="M12" s="65"/>
      <c r="N12" s="66" t="e">
        <f t="shared" si="6"/>
        <v>#DIV/0!</v>
      </c>
      <c r="O12" s="165"/>
      <c r="P12" s="65"/>
      <c r="Q12" s="65"/>
      <c r="R12" s="65"/>
      <c r="S12" s="65"/>
      <c r="T12" s="65"/>
      <c r="U12" s="66"/>
      <c r="V12" s="95"/>
      <c r="W12" s="65"/>
      <c r="X12" s="65"/>
      <c r="Y12" s="65"/>
      <c r="Z12" s="65"/>
      <c r="AA12" s="65"/>
      <c r="AB12" s="66"/>
      <c r="AC12" s="95"/>
      <c r="AD12" s="65"/>
      <c r="AE12" s="65"/>
      <c r="AF12" s="65"/>
      <c r="AG12" s="65"/>
      <c r="AH12" s="65"/>
      <c r="AI12" s="165"/>
      <c r="AJ12" s="182"/>
      <c r="AK12" s="150"/>
      <c r="AL12" s="65"/>
      <c r="AM12" s="65"/>
      <c r="AN12" s="65"/>
      <c r="AO12" s="65"/>
      <c r="AP12" s="96"/>
      <c r="AQ12" s="182" t="s">
        <v>135</v>
      </c>
      <c r="AR12" s="150"/>
      <c r="AS12" s="65"/>
      <c r="AT12" s="65"/>
      <c r="AU12" s="65">
        <v>96.82</v>
      </c>
      <c r="AV12" s="65"/>
      <c r="AW12" s="96"/>
      <c r="AX12" s="182" t="s">
        <v>136</v>
      </c>
      <c r="AY12" s="150"/>
      <c r="AZ12" s="65"/>
      <c r="BA12" s="65"/>
      <c r="BB12" s="65"/>
      <c r="BC12" s="65">
        <v>100</v>
      </c>
      <c r="BD12" s="96"/>
      <c r="BE12" s="182" t="s">
        <v>137</v>
      </c>
      <c r="BF12" s="150">
        <v>100</v>
      </c>
      <c r="BG12" s="65">
        <v>100</v>
      </c>
      <c r="BH12" s="65">
        <v>100</v>
      </c>
      <c r="BI12" s="65">
        <v>100</v>
      </c>
      <c r="BJ12" s="65">
        <v>100</v>
      </c>
      <c r="BK12" s="96">
        <f t="shared" si="4"/>
        <v>100</v>
      </c>
      <c r="BL12" s="182" t="s">
        <v>138</v>
      </c>
      <c r="BM12" s="150"/>
      <c r="BN12" s="65">
        <v>62</v>
      </c>
      <c r="BO12" s="65">
        <v>100</v>
      </c>
      <c r="BP12" s="65">
        <v>100</v>
      </c>
      <c r="BQ12" s="65">
        <v>73</v>
      </c>
      <c r="BR12" s="96">
        <f t="shared" ref="BR12" si="7">AVERAGE(BM12:BQ12)</f>
        <v>83.75</v>
      </c>
      <c r="BS12" s="182"/>
      <c r="BT12" s="150"/>
      <c r="BU12" s="65"/>
      <c r="BV12" s="65"/>
      <c r="BW12" s="65"/>
      <c r="BX12" s="65"/>
      <c r="BY12" s="96"/>
    </row>
    <row r="13" spans="1:77" ht="22.5" customHeight="1">
      <c r="A13" s="147"/>
      <c r="B13" s="150"/>
      <c r="C13" s="65"/>
      <c r="D13" s="65"/>
      <c r="E13" s="65"/>
      <c r="F13" s="65"/>
      <c r="G13" s="66" t="e">
        <f>AVERAGE(B13:F13)</f>
        <v>#DIV/0!</v>
      </c>
      <c r="H13" s="95"/>
      <c r="I13" s="65"/>
      <c r="J13" s="65"/>
      <c r="K13" s="65"/>
      <c r="L13" s="65"/>
      <c r="M13" s="65"/>
      <c r="N13" s="66" t="e">
        <f t="shared" si="6"/>
        <v>#DIV/0!</v>
      </c>
      <c r="O13" s="165"/>
      <c r="P13" s="65"/>
      <c r="Q13" s="65"/>
      <c r="R13" s="65"/>
      <c r="S13" s="65"/>
      <c r="T13" s="65"/>
      <c r="U13" s="66"/>
      <c r="V13" s="95"/>
      <c r="W13" s="65"/>
      <c r="X13" s="65"/>
      <c r="Y13" s="65"/>
      <c r="Z13" s="65"/>
      <c r="AA13" s="65"/>
      <c r="AB13" s="66"/>
      <c r="AC13" s="95"/>
      <c r="AD13" s="65"/>
      <c r="AE13" s="65"/>
      <c r="AF13" s="65"/>
      <c r="AG13" s="65"/>
      <c r="AH13" s="65"/>
      <c r="AI13" s="165"/>
      <c r="AJ13" s="182"/>
      <c r="AK13" s="150"/>
      <c r="AL13" s="65"/>
      <c r="AM13" s="65"/>
      <c r="AN13" s="65"/>
      <c r="AO13" s="65"/>
      <c r="AP13" s="96"/>
      <c r="AQ13" s="182" t="s">
        <v>139</v>
      </c>
      <c r="AR13" s="150"/>
      <c r="AS13" s="65"/>
      <c r="AT13" s="65"/>
      <c r="AU13" s="65"/>
      <c r="AV13" s="65"/>
      <c r="AW13" s="96"/>
      <c r="AX13" s="182"/>
      <c r="AY13" s="150"/>
      <c r="AZ13" s="65"/>
      <c r="BA13" s="65"/>
      <c r="BB13" s="65"/>
      <c r="BC13" s="65"/>
      <c r="BD13" s="96"/>
      <c r="BE13" s="182" t="s">
        <v>140</v>
      </c>
      <c r="BF13" s="150">
        <v>100</v>
      </c>
      <c r="BG13" s="65">
        <v>100</v>
      </c>
      <c r="BH13" s="65">
        <v>100</v>
      </c>
      <c r="BI13" s="65">
        <v>100</v>
      </c>
      <c r="BJ13" s="65">
        <v>100</v>
      </c>
      <c r="BK13" s="96">
        <f t="shared" si="4"/>
        <v>100</v>
      </c>
      <c r="BL13" s="182"/>
      <c r="BM13" s="150"/>
      <c r="BN13" s="65"/>
      <c r="BO13" s="65"/>
      <c r="BP13" s="65"/>
      <c r="BQ13" s="65"/>
      <c r="BR13" s="96"/>
      <c r="BS13" s="182"/>
      <c r="BT13" s="150"/>
      <c r="BU13" s="65"/>
      <c r="BV13" s="65"/>
      <c r="BW13" s="65"/>
      <c r="BX13" s="65"/>
      <c r="BY13" s="96"/>
    </row>
    <row r="14" spans="1:77" ht="22.5" customHeight="1">
      <c r="A14" s="147"/>
      <c r="B14" s="150"/>
      <c r="C14" s="65"/>
      <c r="D14" s="65"/>
      <c r="E14" s="65"/>
      <c r="F14" s="65"/>
      <c r="G14" s="66" t="e">
        <f t="shared" si="5"/>
        <v>#DIV/0!</v>
      </c>
      <c r="H14" s="95"/>
      <c r="I14" s="65"/>
      <c r="J14" s="65"/>
      <c r="K14" s="65"/>
      <c r="L14" s="65"/>
      <c r="M14" s="65"/>
      <c r="N14" s="66" t="e">
        <f t="shared" si="6"/>
        <v>#DIV/0!</v>
      </c>
      <c r="O14" s="165"/>
      <c r="P14" s="65"/>
      <c r="Q14" s="65"/>
      <c r="R14" s="65"/>
      <c r="S14" s="65"/>
      <c r="T14" s="65"/>
      <c r="U14" s="66" t="e">
        <f>AVERAGE(P14:T14)</f>
        <v>#DIV/0!</v>
      </c>
      <c r="V14" s="165"/>
      <c r="W14" s="65"/>
      <c r="X14" s="65"/>
      <c r="Y14" s="65"/>
      <c r="Z14" s="65"/>
      <c r="AA14" s="65"/>
      <c r="AB14" s="66"/>
      <c r="AC14" s="165"/>
      <c r="AD14" s="65"/>
      <c r="AE14" s="65"/>
      <c r="AF14" s="65"/>
      <c r="AG14" s="65"/>
      <c r="AH14" s="65"/>
      <c r="AI14" s="165"/>
      <c r="AJ14" s="182"/>
      <c r="AK14" s="150"/>
      <c r="AL14" s="65"/>
      <c r="AM14" s="65"/>
      <c r="AN14" s="65"/>
      <c r="AO14" s="65"/>
      <c r="AP14" s="96"/>
      <c r="AQ14" s="182"/>
      <c r="AR14" s="150"/>
      <c r="AS14" s="65"/>
      <c r="AT14" s="65"/>
      <c r="AU14" s="65"/>
      <c r="AV14" s="65"/>
      <c r="AW14" s="96"/>
      <c r="AX14" s="182"/>
      <c r="AY14" s="150"/>
      <c r="AZ14" s="65"/>
      <c r="BA14" s="65"/>
      <c r="BB14" s="65"/>
      <c r="BC14" s="65"/>
      <c r="BD14" s="96"/>
      <c r="BE14" s="182" t="s">
        <v>141</v>
      </c>
      <c r="BF14" s="150"/>
      <c r="BG14" s="65"/>
      <c r="BH14" s="65">
        <v>97</v>
      </c>
      <c r="BI14" s="65">
        <v>98</v>
      </c>
      <c r="BJ14" s="65"/>
      <c r="BK14" s="96">
        <f t="shared" si="4"/>
        <v>97.5</v>
      </c>
      <c r="BL14" s="182"/>
      <c r="BM14" s="150"/>
      <c r="BN14" s="65"/>
      <c r="BO14" s="65"/>
      <c r="BP14" s="65"/>
      <c r="BQ14" s="65"/>
      <c r="BR14" s="96"/>
      <c r="BS14" s="182"/>
      <c r="BT14" s="150"/>
      <c r="BU14" s="65"/>
      <c r="BV14" s="65"/>
      <c r="BW14" s="65"/>
      <c r="BX14" s="65"/>
      <c r="BY14" s="96"/>
    </row>
    <row r="15" spans="1:77" ht="22.5" customHeight="1">
      <c r="A15" s="147"/>
      <c r="B15" s="157"/>
      <c r="C15" s="80"/>
      <c r="D15" s="80"/>
      <c r="E15" s="80"/>
      <c r="F15" s="80"/>
      <c r="G15" s="66"/>
      <c r="H15" s="95"/>
      <c r="I15" s="80"/>
      <c r="J15" s="80"/>
      <c r="K15" s="80"/>
      <c r="L15" s="80"/>
      <c r="M15" s="80"/>
      <c r="N15" s="66"/>
      <c r="O15" s="165"/>
      <c r="P15" s="80"/>
      <c r="Q15" s="80"/>
      <c r="R15" s="80"/>
      <c r="S15" s="80"/>
      <c r="T15" s="80"/>
      <c r="U15" s="66"/>
      <c r="V15" s="165"/>
      <c r="W15" s="80"/>
      <c r="X15" s="80"/>
      <c r="Y15" s="80"/>
      <c r="Z15" s="80"/>
      <c r="AA15" s="80"/>
      <c r="AB15" s="66"/>
      <c r="AC15" s="165"/>
      <c r="AD15" s="80"/>
      <c r="AE15" s="80"/>
      <c r="AF15" s="80"/>
      <c r="AG15" s="80"/>
      <c r="AH15" s="80"/>
      <c r="AI15" s="165"/>
      <c r="AJ15" s="137"/>
      <c r="AK15" s="157"/>
      <c r="AL15" s="80"/>
      <c r="AM15" s="80"/>
      <c r="AN15" s="80"/>
      <c r="AO15" s="80"/>
      <c r="AP15" s="96"/>
      <c r="AQ15" s="182"/>
      <c r="AR15" s="157"/>
      <c r="AS15" s="80"/>
      <c r="AT15" s="80"/>
      <c r="AU15" s="80"/>
      <c r="AV15" s="80"/>
      <c r="AW15" s="96"/>
      <c r="AX15" s="182"/>
      <c r="AY15" s="157"/>
      <c r="AZ15" s="80"/>
      <c r="BA15" s="80"/>
      <c r="BB15" s="80"/>
      <c r="BC15" s="80"/>
      <c r="BD15" s="96"/>
      <c r="BE15" s="182" t="s">
        <v>142</v>
      </c>
      <c r="BF15" s="157"/>
      <c r="BG15" s="80"/>
      <c r="BH15" s="80">
        <v>100</v>
      </c>
      <c r="BI15" s="80"/>
      <c r="BJ15" s="80"/>
      <c r="BK15" s="96">
        <f t="shared" si="4"/>
        <v>100</v>
      </c>
      <c r="BL15" s="182"/>
      <c r="BM15" s="157"/>
      <c r="BN15" s="80"/>
      <c r="BO15" s="80"/>
      <c r="BP15" s="80"/>
      <c r="BQ15" s="80"/>
      <c r="BR15" s="96"/>
      <c r="BS15" s="182"/>
      <c r="BT15" s="157"/>
      <c r="BU15" s="80"/>
      <c r="BV15" s="80"/>
      <c r="BW15" s="80"/>
      <c r="BX15" s="80"/>
      <c r="BY15" s="96"/>
    </row>
    <row r="16" spans="1:77" ht="22.5" customHeight="1">
      <c r="A16" s="147"/>
      <c r="B16" s="157"/>
      <c r="C16" s="80"/>
      <c r="D16" s="80"/>
      <c r="E16" s="80"/>
      <c r="F16" s="80"/>
      <c r="G16" s="66"/>
      <c r="H16" s="95"/>
      <c r="I16" s="80"/>
      <c r="J16" s="80"/>
      <c r="K16" s="80"/>
      <c r="L16" s="80"/>
      <c r="M16" s="80"/>
      <c r="N16" s="66"/>
      <c r="O16" s="165"/>
      <c r="P16" s="80"/>
      <c r="Q16" s="80"/>
      <c r="R16" s="80"/>
      <c r="S16" s="80"/>
      <c r="T16" s="80"/>
      <c r="U16" s="66"/>
      <c r="V16" s="165"/>
      <c r="W16" s="80"/>
      <c r="X16" s="80"/>
      <c r="Y16" s="80"/>
      <c r="Z16" s="80"/>
      <c r="AA16" s="80"/>
      <c r="AB16" s="66"/>
      <c r="AC16" s="165"/>
      <c r="AD16" s="80"/>
      <c r="AE16" s="80"/>
      <c r="AF16" s="80"/>
      <c r="AG16" s="80"/>
      <c r="AH16" s="80"/>
      <c r="AI16" s="165"/>
      <c r="AJ16" s="137"/>
      <c r="AK16" s="157"/>
      <c r="AL16" s="80"/>
      <c r="AM16" s="80"/>
      <c r="AN16" s="80"/>
      <c r="AO16" s="80"/>
      <c r="AP16" s="96"/>
      <c r="AQ16" s="182"/>
      <c r="AR16" s="157"/>
      <c r="AS16" s="80"/>
      <c r="AT16" s="80"/>
      <c r="AU16" s="80"/>
      <c r="AV16" s="80"/>
      <c r="AW16" s="96"/>
      <c r="AX16" s="182"/>
      <c r="AY16" s="157"/>
      <c r="AZ16" s="80"/>
      <c r="BA16" s="80"/>
      <c r="BB16" s="80"/>
      <c r="BC16" s="80"/>
      <c r="BD16" s="96"/>
      <c r="BE16" s="182" t="s">
        <v>143</v>
      </c>
      <c r="BF16" s="157"/>
      <c r="BG16" s="80"/>
      <c r="BH16" s="80"/>
      <c r="BI16" s="80">
        <v>100</v>
      </c>
      <c r="BJ16" s="80">
        <v>100</v>
      </c>
      <c r="BK16" s="96">
        <f t="shared" si="4"/>
        <v>100</v>
      </c>
      <c r="BL16" s="182"/>
      <c r="BM16" s="157"/>
      <c r="BN16" s="80"/>
      <c r="BO16" s="80"/>
      <c r="BP16" s="80"/>
      <c r="BQ16" s="80"/>
      <c r="BR16" s="96"/>
      <c r="BS16" s="182"/>
      <c r="BT16" s="157"/>
      <c r="BU16" s="80"/>
      <c r="BV16" s="80"/>
      <c r="BW16" s="80"/>
      <c r="BX16" s="80"/>
      <c r="BY16" s="96"/>
    </row>
    <row r="17" spans="1:77" ht="22.5" customHeight="1">
      <c r="A17" s="147"/>
      <c r="B17" s="157"/>
      <c r="C17" s="80"/>
      <c r="D17" s="80"/>
      <c r="E17" s="80"/>
      <c r="F17" s="80"/>
      <c r="G17" s="66"/>
      <c r="H17" s="95"/>
      <c r="I17" s="80"/>
      <c r="J17" s="80"/>
      <c r="K17" s="80"/>
      <c r="L17" s="80"/>
      <c r="M17" s="80"/>
      <c r="N17" s="66"/>
      <c r="O17" s="165"/>
      <c r="P17" s="80"/>
      <c r="Q17" s="80"/>
      <c r="R17" s="80"/>
      <c r="S17" s="80"/>
      <c r="T17" s="80"/>
      <c r="U17" s="66"/>
      <c r="V17" s="165"/>
      <c r="W17" s="80"/>
      <c r="X17" s="80"/>
      <c r="Y17" s="80"/>
      <c r="Z17" s="80"/>
      <c r="AA17" s="80"/>
      <c r="AB17" s="66"/>
      <c r="AC17" s="165"/>
      <c r="AD17" s="80"/>
      <c r="AE17" s="80"/>
      <c r="AF17" s="80"/>
      <c r="AG17" s="80"/>
      <c r="AH17" s="80"/>
      <c r="AI17" s="165"/>
      <c r="AJ17" s="137"/>
      <c r="AK17" s="157"/>
      <c r="AL17" s="80"/>
      <c r="AM17" s="80"/>
      <c r="AN17" s="80"/>
      <c r="AO17" s="80"/>
      <c r="AP17" s="96"/>
      <c r="AQ17" s="182"/>
      <c r="AR17" s="157"/>
      <c r="AS17" s="80"/>
      <c r="AT17" s="80"/>
      <c r="AU17" s="80"/>
      <c r="AV17" s="80"/>
      <c r="AW17" s="96"/>
      <c r="AX17" s="182"/>
      <c r="AY17" s="157"/>
      <c r="AZ17" s="80"/>
      <c r="BA17" s="80"/>
      <c r="BB17" s="80"/>
      <c r="BC17" s="80"/>
      <c r="BD17" s="96"/>
      <c r="BE17" s="182" t="s">
        <v>144</v>
      </c>
      <c r="BF17" s="157"/>
      <c r="BG17" s="80"/>
      <c r="BH17" s="80"/>
      <c r="BI17" s="80"/>
      <c r="BJ17" s="80"/>
      <c r="BK17" s="96"/>
      <c r="BL17" s="182"/>
      <c r="BM17" s="157"/>
      <c r="BN17" s="80"/>
      <c r="BO17" s="80"/>
      <c r="BP17" s="80"/>
      <c r="BQ17" s="80"/>
      <c r="BR17" s="96"/>
      <c r="BS17" s="182"/>
      <c r="BT17" s="157"/>
      <c r="BU17" s="80"/>
      <c r="BV17" s="80"/>
      <c r="BW17" s="80"/>
      <c r="BX17" s="80"/>
      <c r="BY17" s="96"/>
    </row>
    <row r="18" spans="1:77" ht="22.5" customHeight="1">
      <c r="A18" s="147"/>
      <c r="B18" s="157"/>
      <c r="C18" s="80"/>
      <c r="D18" s="80"/>
      <c r="E18" s="80"/>
      <c r="F18" s="80"/>
      <c r="G18" s="66"/>
      <c r="H18" s="95"/>
      <c r="I18" s="80"/>
      <c r="J18" s="80"/>
      <c r="K18" s="80"/>
      <c r="L18" s="80"/>
      <c r="M18" s="80"/>
      <c r="N18" s="66"/>
      <c r="O18" s="165"/>
      <c r="P18" s="80"/>
      <c r="Q18" s="80"/>
      <c r="R18" s="80"/>
      <c r="S18" s="80"/>
      <c r="T18" s="80"/>
      <c r="U18" s="66"/>
      <c r="V18" s="165"/>
      <c r="W18" s="80"/>
      <c r="X18" s="80"/>
      <c r="Y18" s="80"/>
      <c r="Z18" s="80"/>
      <c r="AA18" s="80"/>
      <c r="AB18" s="66"/>
      <c r="AC18" s="165"/>
      <c r="AD18" s="80"/>
      <c r="AE18" s="80"/>
      <c r="AF18" s="80"/>
      <c r="AG18" s="80"/>
      <c r="AH18" s="80"/>
      <c r="AI18" s="165"/>
      <c r="AJ18" s="137"/>
      <c r="AK18" s="157"/>
      <c r="AL18" s="80"/>
      <c r="AM18" s="80"/>
      <c r="AN18" s="80"/>
      <c r="AO18" s="80"/>
      <c r="AP18" s="96"/>
      <c r="AQ18" s="182"/>
      <c r="AR18" s="157"/>
      <c r="AS18" s="80"/>
      <c r="AT18" s="80"/>
      <c r="AU18" s="80"/>
      <c r="AV18" s="80"/>
      <c r="AW18" s="96"/>
      <c r="AX18" s="182"/>
      <c r="AY18" s="157"/>
      <c r="AZ18" s="80"/>
      <c r="BA18" s="80"/>
      <c r="BB18" s="80"/>
      <c r="BC18" s="80"/>
      <c r="BD18" s="96"/>
      <c r="BE18" s="182" t="s">
        <v>145</v>
      </c>
      <c r="BF18" s="157"/>
      <c r="BG18" s="80"/>
      <c r="BH18" s="80">
        <v>100</v>
      </c>
      <c r="BI18" s="80"/>
      <c r="BJ18" s="80"/>
      <c r="BK18" s="96">
        <f t="shared" si="4"/>
        <v>100</v>
      </c>
      <c r="BL18" s="182"/>
      <c r="BM18" s="157"/>
      <c r="BN18" s="80"/>
      <c r="BO18" s="80"/>
      <c r="BP18" s="80"/>
      <c r="BQ18" s="80"/>
      <c r="BR18" s="96"/>
      <c r="BS18" s="182"/>
      <c r="BT18" s="157"/>
      <c r="BU18" s="80"/>
      <c r="BV18" s="80"/>
      <c r="BW18" s="80"/>
      <c r="BX18" s="80"/>
      <c r="BY18" s="96"/>
    </row>
    <row r="19" spans="1:77" ht="22.5" customHeight="1">
      <c r="A19" s="147"/>
      <c r="B19" s="157"/>
      <c r="C19" s="80"/>
      <c r="D19" s="80"/>
      <c r="E19" s="80"/>
      <c r="F19" s="80"/>
      <c r="G19" s="66"/>
      <c r="H19" s="95"/>
      <c r="I19" s="80"/>
      <c r="J19" s="80"/>
      <c r="K19" s="80"/>
      <c r="L19" s="80"/>
      <c r="M19" s="80"/>
      <c r="N19" s="66"/>
      <c r="O19" s="165"/>
      <c r="P19" s="80"/>
      <c r="Q19" s="80"/>
      <c r="R19" s="80"/>
      <c r="S19" s="80"/>
      <c r="T19" s="80"/>
      <c r="U19" s="66"/>
      <c r="V19" s="165"/>
      <c r="W19" s="80"/>
      <c r="X19" s="80"/>
      <c r="Y19" s="80"/>
      <c r="Z19" s="80"/>
      <c r="AA19" s="80"/>
      <c r="AB19" s="66"/>
      <c r="AC19" s="165"/>
      <c r="AD19" s="80"/>
      <c r="AE19" s="80"/>
      <c r="AF19" s="80"/>
      <c r="AG19" s="80"/>
      <c r="AH19" s="80"/>
      <c r="AI19" s="165"/>
      <c r="AJ19" s="137"/>
      <c r="AK19" s="157"/>
      <c r="AL19" s="80"/>
      <c r="AM19" s="80"/>
      <c r="AN19" s="80"/>
      <c r="AO19" s="80"/>
      <c r="AP19" s="96"/>
      <c r="AQ19" s="182"/>
      <c r="AR19" s="157"/>
      <c r="AS19" s="80"/>
      <c r="AT19" s="80"/>
      <c r="AU19" s="80"/>
      <c r="AV19" s="80"/>
      <c r="AW19" s="96"/>
      <c r="AX19" s="182"/>
      <c r="AY19" s="157"/>
      <c r="AZ19" s="80"/>
      <c r="BA19" s="80"/>
      <c r="BB19" s="80"/>
      <c r="BC19" s="80"/>
      <c r="BD19" s="96"/>
      <c r="BE19" s="182" t="s">
        <v>146</v>
      </c>
      <c r="BF19" s="157"/>
      <c r="BG19" s="80"/>
      <c r="BH19" s="80">
        <v>100</v>
      </c>
      <c r="BI19" s="80"/>
      <c r="BJ19" s="80"/>
      <c r="BK19" s="96">
        <f t="shared" si="4"/>
        <v>100</v>
      </c>
      <c r="BL19" s="182"/>
      <c r="BM19" s="157"/>
      <c r="BN19" s="80"/>
      <c r="BO19" s="80"/>
      <c r="BP19" s="80"/>
      <c r="BQ19" s="80"/>
      <c r="BR19" s="96"/>
      <c r="BS19" s="182"/>
      <c r="BT19" s="157"/>
      <c r="BU19" s="80"/>
      <c r="BV19" s="80"/>
      <c r="BW19" s="80"/>
      <c r="BX19" s="80"/>
      <c r="BY19" s="96"/>
    </row>
    <row r="20" spans="1:77" ht="22.5" customHeight="1">
      <c r="A20" s="147"/>
      <c r="B20" s="157"/>
      <c r="C20" s="80"/>
      <c r="D20" s="80"/>
      <c r="E20" s="80"/>
      <c r="F20" s="80"/>
      <c r="G20" s="66"/>
      <c r="H20" s="95"/>
      <c r="I20" s="80"/>
      <c r="J20" s="80"/>
      <c r="K20" s="80"/>
      <c r="L20" s="80"/>
      <c r="M20" s="80"/>
      <c r="N20" s="66"/>
      <c r="O20" s="165"/>
      <c r="P20" s="80"/>
      <c r="Q20" s="80"/>
      <c r="R20" s="80"/>
      <c r="S20" s="80"/>
      <c r="T20" s="80"/>
      <c r="U20" s="66"/>
      <c r="V20" s="165"/>
      <c r="W20" s="80"/>
      <c r="X20" s="80"/>
      <c r="Y20" s="80"/>
      <c r="Z20" s="80"/>
      <c r="AA20" s="80"/>
      <c r="AB20" s="66"/>
      <c r="AC20" s="165"/>
      <c r="AD20" s="80"/>
      <c r="AE20" s="80"/>
      <c r="AF20" s="80"/>
      <c r="AG20" s="80"/>
      <c r="AH20" s="80"/>
      <c r="AI20" s="165"/>
      <c r="AJ20" s="137"/>
      <c r="AK20" s="157"/>
      <c r="AL20" s="80"/>
      <c r="AM20" s="80"/>
      <c r="AN20" s="80"/>
      <c r="AO20" s="80"/>
      <c r="AP20" s="96"/>
      <c r="AQ20" s="182"/>
      <c r="AR20" s="157"/>
      <c r="AS20" s="80"/>
      <c r="AT20" s="80"/>
      <c r="AU20" s="80"/>
      <c r="AV20" s="80"/>
      <c r="AW20" s="96"/>
      <c r="AX20" s="182"/>
      <c r="AY20" s="157"/>
      <c r="AZ20" s="80"/>
      <c r="BA20" s="80"/>
      <c r="BB20" s="80"/>
      <c r="BC20" s="80"/>
      <c r="BD20" s="96"/>
      <c r="BE20" s="182"/>
      <c r="BF20" s="157"/>
      <c r="BG20" s="80"/>
      <c r="BH20" s="80"/>
      <c r="BI20" s="80"/>
      <c r="BJ20" s="80"/>
      <c r="BK20" s="96"/>
      <c r="BL20" s="182"/>
      <c r="BM20" s="157"/>
      <c r="BN20" s="80"/>
      <c r="BO20" s="80"/>
      <c r="BP20" s="80"/>
      <c r="BQ20" s="80"/>
      <c r="BR20" s="96"/>
      <c r="BS20" s="182"/>
      <c r="BT20" s="157"/>
      <c r="BU20" s="80"/>
      <c r="BV20" s="80"/>
      <c r="BW20" s="80"/>
      <c r="BX20" s="80"/>
      <c r="BY20" s="96"/>
    </row>
    <row r="21" spans="1:77" ht="22.5" customHeight="1">
      <c r="A21" s="148" t="s">
        <v>12</v>
      </c>
      <c r="B21" s="157">
        <f>AVERAGE(B6:B14)</f>
        <v>100</v>
      </c>
      <c r="C21" s="80">
        <f>AVERAGE(C6:C14)</f>
        <v>100</v>
      </c>
      <c r="D21" s="80">
        <f>AVERAGE(D6:D14)</f>
        <v>84.333333333333329</v>
      </c>
      <c r="E21" s="80">
        <f t="shared" ref="E21:F21" si="8">AVERAGE(E6:E14)</f>
        <v>94.666666666666671</v>
      </c>
      <c r="F21" s="80">
        <f t="shared" si="8"/>
        <v>93.666666666666671</v>
      </c>
      <c r="G21" s="172">
        <f>AVERAGE(G6:G8)</f>
        <v>94.533333333333346</v>
      </c>
      <c r="H21" s="95" t="s">
        <v>12</v>
      </c>
      <c r="I21" s="67">
        <f>AVERAGE(I6:I14)</f>
        <v>100</v>
      </c>
      <c r="J21" s="67">
        <f t="shared" ref="J21:M21" si="9">AVERAGE(J6:J14)</f>
        <v>94.04</v>
      </c>
      <c r="K21" s="67">
        <f t="shared" si="9"/>
        <v>86.5</v>
      </c>
      <c r="L21" s="67">
        <f>AVERAGE(L6:L14)</f>
        <v>90.5</v>
      </c>
      <c r="M21" s="67">
        <f t="shared" si="9"/>
        <v>91.333333333333329</v>
      </c>
      <c r="N21" s="81">
        <f>AVERAGE(N6:N9)</f>
        <v>91.130833333333328</v>
      </c>
      <c r="O21" s="161"/>
      <c r="P21" s="67">
        <f>AVERAGE(P6:P14)</f>
        <v>96.490000000000009</v>
      </c>
      <c r="Q21" s="67">
        <f>AVERAGE(Q6:Q14)</f>
        <v>94.747500000000002</v>
      </c>
      <c r="R21" s="67">
        <f>AVERAGE(R6:R14)</f>
        <v>88.472499999999997</v>
      </c>
      <c r="S21" s="67">
        <f t="shared" ref="S21:T21" si="10">AVERAGE(S6:S14)</f>
        <v>87.38</v>
      </c>
      <c r="T21" s="67">
        <f t="shared" si="10"/>
        <v>85</v>
      </c>
      <c r="U21" s="81">
        <f>AVERAGE(U6:U9)</f>
        <v>91.054374999999993</v>
      </c>
      <c r="V21" s="161"/>
      <c r="W21" s="67">
        <f>AVERAGE(W6:W14)</f>
        <v>95.833333333333329</v>
      </c>
      <c r="X21" s="67">
        <f t="shared" ref="X21:AA21" si="11">AVERAGE(X6:X14)</f>
        <v>92.333333333333329</v>
      </c>
      <c r="Y21" s="67">
        <f t="shared" si="11"/>
        <v>84</v>
      </c>
      <c r="Z21" s="67">
        <f t="shared" si="11"/>
        <v>75.167500000000004</v>
      </c>
      <c r="AA21" s="67">
        <f t="shared" si="11"/>
        <v>84.666666666666671</v>
      </c>
      <c r="AB21" s="224">
        <f>AVERAGE(AB6:AB13)</f>
        <v>85.746000000000009</v>
      </c>
      <c r="AC21" s="161"/>
      <c r="AD21" s="67">
        <f>AVERAGE(AD6:AD14)</f>
        <v>100</v>
      </c>
      <c r="AE21" s="67">
        <f t="shared" ref="AE21:AH21" si="12">AVERAGE(AE6:AE14)</f>
        <v>96</v>
      </c>
      <c r="AF21" s="67">
        <f t="shared" si="12"/>
        <v>90</v>
      </c>
      <c r="AG21" s="67">
        <f t="shared" si="12"/>
        <v>97</v>
      </c>
      <c r="AH21" s="67">
        <f t="shared" si="12"/>
        <v>94.5</v>
      </c>
      <c r="AI21" s="81">
        <f>AVERAGE(AI6:AI14)</f>
        <v>95.258333333333326</v>
      </c>
      <c r="AJ21" s="183"/>
      <c r="AK21" s="67">
        <f>AVERAGE(AK6:AK14)</f>
        <v>100</v>
      </c>
      <c r="AL21" s="67">
        <f t="shared" ref="AL21:AO21" si="13">AVERAGE(AL6:AL14)</f>
        <v>91.333333333333329</v>
      </c>
      <c r="AM21" s="67">
        <f t="shared" si="13"/>
        <v>86.5</v>
      </c>
      <c r="AN21" s="67">
        <f t="shared" si="13"/>
        <v>84.75</v>
      </c>
      <c r="AO21" s="67">
        <f t="shared" si="13"/>
        <v>100</v>
      </c>
      <c r="AP21" s="97">
        <f>AVERAGE(AP6:AP14)</f>
        <v>89.041666666666671</v>
      </c>
      <c r="AQ21" s="182"/>
      <c r="AR21" s="67">
        <f>AVERAGE(AR6:AR14)</f>
        <v>100</v>
      </c>
      <c r="AS21" s="67">
        <f t="shared" ref="AS21:AV21" si="14">AVERAGE(AS6:AS14)</f>
        <v>97.482500000000002</v>
      </c>
      <c r="AT21" s="67">
        <f t="shared" si="14"/>
        <v>86.75800000000001</v>
      </c>
      <c r="AU21" s="67">
        <f t="shared" si="14"/>
        <v>92.128</v>
      </c>
      <c r="AV21" s="67">
        <f t="shared" si="14"/>
        <v>83.5</v>
      </c>
      <c r="AW21" s="97">
        <f>AVERAGE(AW6:AW14)</f>
        <v>94.878400000000013</v>
      </c>
      <c r="AX21" s="182"/>
      <c r="AY21" s="67">
        <f>AVERAGE(AY6:AY14)</f>
        <v>93</v>
      </c>
      <c r="AZ21" s="67">
        <f t="shared" ref="AZ21:BC21" si="15">AVERAGE(AZ6:AZ14)</f>
        <v>93</v>
      </c>
      <c r="BA21" s="67">
        <f t="shared" si="15"/>
        <v>88.5</v>
      </c>
      <c r="BB21" s="67">
        <f t="shared" si="15"/>
        <v>88</v>
      </c>
      <c r="BC21" s="67">
        <f t="shared" si="15"/>
        <v>81.666666666666671</v>
      </c>
      <c r="BD21" s="97">
        <f>AVERAGE(BD6:BD14)</f>
        <v>90.97999999999999</v>
      </c>
      <c r="BE21" s="182"/>
      <c r="BF21" s="67">
        <f>AVERAGE(BF6:BF14)</f>
        <v>93.375</v>
      </c>
      <c r="BG21" s="67">
        <f t="shared" ref="BG21:BJ21" si="16">AVERAGE(BG6:BG14)</f>
        <v>83.75</v>
      </c>
      <c r="BH21" s="67">
        <f t="shared" si="16"/>
        <v>86.4</v>
      </c>
      <c r="BI21" s="67">
        <f t="shared" si="16"/>
        <v>99.5</v>
      </c>
      <c r="BJ21" s="67">
        <f t="shared" si="16"/>
        <v>100</v>
      </c>
      <c r="BK21" s="97">
        <f>AVERAGE(BK6:BK20)</f>
        <v>95.29487179487181</v>
      </c>
      <c r="BL21" s="182"/>
      <c r="BM21" s="67">
        <f>AVERAGE(BM6:BM14)</f>
        <v>100</v>
      </c>
      <c r="BN21" s="67">
        <f t="shared" ref="BN21:BQ21" si="17">AVERAGE(BN6:BN14)</f>
        <v>78.333333333333329</v>
      </c>
      <c r="BO21" s="67">
        <f t="shared" si="17"/>
        <v>91.333333333333329</v>
      </c>
      <c r="BP21" s="67">
        <f t="shared" si="17"/>
        <v>91.333333333333329</v>
      </c>
      <c r="BQ21" s="67">
        <f t="shared" si="17"/>
        <v>91</v>
      </c>
      <c r="BR21" s="97">
        <f>AVERAGE(BR6:BR20)</f>
        <v>93</v>
      </c>
      <c r="BS21" s="182"/>
      <c r="BT21" s="67">
        <f>AVERAGE(BT6:BT14)</f>
        <v>96</v>
      </c>
      <c r="BU21" s="67">
        <f t="shared" ref="BU21:BX21" si="18">AVERAGE(BU6:BU14)</f>
        <v>96</v>
      </c>
      <c r="BV21" s="67">
        <f t="shared" si="18"/>
        <v>87</v>
      </c>
      <c r="BW21" s="67" t="e">
        <f t="shared" si="18"/>
        <v>#DIV/0!</v>
      </c>
      <c r="BX21" s="67" t="e">
        <f t="shared" si="18"/>
        <v>#DIV/0!</v>
      </c>
      <c r="BY21" s="97">
        <f>AVERAGE(BY6:BY20)</f>
        <v>93</v>
      </c>
    </row>
    <row r="22" spans="1:77" ht="22.5" customHeight="1">
      <c r="A22" s="159" t="s">
        <v>27</v>
      </c>
      <c r="B22" s="539" t="s">
        <v>28</v>
      </c>
      <c r="C22" s="539"/>
      <c r="D22" s="539"/>
      <c r="E22" s="539"/>
      <c r="F22" s="539"/>
      <c r="G22" s="540"/>
      <c r="H22" s="98" t="s">
        <v>27</v>
      </c>
      <c r="I22" s="536" t="s">
        <v>28</v>
      </c>
      <c r="J22" s="537"/>
      <c r="K22" s="537"/>
      <c r="L22" s="537"/>
      <c r="M22" s="537"/>
      <c r="N22" s="541"/>
      <c r="O22" s="160"/>
      <c r="P22" s="536" t="s">
        <v>28</v>
      </c>
      <c r="Q22" s="537"/>
      <c r="R22" s="537"/>
      <c r="S22" s="537"/>
      <c r="T22" s="537"/>
      <c r="U22" s="541"/>
      <c r="V22" s="160"/>
      <c r="W22" s="536" t="s">
        <v>28</v>
      </c>
      <c r="X22" s="537"/>
      <c r="Y22" s="537"/>
      <c r="Z22" s="537"/>
      <c r="AA22" s="537"/>
      <c r="AB22" s="541"/>
      <c r="AC22" s="160"/>
      <c r="AD22" s="536" t="s">
        <v>28</v>
      </c>
      <c r="AE22" s="537"/>
      <c r="AF22" s="537"/>
      <c r="AG22" s="537"/>
      <c r="AH22" s="537"/>
      <c r="AI22" s="541"/>
      <c r="AJ22" s="181"/>
      <c r="AK22" s="536" t="s">
        <v>28</v>
      </c>
      <c r="AL22" s="537"/>
      <c r="AM22" s="537"/>
      <c r="AN22" s="537"/>
      <c r="AO22" s="537"/>
      <c r="AP22" s="538"/>
      <c r="AQ22" s="181"/>
      <c r="AR22" s="536" t="s">
        <v>28</v>
      </c>
      <c r="AS22" s="537"/>
      <c r="AT22" s="537"/>
      <c r="AU22" s="537"/>
      <c r="AV22" s="537"/>
      <c r="AW22" s="538"/>
      <c r="AX22" s="181"/>
      <c r="AY22" s="536" t="s">
        <v>28</v>
      </c>
      <c r="AZ22" s="537"/>
      <c r="BA22" s="537"/>
      <c r="BB22" s="537"/>
      <c r="BC22" s="537"/>
      <c r="BD22" s="538"/>
      <c r="BE22" s="181"/>
      <c r="BF22" s="536" t="s">
        <v>28</v>
      </c>
      <c r="BG22" s="537"/>
      <c r="BH22" s="537"/>
      <c r="BI22" s="537"/>
      <c r="BJ22" s="537"/>
      <c r="BK22" s="538"/>
      <c r="BL22" s="181"/>
      <c r="BM22" s="536" t="s">
        <v>28</v>
      </c>
      <c r="BN22" s="537"/>
      <c r="BO22" s="537"/>
      <c r="BP22" s="537"/>
      <c r="BQ22" s="537"/>
      <c r="BR22" s="538"/>
      <c r="BS22" s="181"/>
      <c r="BT22" s="536" t="s">
        <v>28</v>
      </c>
      <c r="BU22" s="537"/>
      <c r="BV22" s="537"/>
      <c r="BW22" s="537"/>
      <c r="BX22" s="537"/>
      <c r="BY22" s="538"/>
    </row>
    <row r="23" spans="1:77" ht="22.5" customHeight="1">
      <c r="A23" s="146" t="s">
        <v>84</v>
      </c>
      <c r="B23" s="152"/>
      <c r="C23" s="82"/>
      <c r="D23" s="82"/>
      <c r="E23" s="82"/>
      <c r="F23" s="79"/>
      <c r="G23" s="66">
        <f>SUM(B23:F23)</f>
        <v>0</v>
      </c>
      <c r="H23" s="95" t="s">
        <v>85</v>
      </c>
      <c r="I23" s="82"/>
      <c r="J23" s="82"/>
      <c r="K23" s="82"/>
      <c r="L23" s="69"/>
      <c r="M23" s="79"/>
      <c r="N23" s="66">
        <f>SUM(I23:M23)</f>
        <v>0</v>
      </c>
      <c r="O23" s="95" t="s">
        <v>86</v>
      </c>
      <c r="P23" s="82"/>
      <c r="Q23" s="82"/>
      <c r="R23" s="82"/>
      <c r="S23" s="82"/>
      <c r="T23" s="79"/>
      <c r="U23" s="66">
        <f>SUM(P23:T23)</f>
        <v>0</v>
      </c>
      <c r="V23" s="95" t="s">
        <v>87</v>
      </c>
      <c r="W23" s="82">
        <v>2</v>
      </c>
      <c r="X23" s="82"/>
      <c r="Y23" s="82"/>
      <c r="Z23" s="82"/>
      <c r="AA23" s="79"/>
      <c r="AB23" s="66">
        <f>SUM(W23:AA23)</f>
        <v>2</v>
      </c>
      <c r="AC23" s="95" t="s">
        <v>147</v>
      </c>
      <c r="AD23" s="82"/>
      <c r="AE23" s="82"/>
      <c r="AF23" s="82"/>
      <c r="AG23" s="82"/>
      <c r="AH23" s="79"/>
      <c r="AI23" s="165">
        <f>SUM(AD23:AH23)</f>
        <v>0</v>
      </c>
      <c r="AJ23" s="182" t="s">
        <v>89</v>
      </c>
      <c r="AK23" s="152"/>
      <c r="AL23" s="82"/>
      <c r="AM23" s="82"/>
      <c r="AN23" s="82"/>
      <c r="AO23" s="79"/>
      <c r="AP23" s="96">
        <f>SUM(AK23:AO23)</f>
        <v>0</v>
      </c>
      <c r="AQ23" s="182" t="s">
        <v>90</v>
      </c>
      <c r="AR23" s="152"/>
      <c r="AS23" s="82"/>
      <c r="AT23" s="82"/>
      <c r="AU23" s="82"/>
      <c r="AV23" s="79"/>
      <c r="AW23" s="96">
        <f>SUM(AR23:AV23)</f>
        <v>0</v>
      </c>
      <c r="AX23" s="182" t="s">
        <v>91</v>
      </c>
      <c r="AY23" s="152"/>
      <c r="AZ23" s="82"/>
      <c r="BA23" s="82"/>
      <c r="BB23" s="82"/>
      <c r="BC23" s="79"/>
      <c r="BD23" s="96">
        <f>SUM(AY23:BC23)</f>
        <v>0</v>
      </c>
      <c r="BE23" s="182" t="s">
        <v>92</v>
      </c>
      <c r="BF23" s="152"/>
      <c r="BG23" s="82"/>
      <c r="BH23" s="82"/>
      <c r="BI23" s="82"/>
      <c r="BJ23" s="79"/>
      <c r="BK23" s="96">
        <f>SUM(BF23:BJ23)</f>
        <v>0</v>
      </c>
      <c r="BL23" s="182" t="s">
        <v>93</v>
      </c>
      <c r="BM23" s="152"/>
      <c r="BN23" s="82"/>
      <c r="BO23" s="82"/>
      <c r="BP23" s="82"/>
      <c r="BQ23" s="79"/>
      <c r="BR23" s="96">
        <f>SUM(BM23:BQ23)</f>
        <v>0</v>
      </c>
      <c r="BS23" s="182" t="s">
        <v>94</v>
      </c>
      <c r="BT23" s="152"/>
      <c r="BU23" s="82"/>
      <c r="BV23" s="82"/>
      <c r="BW23" s="82"/>
      <c r="BX23" s="79"/>
      <c r="BY23" s="96">
        <f>SUM(BT23:BX23)</f>
        <v>0</v>
      </c>
    </row>
    <row r="24" spans="1:77" ht="22.5" customHeight="1">
      <c r="A24" s="147" t="s">
        <v>95</v>
      </c>
      <c r="B24" s="153"/>
      <c r="C24" s="69"/>
      <c r="D24" s="69"/>
      <c r="E24" s="69"/>
      <c r="F24" s="65"/>
      <c r="G24" s="66">
        <f t="shared" ref="G24:G31" si="19">SUM(B24:F24)</f>
        <v>0</v>
      </c>
      <c r="H24" s="95" t="s">
        <v>96</v>
      </c>
      <c r="I24" s="69">
        <v>4</v>
      </c>
      <c r="J24" s="69"/>
      <c r="K24" s="69"/>
      <c r="L24" s="69"/>
      <c r="M24" s="65"/>
      <c r="N24" s="66">
        <f t="shared" ref="N24:N31" si="20">SUM(I24:M24)</f>
        <v>4</v>
      </c>
      <c r="O24" s="95" t="s">
        <v>97</v>
      </c>
      <c r="P24" s="69"/>
      <c r="Q24" s="69"/>
      <c r="R24" s="69"/>
      <c r="S24" s="69"/>
      <c r="T24" s="65"/>
      <c r="U24" s="66">
        <f t="shared" ref="U24:U31" si="21">SUM(P24:T24)</f>
        <v>0</v>
      </c>
      <c r="V24" s="95" t="s">
        <v>98</v>
      </c>
      <c r="W24" s="69">
        <v>1</v>
      </c>
      <c r="X24" s="69"/>
      <c r="Y24" s="69"/>
      <c r="Z24" s="69"/>
      <c r="AA24" s="65"/>
      <c r="AB24" s="66">
        <f t="shared" ref="AB24:AB30" si="22">SUM(W24:AA24)</f>
        <v>1</v>
      </c>
      <c r="AC24" s="95" t="s">
        <v>148</v>
      </c>
      <c r="AD24" s="69"/>
      <c r="AE24" s="69"/>
      <c r="AF24" s="69"/>
      <c r="AG24" s="69"/>
      <c r="AH24" s="65"/>
      <c r="AI24" s="165">
        <f t="shared" ref="AI24:AI31" si="23">SUM(AD24:AH24)</f>
        <v>0</v>
      </c>
      <c r="AJ24" s="182" t="s">
        <v>100</v>
      </c>
      <c r="AK24" s="153"/>
      <c r="AL24" s="69"/>
      <c r="AM24" s="69"/>
      <c r="AN24" s="69"/>
      <c r="AO24" s="65"/>
      <c r="AP24" s="96">
        <f t="shared" ref="AP24:AP31" si="24">SUM(AK24:AO24)</f>
        <v>0</v>
      </c>
      <c r="AQ24" s="182" t="s">
        <v>101</v>
      </c>
      <c r="AR24" s="153"/>
      <c r="AS24" s="69"/>
      <c r="AT24" s="69"/>
      <c r="AU24" s="69"/>
      <c r="AV24" s="65"/>
      <c r="AW24" s="96">
        <f t="shared" ref="AW24:AW27" si="25">SUM(AR24:AV24)</f>
        <v>0</v>
      </c>
      <c r="AX24" s="182" t="s">
        <v>102</v>
      </c>
      <c r="AY24" s="153"/>
      <c r="AZ24" s="69"/>
      <c r="BA24" s="69"/>
      <c r="BB24" s="69"/>
      <c r="BC24" s="65"/>
      <c r="BD24" s="96">
        <f t="shared" ref="BD24:BD27" si="26">SUM(AY24:BC24)</f>
        <v>0</v>
      </c>
      <c r="BE24" s="182" t="s">
        <v>103</v>
      </c>
      <c r="BF24" s="153"/>
      <c r="BG24" s="69"/>
      <c r="BH24" s="69"/>
      <c r="BI24" s="69"/>
      <c r="BJ24" s="65"/>
      <c r="BK24" s="96">
        <f t="shared" ref="BK24:BK27" si="27">SUM(BF24:BJ24)</f>
        <v>0</v>
      </c>
      <c r="BL24" s="182" t="s">
        <v>104</v>
      </c>
      <c r="BM24" s="153"/>
      <c r="BN24" s="69"/>
      <c r="BO24" s="69">
        <v>2</v>
      </c>
      <c r="BP24" s="69"/>
      <c r="BQ24" s="65"/>
      <c r="BR24" s="96">
        <f t="shared" ref="BR24:BR27" si="28">SUM(BM24:BQ24)</f>
        <v>2</v>
      </c>
      <c r="BS24" s="182" t="s">
        <v>105</v>
      </c>
      <c r="BT24" s="153"/>
      <c r="BU24" s="69"/>
      <c r="BV24" s="69"/>
      <c r="BW24" s="69"/>
      <c r="BX24" s="65"/>
      <c r="BY24" s="96">
        <f t="shared" ref="BY24:BY27" si="29">SUM(BT24:BX24)</f>
        <v>0</v>
      </c>
    </row>
    <row r="25" spans="1:77" ht="22.5" customHeight="1">
      <c r="A25" s="147" t="s">
        <v>106</v>
      </c>
      <c r="B25" s="153"/>
      <c r="C25" s="69"/>
      <c r="D25" s="69"/>
      <c r="E25" s="69"/>
      <c r="F25" s="65">
        <v>1</v>
      </c>
      <c r="G25" s="66">
        <f t="shared" si="19"/>
        <v>1</v>
      </c>
      <c r="H25" s="95" t="s">
        <v>107</v>
      </c>
      <c r="I25" s="69"/>
      <c r="J25" s="69"/>
      <c r="K25" s="69"/>
      <c r="L25" s="69"/>
      <c r="M25" s="65"/>
      <c r="N25" s="66">
        <f t="shared" si="20"/>
        <v>0</v>
      </c>
      <c r="O25" s="95" t="s">
        <v>108</v>
      </c>
      <c r="P25" s="69">
        <v>1</v>
      </c>
      <c r="Q25" s="69"/>
      <c r="R25" s="69"/>
      <c r="S25" s="69"/>
      <c r="T25" s="65"/>
      <c r="U25" s="66">
        <f t="shared" si="21"/>
        <v>1</v>
      </c>
      <c r="V25" s="95" t="s">
        <v>109</v>
      </c>
      <c r="W25" s="69"/>
      <c r="X25" s="69"/>
      <c r="Y25" s="69"/>
      <c r="Z25" s="69"/>
      <c r="AA25" s="65"/>
      <c r="AB25" s="66">
        <f t="shared" si="22"/>
        <v>0</v>
      </c>
      <c r="AC25" s="95" t="s">
        <v>149</v>
      </c>
      <c r="AD25" s="69">
        <v>2</v>
      </c>
      <c r="AE25" s="69"/>
      <c r="AF25" s="69"/>
      <c r="AG25" s="69"/>
      <c r="AH25" s="65"/>
      <c r="AI25" s="165">
        <f t="shared" si="23"/>
        <v>2</v>
      </c>
      <c r="AJ25" s="182" t="s">
        <v>111</v>
      </c>
      <c r="AK25" s="153"/>
      <c r="AL25" s="69"/>
      <c r="AM25" s="69"/>
      <c r="AN25" s="69"/>
      <c r="AO25" s="65"/>
      <c r="AP25" s="96">
        <f t="shared" si="24"/>
        <v>0</v>
      </c>
      <c r="AQ25" s="182" t="s">
        <v>112</v>
      </c>
      <c r="AR25" s="153"/>
      <c r="AS25" s="69"/>
      <c r="AT25" s="69"/>
      <c r="AU25" s="69"/>
      <c r="AV25" s="65"/>
      <c r="AW25" s="96">
        <f t="shared" si="25"/>
        <v>0</v>
      </c>
      <c r="AX25" s="182" t="s">
        <v>150</v>
      </c>
      <c r="AY25" s="153"/>
      <c r="AZ25" s="69"/>
      <c r="BA25" s="69"/>
      <c r="BB25" s="69"/>
      <c r="BC25" s="65"/>
      <c r="BD25" s="96">
        <f t="shared" si="26"/>
        <v>0</v>
      </c>
      <c r="BE25" s="182" t="s">
        <v>114</v>
      </c>
      <c r="BF25" s="153"/>
      <c r="BG25" s="69"/>
      <c r="BH25" s="69"/>
      <c r="BI25" s="69"/>
      <c r="BJ25" s="65"/>
      <c r="BK25" s="96">
        <f t="shared" si="27"/>
        <v>0</v>
      </c>
      <c r="BL25" s="182" t="s">
        <v>115</v>
      </c>
      <c r="BM25" s="153"/>
      <c r="BN25" s="69"/>
      <c r="BO25" s="69"/>
      <c r="BP25" s="69"/>
      <c r="BQ25" s="65"/>
      <c r="BR25" s="96">
        <f t="shared" si="28"/>
        <v>0</v>
      </c>
      <c r="BS25" s="182" t="s">
        <v>116</v>
      </c>
      <c r="BT25" s="153"/>
      <c r="BU25" s="69"/>
      <c r="BV25" s="69"/>
      <c r="BW25" s="69"/>
      <c r="BX25" s="65"/>
      <c r="BY25" s="96">
        <f t="shared" si="29"/>
        <v>0</v>
      </c>
    </row>
    <row r="26" spans="1:77" ht="22.5" customHeight="1">
      <c r="A26" s="147"/>
      <c r="B26" s="153"/>
      <c r="C26" s="69"/>
      <c r="D26" s="69"/>
      <c r="E26" s="69"/>
      <c r="F26" s="65"/>
      <c r="G26" s="66">
        <f t="shared" si="19"/>
        <v>0</v>
      </c>
      <c r="H26" s="95" t="s">
        <v>117</v>
      </c>
      <c r="I26" s="69">
        <v>1</v>
      </c>
      <c r="J26" s="69"/>
      <c r="K26" s="69"/>
      <c r="L26" s="69"/>
      <c r="M26" s="65"/>
      <c r="N26" s="66">
        <f t="shared" si="20"/>
        <v>1</v>
      </c>
      <c r="O26" s="95"/>
      <c r="P26" s="69"/>
      <c r="Q26" s="69"/>
      <c r="R26" s="69"/>
      <c r="S26" s="69"/>
      <c r="T26" s="65"/>
      <c r="U26" s="66">
        <f t="shared" si="21"/>
        <v>0</v>
      </c>
      <c r="V26" s="95"/>
      <c r="W26" s="69"/>
      <c r="X26" s="69"/>
      <c r="Y26" s="69"/>
      <c r="Z26" s="69"/>
      <c r="AA26" s="65"/>
      <c r="AB26" s="66">
        <f t="shared" si="22"/>
        <v>0</v>
      </c>
      <c r="AC26" s="95" t="s">
        <v>151</v>
      </c>
      <c r="AD26" s="69"/>
      <c r="AE26" s="69"/>
      <c r="AF26" s="69"/>
      <c r="AG26" s="69"/>
      <c r="AH26" s="65"/>
      <c r="AI26" s="165">
        <f t="shared" si="23"/>
        <v>0</v>
      </c>
      <c r="AJ26" s="182" t="s">
        <v>120</v>
      </c>
      <c r="AK26" s="153"/>
      <c r="AL26" s="69"/>
      <c r="AM26" s="69"/>
      <c r="AN26" s="69"/>
      <c r="AO26" s="65"/>
      <c r="AP26" s="96">
        <f t="shared" si="24"/>
        <v>0</v>
      </c>
      <c r="AQ26" s="182" t="s">
        <v>121</v>
      </c>
      <c r="AR26" s="153">
        <v>1</v>
      </c>
      <c r="AS26" s="69"/>
      <c r="AT26" s="69"/>
      <c r="AU26" s="69"/>
      <c r="AV26" s="65"/>
      <c r="AW26" s="96">
        <f t="shared" si="25"/>
        <v>1</v>
      </c>
      <c r="AX26" s="182" t="s">
        <v>122</v>
      </c>
      <c r="AY26" s="153"/>
      <c r="AZ26" s="69"/>
      <c r="BA26" s="69"/>
      <c r="BB26" s="69"/>
      <c r="BC26" s="65"/>
      <c r="BD26" s="96">
        <f t="shared" si="26"/>
        <v>0</v>
      </c>
      <c r="BE26" s="182" t="s">
        <v>123</v>
      </c>
      <c r="BF26" s="153"/>
      <c r="BG26" s="69"/>
      <c r="BH26" s="69"/>
      <c r="BI26" s="69"/>
      <c r="BJ26" s="65"/>
      <c r="BK26" s="96">
        <f t="shared" si="27"/>
        <v>0</v>
      </c>
      <c r="BL26" s="182" t="s">
        <v>152</v>
      </c>
      <c r="BM26" s="153"/>
      <c r="BN26" s="69"/>
      <c r="BO26" s="69"/>
      <c r="BP26" s="69"/>
      <c r="BQ26" s="65"/>
      <c r="BR26" s="96">
        <f t="shared" si="28"/>
        <v>0</v>
      </c>
      <c r="BS26" s="182"/>
      <c r="BT26" s="153"/>
      <c r="BU26" s="69"/>
      <c r="BV26" s="69"/>
      <c r="BW26" s="69"/>
      <c r="BX26" s="65"/>
      <c r="BY26" s="96">
        <f t="shared" si="29"/>
        <v>0</v>
      </c>
    </row>
    <row r="27" spans="1:77" ht="22.5" customHeight="1">
      <c r="A27" s="147"/>
      <c r="B27" s="153"/>
      <c r="C27" s="69"/>
      <c r="D27" s="69"/>
      <c r="E27" s="69"/>
      <c r="F27" s="65"/>
      <c r="G27" s="66">
        <f>SUM(B27:F27)</f>
        <v>0</v>
      </c>
      <c r="H27" s="95"/>
      <c r="I27" s="69"/>
      <c r="J27" s="69"/>
      <c r="K27" s="69"/>
      <c r="L27" s="69"/>
      <c r="M27" s="65"/>
      <c r="N27" s="66">
        <f t="shared" si="20"/>
        <v>0</v>
      </c>
      <c r="O27" s="165"/>
      <c r="P27" s="69"/>
      <c r="Q27" s="69"/>
      <c r="R27" s="69"/>
      <c r="S27" s="69"/>
      <c r="T27" s="65"/>
      <c r="U27" s="66">
        <f t="shared" si="21"/>
        <v>0</v>
      </c>
      <c r="V27" s="95"/>
      <c r="W27" s="69"/>
      <c r="X27" s="69"/>
      <c r="Y27" s="69"/>
      <c r="Z27" s="69"/>
      <c r="AA27" s="65"/>
      <c r="AB27" s="66">
        <f t="shared" si="22"/>
        <v>0</v>
      </c>
      <c r="AC27" s="95" t="s">
        <v>153</v>
      </c>
      <c r="AD27" s="69"/>
      <c r="AE27" s="69"/>
      <c r="AF27" s="69"/>
      <c r="AG27" s="69"/>
      <c r="AH27" s="65"/>
      <c r="AI27" s="165">
        <f t="shared" si="23"/>
        <v>0</v>
      </c>
      <c r="AJ27" s="182"/>
      <c r="AK27" s="153"/>
      <c r="AL27" s="69"/>
      <c r="AM27" s="69"/>
      <c r="AN27" s="69"/>
      <c r="AO27" s="65"/>
      <c r="AP27" s="96">
        <f t="shared" si="24"/>
        <v>0</v>
      </c>
      <c r="AQ27" s="182" t="s">
        <v>126</v>
      </c>
      <c r="AR27" s="153"/>
      <c r="AS27" s="69"/>
      <c r="AT27" s="69"/>
      <c r="AU27" s="69"/>
      <c r="AV27" s="65"/>
      <c r="AW27" s="96">
        <f t="shared" si="25"/>
        <v>0</v>
      </c>
      <c r="AX27" s="182" t="s">
        <v>132</v>
      </c>
      <c r="AY27" s="153"/>
      <c r="AZ27" s="69"/>
      <c r="BA27" s="69"/>
      <c r="BB27" s="69"/>
      <c r="BC27" s="65"/>
      <c r="BD27" s="96">
        <f t="shared" si="26"/>
        <v>0</v>
      </c>
      <c r="BE27" s="182" t="s">
        <v>128</v>
      </c>
      <c r="BF27" s="153">
        <v>1</v>
      </c>
      <c r="BG27" s="69"/>
      <c r="BH27" s="69"/>
      <c r="BI27" s="69"/>
      <c r="BJ27" s="65"/>
      <c r="BK27" s="96">
        <f t="shared" si="27"/>
        <v>1</v>
      </c>
      <c r="BL27" s="182" t="s">
        <v>129</v>
      </c>
      <c r="BM27" s="153"/>
      <c r="BN27" s="69"/>
      <c r="BO27" s="69"/>
      <c r="BP27" s="69"/>
      <c r="BQ27" s="65"/>
      <c r="BR27" s="96">
        <f t="shared" si="28"/>
        <v>0</v>
      </c>
      <c r="BS27" s="182"/>
      <c r="BT27" s="153"/>
      <c r="BU27" s="69"/>
      <c r="BV27" s="69"/>
      <c r="BW27" s="69"/>
      <c r="BX27" s="65"/>
      <c r="BY27" s="96">
        <f t="shared" si="29"/>
        <v>0</v>
      </c>
    </row>
    <row r="28" spans="1:77" ht="22.5" customHeight="1">
      <c r="A28" s="147"/>
      <c r="B28" s="153"/>
      <c r="C28" s="69"/>
      <c r="D28" s="69"/>
      <c r="E28" s="69"/>
      <c r="F28" s="65"/>
      <c r="G28" s="66">
        <f t="shared" ref="G28:G29" si="30">SUM(B28:F28)</f>
        <v>0</v>
      </c>
      <c r="H28" s="95"/>
      <c r="I28" s="69"/>
      <c r="J28" s="69"/>
      <c r="K28" s="69"/>
      <c r="L28" s="69"/>
      <c r="M28" s="65"/>
      <c r="N28" s="66"/>
      <c r="O28" s="165"/>
      <c r="P28" s="69"/>
      <c r="Q28" s="69"/>
      <c r="R28" s="69"/>
      <c r="S28" s="69"/>
      <c r="T28" s="65"/>
      <c r="U28" s="66">
        <v>0</v>
      </c>
      <c r="V28" s="95"/>
      <c r="W28" s="69"/>
      <c r="X28" s="69"/>
      <c r="Y28" s="69"/>
      <c r="Z28" s="69"/>
      <c r="AA28" s="65"/>
      <c r="AB28" s="66">
        <f t="shared" si="22"/>
        <v>0</v>
      </c>
      <c r="AC28" s="95"/>
      <c r="AD28" s="69"/>
      <c r="AE28" s="69"/>
      <c r="AF28" s="69"/>
      <c r="AG28" s="69"/>
      <c r="AH28" s="65"/>
      <c r="AI28" s="165"/>
      <c r="AJ28" s="182"/>
      <c r="AK28" s="153"/>
      <c r="AL28" s="69"/>
      <c r="AM28" s="69"/>
      <c r="AN28" s="69"/>
      <c r="AO28" s="65"/>
      <c r="AP28" s="96"/>
      <c r="AQ28" s="182" t="s">
        <v>131</v>
      </c>
      <c r="AR28" s="153"/>
      <c r="AS28" s="69"/>
      <c r="AT28" s="69"/>
      <c r="AU28" s="69"/>
      <c r="AV28" s="65"/>
      <c r="AW28" s="96"/>
      <c r="AX28" s="182"/>
      <c r="AY28" s="153"/>
      <c r="AZ28" s="69"/>
      <c r="BA28" s="69"/>
      <c r="BB28" s="69"/>
      <c r="BC28" s="65"/>
      <c r="BD28" s="96"/>
      <c r="BE28" s="182" t="s">
        <v>137</v>
      </c>
      <c r="BF28" s="153"/>
      <c r="BG28" s="69"/>
      <c r="BH28" s="69"/>
      <c r="BI28" s="69"/>
      <c r="BJ28" s="65"/>
      <c r="BK28" s="96"/>
      <c r="BL28" s="182" t="s">
        <v>134</v>
      </c>
      <c r="BM28" s="153"/>
      <c r="BN28" s="69"/>
      <c r="BO28" s="69"/>
      <c r="BP28" s="69"/>
      <c r="BQ28" s="65"/>
      <c r="BR28" s="96"/>
      <c r="BS28" s="182"/>
      <c r="BT28" s="153"/>
      <c r="BU28" s="69"/>
      <c r="BV28" s="69"/>
      <c r="BW28" s="69"/>
      <c r="BX28" s="65"/>
      <c r="BY28" s="96"/>
    </row>
    <row r="29" spans="1:77" ht="22.5" customHeight="1">
      <c r="A29" s="147"/>
      <c r="B29" s="153"/>
      <c r="C29" s="69"/>
      <c r="D29" s="69"/>
      <c r="E29" s="69"/>
      <c r="F29" s="65"/>
      <c r="G29" s="66">
        <f t="shared" si="30"/>
        <v>0</v>
      </c>
      <c r="H29" s="95"/>
      <c r="I29" s="69"/>
      <c r="J29" s="69"/>
      <c r="K29" s="69"/>
      <c r="L29" s="69"/>
      <c r="M29" s="65"/>
      <c r="N29" s="66"/>
      <c r="O29" s="165"/>
      <c r="P29" s="69"/>
      <c r="Q29" s="69"/>
      <c r="R29" s="69"/>
      <c r="S29" s="69"/>
      <c r="T29" s="65"/>
      <c r="U29" s="66">
        <v>0</v>
      </c>
      <c r="V29" s="95"/>
      <c r="W29" s="69"/>
      <c r="X29" s="69"/>
      <c r="Y29" s="69"/>
      <c r="Z29" s="69"/>
      <c r="AA29" s="65"/>
      <c r="AB29" s="66">
        <f t="shared" si="22"/>
        <v>0</v>
      </c>
      <c r="AC29" s="95"/>
      <c r="AD29" s="69"/>
      <c r="AE29" s="69"/>
      <c r="AF29" s="69"/>
      <c r="AG29" s="69"/>
      <c r="AH29" s="65"/>
      <c r="AI29" s="165"/>
      <c r="AJ29" s="182"/>
      <c r="AK29" s="153"/>
      <c r="AL29" s="69"/>
      <c r="AM29" s="69"/>
      <c r="AN29" s="69"/>
      <c r="AO29" s="65"/>
      <c r="AP29" s="96"/>
      <c r="AQ29" s="182" t="s">
        <v>135</v>
      </c>
      <c r="AR29" s="153"/>
      <c r="AS29" s="69"/>
      <c r="AT29" s="69"/>
      <c r="AU29" s="69"/>
      <c r="AV29" s="65"/>
      <c r="AW29" s="96"/>
      <c r="AX29" s="182"/>
      <c r="AY29" s="153"/>
      <c r="AZ29" s="69"/>
      <c r="BA29" s="69"/>
      <c r="BB29" s="69"/>
      <c r="BC29" s="65"/>
      <c r="BD29" s="96"/>
      <c r="BE29" s="182" t="s">
        <v>140</v>
      </c>
      <c r="BF29" s="153"/>
      <c r="BG29" s="69"/>
      <c r="BH29" s="69"/>
      <c r="BI29" s="69"/>
      <c r="BJ29" s="65"/>
      <c r="BK29" s="96"/>
      <c r="BL29" s="182" t="s">
        <v>138</v>
      </c>
      <c r="BM29" s="153"/>
      <c r="BN29" s="69"/>
      <c r="BO29" s="69"/>
      <c r="BP29" s="69"/>
      <c r="BQ29" s="65"/>
      <c r="BR29" s="96"/>
      <c r="BS29" s="182"/>
      <c r="BT29" s="153"/>
      <c r="BU29" s="69"/>
      <c r="BV29" s="69"/>
      <c r="BW29" s="69"/>
      <c r="BX29" s="65"/>
      <c r="BY29" s="96"/>
    </row>
    <row r="30" spans="1:77" ht="22.5" customHeight="1">
      <c r="A30" s="147"/>
      <c r="B30" s="153"/>
      <c r="C30" s="69"/>
      <c r="D30" s="69"/>
      <c r="E30" s="69"/>
      <c r="F30" s="65"/>
      <c r="G30" s="66">
        <f t="shared" si="19"/>
        <v>0</v>
      </c>
      <c r="H30" s="95"/>
      <c r="I30" s="69"/>
      <c r="J30" s="69"/>
      <c r="K30" s="69"/>
      <c r="L30" s="69"/>
      <c r="M30" s="65"/>
      <c r="N30" s="66">
        <f t="shared" si="20"/>
        <v>0</v>
      </c>
      <c r="O30" s="165"/>
      <c r="P30" s="69"/>
      <c r="Q30" s="69"/>
      <c r="R30" s="69"/>
      <c r="S30" s="69"/>
      <c r="T30" s="65"/>
      <c r="U30" s="66">
        <f t="shared" si="21"/>
        <v>0</v>
      </c>
      <c r="V30" s="95"/>
      <c r="W30" s="69"/>
      <c r="X30" s="69"/>
      <c r="Y30" s="69"/>
      <c r="Z30" s="69"/>
      <c r="AA30" s="65"/>
      <c r="AB30" s="66">
        <f t="shared" si="22"/>
        <v>0</v>
      </c>
      <c r="AC30" s="95"/>
      <c r="AD30" s="69"/>
      <c r="AE30" s="69"/>
      <c r="AF30" s="69"/>
      <c r="AG30" s="69"/>
      <c r="AH30" s="65"/>
      <c r="AI30" s="165">
        <f t="shared" si="23"/>
        <v>0</v>
      </c>
      <c r="AJ30" s="182"/>
      <c r="AK30" s="153"/>
      <c r="AL30" s="69"/>
      <c r="AM30" s="69"/>
      <c r="AN30" s="69"/>
      <c r="AO30" s="65"/>
      <c r="AP30" s="96">
        <f t="shared" si="24"/>
        <v>0</v>
      </c>
      <c r="AQ30" s="182" t="s">
        <v>139</v>
      </c>
      <c r="AR30" s="153"/>
      <c r="AS30" s="69"/>
      <c r="AT30" s="69"/>
      <c r="AU30" s="69"/>
      <c r="AV30" s="65"/>
      <c r="AW30" s="96">
        <f t="shared" ref="AW30:AW31" si="31">SUM(AR30:AV30)</f>
        <v>0</v>
      </c>
      <c r="AX30" s="182"/>
      <c r="AY30" s="153"/>
      <c r="AZ30" s="69"/>
      <c r="BA30" s="69"/>
      <c r="BB30" s="69"/>
      <c r="BC30" s="65"/>
      <c r="BD30" s="96">
        <f t="shared" ref="BD30:BD31" si="32">SUM(AY30:BC30)</f>
        <v>0</v>
      </c>
      <c r="BE30" s="182" t="s">
        <v>141</v>
      </c>
      <c r="BF30" s="153"/>
      <c r="BG30" s="69"/>
      <c r="BH30" s="69"/>
      <c r="BI30" s="69"/>
      <c r="BJ30" s="65"/>
      <c r="BK30" s="96">
        <f t="shared" ref="BK30:BK31" si="33">SUM(BF30:BJ30)</f>
        <v>0</v>
      </c>
      <c r="BL30" s="182"/>
      <c r="BM30" s="153"/>
      <c r="BN30" s="69"/>
      <c r="BO30" s="69"/>
      <c r="BP30" s="69"/>
      <c r="BQ30" s="65"/>
      <c r="BR30" s="96">
        <f t="shared" ref="BR30:BR31" si="34">SUM(BM30:BQ30)</f>
        <v>0</v>
      </c>
      <c r="BS30" s="182"/>
      <c r="BT30" s="153"/>
      <c r="BU30" s="69"/>
      <c r="BV30" s="69"/>
      <c r="BW30" s="69"/>
      <c r="BX30" s="65"/>
      <c r="BY30" s="96">
        <f t="shared" ref="BY30:BY31" si="35">SUM(BT30:BX30)</f>
        <v>0</v>
      </c>
    </row>
    <row r="31" spans="1:77" ht="22.5" customHeight="1">
      <c r="A31" s="147"/>
      <c r="B31" s="153"/>
      <c r="C31" s="69"/>
      <c r="D31" s="69"/>
      <c r="E31" s="69"/>
      <c r="F31" s="65"/>
      <c r="G31" s="66">
        <f t="shared" si="19"/>
        <v>0</v>
      </c>
      <c r="H31" s="95"/>
      <c r="I31" s="69"/>
      <c r="J31" s="69"/>
      <c r="K31" s="69"/>
      <c r="L31" s="69"/>
      <c r="M31" s="65"/>
      <c r="N31" s="66">
        <f t="shared" si="20"/>
        <v>0</v>
      </c>
      <c r="O31" s="165"/>
      <c r="P31" s="69"/>
      <c r="Q31" s="69"/>
      <c r="R31" s="69"/>
      <c r="S31" s="69"/>
      <c r="T31" s="65"/>
      <c r="U31" s="66">
        <f t="shared" si="21"/>
        <v>0</v>
      </c>
      <c r="V31" s="165"/>
      <c r="W31" s="69"/>
      <c r="X31" s="69"/>
      <c r="Y31" s="69"/>
      <c r="Z31" s="69"/>
      <c r="AA31" s="65"/>
      <c r="AB31" s="66"/>
      <c r="AC31" s="165"/>
      <c r="AD31" s="69"/>
      <c r="AE31" s="69"/>
      <c r="AF31" s="69"/>
      <c r="AG31" s="69"/>
      <c r="AH31" s="65"/>
      <c r="AI31" s="165">
        <f t="shared" si="23"/>
        <v>0</v>
      </c>
      <c r="AJ31" s="182"/>
      <c r="AK31" s="153"/>
      <c r="AL31" s="69"/>
      <c r="AM31" s="69"/>
      <c r="AN31" s="69"/>
      <c r="AO31" s="65"/>
      <c r="AP31" s="96">
        <f t="shared" si="24"/>
        <v>0</v>
      </c>
      <c r="AQ31" s="182"/>
      <c r="AR31" s="153"/>
      <c r="AS31" s="69"/>
      <c r="AT31" s="69"/>
      <c r="AU31" s="69"/>
      <c r="AV31" s="65"/>
      <c r="AW31" s="96">
        <f t="shared" si="31"/>
        <v>0</v>
      </c>
      <c r="AX31" s="182"/>
      <c r="AY31" s="153"/>
      <c r="AZ31" s="69"/>
      <c r="BA31" s="69"/>
      <c r="BB31" s="69"/>
      <c r="BC31" s="65"/>
      <c r="BD31" s="96">
        <f t="shared" si="32"/>
        <v>0</v>
      </c>
      <c r="BE31" s="182" t="s">
        <v>142</v>
      </c>
      <c r="BF31" s="153"/>
      <c r="BG31" s="69"/>
      <c r="BH31" s="69"/>
      <c r="BI31" s="69"/>
      <c r="BJ31" s="65"/>
      <c r="BK31" s="96">
        <f t="shared" si="33"/>
        <v>0</v>
      </c>
      <c r="BL31" s="182"/>
      <c r="BM31" s="153"/>
      <c r="BN31" s="69"/>
      <c r="BO31" s="69"/>
      <c r="BP31" s="69"/>
      <c r="BQ31" s="65"/>
      <c r="BR31" s="96">
        <f t="shared" si="34"/>
        <v>0</v>
      </c>
      <c r="BS31" s="182"/>
      <c r="BT31" s="153"/>
      <c r="BU31" s="69"/>
      <c r="BV31" s="69"/>
      <c r="BW31" s="69"/>
      <c r="BX31" s="65"/>
      <c r="BY31" s="96">
        <f t="shared" si="35"/>
        <v>0</v>
      </c>
    </row>
    <row r="32" spans="1:77" ht="22.5" customHeight="1">
      <c r="A32" s="147"/>
      <c r="B32" s="238"/>
      <c r="C32" s="239"/>
      <c r="D32" s="239"/>
      <c r="E32" s="239"/>
      <c r="F32" s="80"/>
      <c r="G32" s="66"/>
      <c r="H32" s="95"/>
      <c r="I32" s="239"/>
      <c r="J32" s="239"/>
      <c r="K32" s="239"/>
      <c r="L32" s="239"/>
      <c r="M32" s="80"/>
      <c r="N32" s="66"/>
      <c r="O32" s="165"/>
      <c r="P32" s="239"/>
      <c r="Q32" s="239"/>
      <c r="R32" s="239"/>
      <c r="S32" s="239"/>
      <c r="T32" s="80"/>
      <c r="U32" s="66"/>
      <c r="V32" s="165"/>
      <c r="W32" s="239"/>
      <c r="X32" s="239"/>
      <c r="Y32" s="239"/>
      <c r="Z32" s="239"/>
      <c r="AA32" s="80"/>
      <c r="AB32" s="66"/>
      <c r="AC32" s="165"/>
      <c r="AD32" s="239"/>
      <c r="AE32" s="239"/>
      <c r="AF32" s="239"/>
      <c r="AG32" s="239"/>
      <c r="AH32" s="80"/>
      <c r="AI32" s="165"/>
      <c r="AJ32" s="182"/>
      <c r="AK32" s="238"/>
      <c r="AL32" s="239"/>
      <c r="AM32" s="239"/>
      <c r="AN32" s="239"/>
      <c r="AO32" s="80"/>
      <c r="AP32" s="165"/>
      <c r="AQ32" s="182"/>
      <c r="AR32" s="238"/>
      <c r="AS32" s="239"/>
      <c r="AT32" s="239"/>
      <c r="AU32" s="239"/>
      <c r="AV32" s="80"/>
      <c r="AW32" s="165"/>
      <c r="AX32" s="182"/>
      <c r="AY32" s="238"/>
      <c r="AZ32" s="239"/>
      <c r="BA32" s="239"/>
      <c r="BB32" s="239"/>
      <c r="BC32" s="80"/>
      <c r="BD32" s="165"/>
      <c r="BE32" s="182" t="s">
        <v>143</v>
      </c>
      <c r="BF32" s="238"/>
      <c r="BG32" s="239"/>
      <c r="BH32" s="239"/>
      <c r="BI32" s="239"/>
      <c r="BJ32" s="80"/>
      <c r="BK32" s="165"/>
      <c r="BL32" s="182"/>
      <c r="BM32" s="238"/>
      <c r="BN32" s="239"/>
      <c r="BO32" s="239"/>
      <c r="BP32" s="239"/>
      <c r="BQ32" s="80"/>
      <c r="BR32" s="165"/>
      <c r="BS32" s="182"/>
      <c r="BT32" s="238"/>
      <c r="BU32" s="239"/>
      <c r="BV32" s="239"/>
      <c r="BW32" s="239"/>
      <c r="BX32" s="80"/>
      <c r="BY32" s="165"/>
    </row>
    <row r="33" spans="1:77" ht="22.5" customHeight="1">
      <c r="A33" s="147"/>
      <c r="B33" s="238"/>
      <c r="C33" s="239"/>
      <c r="D33" s="239"/>
      <c r="E33" s="239"/>
      <c r="F33" s="80"/>
      <c r="G33" s="66"/>
      <c r="H33" s="95"/>
      <c r="I33" s="239"/>
      <c r="J33" s="239"/>
      <c r="K33" s="239"/>
      <c r="L33" s="239"/>
      <c r="M33" s="80"/>
      <c r="N33" s="66"/>
      <c r="O33" s="165"/>
      <c r="P33" s="239"/>
      <c r="Q33" s="239"/>
      <c r="R33" s="239"/>
      <c r="S33" s="239"/>
      <c r="T33" s="80"/>
      <c r="U33" s="66"/>
      <c r="V33" s="165"/>
      <c r="W33" s="239"/>
      <c r="X33" s="239"/>
      <c r="Y33" s="239"/>
      <c r="Z33" s="239"/>
      <c r="AA33" s="80"/>
      <c r="AB33" s="66"/>
      <c r="AC33" s="165"/>
      <c r="AD33" s="239"/>
      <c r="AE33" s="239"/>
      <c r="AF33" s="239"/>
      <c r="AG33" s="239"/>
      <c r="AH33" s="80"/>
      <c r="AI33" s="165"/>
      <c r="AJ33" s="182"/>
      <c r="AK33" s="238"/>
      <c r="AL33" s="239"/>
      <c r="AM33" s="239"/>
      <c r="AN33" s="239"/>
      <c r="AO33" s="80"/>
      <c r="AP33" s="165"/>
      <c r="AQ33" s="182"/>
      <c r="AR33" s="238"/>
      <c r="AS33" s="239"/>
      <c r="AT33" s="239"/>
      <c r="AU33" s="239"/>
      <c r="AV33" s="80"/>
      <c r="AW33" s="165"/>
      <c r="AX33" s="182"/>
      <c r="AY33" s="238"/>
      <c r="AZ33" s="239"/>
      <c r="BA33" s="239"/>
      <c r="BB33" s="239"/>
      <c r="BC33" s="80"/>
      <c r="BD33" s="165"/>
      <c r="BE33" s="182" t="s">
        <v>144</v>
      </c>
      <c r="BF33" s="238">
        <v>1</v>
      </c>
      <c r="BG33" s="239"/>
      <c r="BH33" s="239"/>
      <c r="BI33" s="239"/>
      <c r="BJ33" s="80"/>
      <c r="BK33" s="165"/>
      <c r="BL33" s="182"/>
      <c r="BM33" s="238"/>
      <c r="BN33" s="239"/>
      <c r="BO33" s="239"/>
      <c r="BP33" s="239"/>
      <c r="BQ33" s="80"/>
      <c r="BR33" s="165"/>
      <c r="BS33" s="182"/>
      <c r="BT33" s="238"/>
      <c r="BU33" s="239"/>
      <c r="BV33" s="239"/>
      <c r="BW33" s="239"/>
      <c r="BX33" s="80"/>
      <c r="BY33" s="165"/>
    </row>
    <row r="34" spans="1:77" ht="22.5" customHeight="1">
      <c r="A34" s="147"/>
      <c r="B34" s="238"/>
      <c r="C34" s="239"/>
      <c r="D34" s="239"/>
      <c r="E34" s="239"/>
      <c r="F34" s="80"/>
      <c r="G34" s="66"/>
      <c r="H34" s="95"/>
      <c r="I34" s="239"/>
      <c r="J34" s="239"/>
      <c r="K34" s="239"/>
      <c r="L34" s="239"/>
      <c r="M34" s="80"/>
      <c r="N34" s="66"/>
      <c r="O34" s="165"/>
      <c r="P34" s="239"/>
      <c r="Q34" s="239"/>
      <c r="R34" s="239"/>
      <c r="S34" s="239"/>
      <c r="T34" s="80"/>
      <c r="U34" s="66"/>
      <c r="V34" s="165"/>
      <c r="W34" s="239"/>
      <c r="X34" s="239"/>
      <c r="Y34" s="239"/>
      <c r="Z34" s="239"/>
      <c r="AA34" s="80"/>
      <c r="AB34" s="66"/>
      <c r="AC34" s="165"/>
      <c r="AD34" s="239"/>
      <c r="AE34" s="239"/>
      <c r="AF34" s="239"/>
      <c r="AG34" s="239"/>
      <c r="AH34" s="80"/>
      <c r="AI34" s="165"/>
      <c r="AJ34" s="182"/>
      <c r="AK34" s="238"/>
      <c r="AL34" s="239"/>
      <c r="AM34" s="239"/>
      <c r="AN34" s="239"/>
      <c r="AO34" s="80"/>
      <c r="AP34" s="165"/>
      <c r="AQ34" s="182"/>
      <c r="AR34" s="238"/>
      <c r="AS34" s="239"/>
      <c r="AT34" s="239"/>
      <c r="AU34" s="239"/>
      <c r="AV34" s="80"/>
      <c r="AW34" s="165"/>
      <c r="AX34" s="182"/>
      <c r="AY34" s="238"/>
      <c r="AZ34" s="239"/>
      <c r="BA34" s="239"/>
      <c r="BB34" s="239"/>
      <c r="BC34" s="80"/>
      <c r="BD34" s="165"/>
      <c r="BE34" s="182" t="s">
        <v>145</v>
      </c>
      <c r="BF34" s="238"/>
      <c r="BG34" s="239"/>
      <c r="BH34" s="239"/>
      <c r="BI34" s="239"/>
      <c r="BJ34" s="80"/>
      <c r="BK34" s="165"/>
      <c r="BL34" s="182"/>
      <c r="BM34" s="238"/>
      <c r="BN34" s="239"/>
      <c r="BO34" s="239"/>
      <c r="BP34" s="239"/>
      <c r="BQ34" s="80"/>
      <c r="BR34" s="165"/>
      <c r="BS34" s="182"/>
      <c r="BT34" s="238"/>
      <c r="BU34" s="239"/>
      <c r="BV34" s="239"/>
      <c r="BW34" s="239"/>
      <c r="BX34" s="80"/>
      <c r="BY34" s="165"/>
    </row>
    <row r="35" spans="1:77" ht="22.5" customHeight="1">
      <c r="A35" s="147"/>
      <c r="B35" s="238"/>
      <c r="C35" s="239"/>
      <c r="D35" s="239"/>
      <c r="E35" s="239"/>
      <c r="F35" s="80"/>
      <c r="G35" s="66"/>
      <c r="H35" s="95"/>
      <c r="I35" s="239"/>
      <c r="J35" s="239"/>
      <c r="K35" s="239"/>
      <c r="L35" s="239"/>
      <c r="M35" s="80"/>
      <c r="N35" s="66"/>
      <c r="O35" s="165"/>
      <c r="P35" s="239"/>
      <c r="Q35" s="239"/>
      <c r="R35" s="239"/>
      <c r="S35" s="239"/>
      <c r="T35" s="80"/>
      <c r="U35" s="66"/>
      <c r="V35" s="165"/>
      <c r="W35" s="239"/>
      <c r="X35" s="239"/>
      <c r="Y35" s="239"/>
      <c r="Z35" s="239"/>
      <c r="AA35" s="80"/>
      <c r="AB35" s="66"/>
      <c r="AC35" s="165"/>
      <c r="AD35" s="239"/>
      <c r="AE35" s="239"/>
      <c r="AF35" s="239"/>
      <c r="AG35" s="239"/>
      <c r="AH35" s="80"/>
      <c r="AI35" s="165"/>
      <c r="AJ35" s="182"/>
      <c r="AK35" s="238"/>
      <c r="AL35" s="239"/>
      <c r="AM35" s="239"/>
      <c r="AN35" s="239"/>
      <c r="AO35" s="80"/>
      <c r="AP35" s="165"/>
      <c r="AQ35" s="182"/>
      <c r="AR35" s="238"/>
      <c r="AS35" s="239"/>
      <c r="AT35" s="239"/>
      <c r="AU35" s="239"/>
      <c r="AV35" s="80"/>
      <c r="AW35" s="165"/>
      <c r="AX35" s="182"/>
      <c r="AY35" s="238"/>
      <c r="AZ35" s="239"/>
      <c r="BA35" s="239"/>
      <c r="BB35" s="239"/>
      <c r="BC35" s="80"/>
      <c r="BD35" s="165"/>
      <c r="BE35" s="182" t="s">
        <v>146</v>
      </c>
      <c r="BF35" s="238"/>
      <c r="BG35" s="239"/>
      <c r="BH35" s="239"/>
      <c r="BI35" s="239"/>
      <c r="BJ35" s="80"/>
      <c r="BK35" s="165"/>
      <c r="BL35" s="182"/>
      <c r="BM35" s="238"/>
      <c r="BN35" s="239"/>
      <c r="BO35" s="239"/>
      <c r="BP35" s="239"/>
      <c r="BQ35" s="80"/>
      <c r="BR35" s="165"/>
      <c r="BS35" s="182"/>
      <c r="BT35" s="238"/>
      <c r="BU35" s="239"/>
      <c r="BV35" s="239"/>
      <c r="BW35" s="239"/>
      <c r="BX35" s="80"/>
      <c r="BY35" s="165"/>
    </row>
    <row r="36" spans="1:77" ht="22.5" customHeight="1">
      <c r="A36" s="148" t="s">
        <v>12</v>
      </c>
      <c r="B36" s="154" t="e">
        <f>AVERAGE(B23:B31)</f>
        <v>#DIV/0!</v>
      </c>
      <c r="C36" s="67" t="e">
        <f t="shared" ref="C36:E36" si="36">AVERAGE(C23:C31)</f>
        <v>#DIV/0!</v>
      </c>
      <c r="D36" s="67" t="e">
        <f t="shared" si="36"/>
        <v>#DIV/0!</v>
      </c>
      <c r="E36" s="67" t="e">
        <f t="shared" si="36"/>
        <v>#DIV/0!</v>
      </c>
      <c r="F36" s="67">
        <f>AVERAGE(F23:F31)</f>
        <v>1</v>
      </c>
      <c r="G36" s="66">
        <f>SUM(G23:G31)</f>
        <v>1</v>
      </c>
      <c r="H36" s="99" t="s">
        <v>12</v>
      </c>
      <c r="I36" s="67">
        <f>AVERAGE(I23:I31)</f>
        <v>2.5</v>
      </c>
      <c r="J36" s="67" t="e">
        <f t="shared" ref="J36:M36" si="37">AVERAGE(J23:J31)</f>
        <v>#DIV/0!</v>
      </c>
      <c r="K36" s="67" t="e">
        <f>AVERAGE(K23:K31)</f>
        <v>#DIV/0!</v>
      </c>
      <c r="L36" s="67" t="e">
        <f>AVERAGE(L23:L31)</f>
        <v>#DIV/0!</v>
      </c>
      <c r="M36" s="67" t="e">
        <f t="shared" si="37"/>
        <v>#DIV/0!</v>
      </c>
      <c r="N36" s="223">
        <f>SUM(N23:N31)</f>
        <v>5</v>
      </c>
      <c r="O36" s="162"/>
      <c r="P36" s="67">
        <f>AVERAGE(P23:P31)</f>
        <v>1</v>
      </c>
      <c r="Q36" s="67" t="e">
        <f t="shared" ref="Q36:T36" si="38">AVERAGE(Q23:Q31)</f>
        <v>#DIV/0!</v>
      </c>
      <c r="R36" s="67" t="e">
        <f t="shared" si="38"/>
        <v>#DIV/0!</v>
      </c>
      <c r="S36" s="67" t="e">
        <f t="shared" si="38"/>
        <v>#DIV/0!</v>
      </c>
      <c r="T36" s="67" t="e">
        <f t="shared" si="38"/>
        <v>#DIV/0!</v>
      </c>
      <c r="U36" s="66">
        <f>SUM(U23:U31)</f>
        <v>1</v>
      </c>
      <c r="V36" s="162"/>
      <c r="W36" s="67">
        <f>AVERAGE(W23:W31)</f>
        <v>1.5</v>
      </c>
      <c r="X36" s="67" t="e">
        <f t="shared" ref="X36:AA36" si="39">AVERAGE(X23:X31)</f>
        <v>#DIV/0!</v>
      </c>
      <c r="Y36" s="67" t="e">
        <f t="shared" si="39"/>
        <v>#DIV/0!</v>
      </c>
      <c r="Z36" s="67" t="e">
        <f t="shared" si="39"/>
        <v>#DIV/0!</v>
      </c>
      <c r="AA36" s="67" t="e">
        <f t="shared" si="39"/>
        <v>#DIV/0!</v>
      </c>
      <c r="AB36" s="66">
        <f>(AB37*100)/'INDICADORES GERAL'!$D$22</f>
        <v>5</v>
      </c>
      <c r="AC36" s="165"/>
      <c r="AD36" s="67">
        <f>AVERAGE(AD23:AD31)</f>
        <v>2</v>
      </c>
      <c r="AE36" s="67" t="e">
        <f t="shared" ref="AE36:AH36" si="40">AVERAGE(AE23:AE31)</f>
        <v>#DIV/0!</v>
      </c>
      <c r="AF36" s="67">
        <f>SUM(AF23:AF31)</f>
        <v>0</v>
      </c>
      <c r="AG36" s="67" t="e">
        <f t="shared" si="40"/>
        <v>#DIV/0!</v>
      </c>
      <c r="AH36" s="67" t="e">
        <f t="shared" si="40"/>
        <v>#DIV/0!</v>
      </c>
      <c r="AI36" s="165">
        <f>(AI37*100)/'INDICADORES GERAL'!$D$22</f>
        <v>3.3333333333333335</v>
      </c>
      <c r="AJ36" s="184"/>
      <c r="AK36" s="154" t="e">
        <f>AVERAGE(AK23:AK31)</f>
        <v>#DIV/0!</v>
      </c>
      <c r="AL36" s="67" t="e">
        <f t="shared" ref="AL36:AO36" si="41">AVERAGE(AL23:AL31)</f>
        <v>#DIV/0!</v>
      </c>
      <c r="AM36" s="67" t="e">
        <f t="shared" si="41"/>
        <v>#DIV/0!</v>
      </c>
      <c r="AN36" s="67" t="e">
        <f t="shared" si="41"/>
        <v>#DIV/0!</v>
      </c>
      <c r="AO36" s="67" t="e">
        <f t="shared" si="41"/>
        <v>#DIV/0!</v>
      </c>
      <c r="AP36" s="174">
        <f>AP37/'INDICADORES GERAL'!$D$22</f>
        <v>0</v>
      </c>
      <c r="AQ36" s="184"/>
      <c r="AR36" s="154">
        <f>AVERAGE(AR23:AR31)</f>
        <v>1</v>
      </c>
      <c r="AS36" s="67" t="e">
        <f t="shared" ref="AS36:AV36" si="42">AVERAGE(AS23:AS31)</f>
        <v>#DIV/0!</v>
      </c>
      <c r="AT36" s="67" t="e">
        <f t="shared" si="42"/>
        <v>#DIV/0!</v>
      </c>
      <c r="AU36" s="67" t="e">
        <f t="shared" si="42"/>
        <v>#DIV/0!</v>
      </c>
      <c r="AV36" s="67" t="e">
        <f t="shared" si="42"/>
        <v>#DIV/0!</v>
      </c>
      <c r="AW36" s="174">
        <f>AW37/'INDICADORES GERAL'!$D$22</f>
        <v>1.6666666666666666E-2</v>
      </c>
      <c r="AX36" s="184"/>
      <c r="AY36" s="154" t="e">
        <f>AVERAGE(AY23:AY31)</f>
        <v>#DIV/0!</v>
      </c>
      <c r="AZ36" s="67" t="e">
        <f t="shared" ref="AZ36:BC36" si="43">AVERAGE(AZ23:AZ31)</f>
        <v>#DIV/0!</v>
      </c>
      <c r="BA36" s="67" t="e">
        <f t="shared" si="43"/>
        <v>#DIV/0!</v>
      </c>
      <c r="BB36" s="67" t="e">
        <f t="shared" si="43"/>
        <v>#DIV/0!</v>
      </c>
      <c r="BC36" s="67" t="e">
        <f t="shared" si="43"/>
        <v>#DIV/0!</v>
      </c>
      <c r="BD36" s="174">
        <f>BD37/'INDICADORES GERAL'!$D$22</f>
        <v>0</v>
      </c>
      <c r="BE36" s="184"/>
      <c r="BF36" s="154">
        <f>AVERAGE(BF23:BF31)</f>
        <v>1</v>
      </c>
      <c r="BG36" s="67" t="e">
        <f t="shared" ref="BG36:BJ36" si="44">AVERAGE(BG23:BG31)</f>
        <v>#DIV/0!</v>
      </c>
      <c r="BH36" s="67" t="e">
        <f t="shared" si="44"/>
        <v>#DIV/0!</v>
      </c>
      <c r="BI36" s="67" t="e">
        <f t="shared" si="44"/>
        <v>#DIV/0!</v>
      </c>
      <c r="BJ36" s="67" t="e">
        <f t="shared" si="44"/>
        <v>#DIV/0!</v>
      </c>
      <c r="BK36" s="174">
        <f>BK37/'INDICADORES GERAL'!$D$22</f>
        <v>1.6666666666666666E-2</v>
      </c>
      <c r="BL36" s="184"/>
      <c r="BM36" s="154" t="e">
        <f>AVERAGE(BM23:BM31)</f>
        <v>#DIV/0!</v>
      </c>
      <c r="BN36" s="67" t="e">
        <f t="shared" ref="BN36:BQ36" si="45">AVERAGE(BN23:BN31)</f>
        <v>#DIV/0!</v>
      </c>
      <c r="BO36" s="67">
        <f t="shared" si="45"/>
        <v>2</v>
      </c>
      <c r="BP36" s="67" t="e">
        <f t="shared" si="45"/>
        <v>#DIV/0!</v>
      </c>
      <c r="BQ36" s="67" t="e">
        <f t="shared" si="45"/>
        <v>#DIV/0!</v>
      </c>
      <c r="BR36" s="174">
        <f>BR37/'INDICADORES GERAL'!$D$22</f>
        <v>3.3333333333333333E-2</v>
      </c>
      <c r="BS36" s="184"/>
      <c r="BT36" s="154" t="e">
        <f>AVERAGE(BT23:BT31)</f>
        <v>#DIV/0!</v>
      </c>
      <c r="BU36" s="67" t="e">
        <f t="shared" ref="BU36:BX36" si="46">AVERAGE(BU23:BU31)</f>
        <v>#DIV/0!</v>
      </c>
      <c r="BV36" s="67" t="e">
        <f t="shared" si="46"/>
        <v>#DIV/0!</v>
      </c>
      <c r="BW36" s="67" t="e">
        <f t="shared" si="46"/>
        <v>#DIV/0!</v>
      </c>
      <c r="BX36" s="67" t="e">
        <f t="shared" si="46"/>
        <v>#DIV/0!</v>
      </c>
      <c r="BY36" s="174">
        <f>BY37/'INDICADORES GERAL'!$D$22</f>
        <v>0</v>
      </c>
    </row>
    <row r="37" spans="1:77" ht="22.5" customHeight="1">
      <c r="A37" s="95"/>
      <c r="B37" s="70"/>
      <c r="C37" s="70"/>
      <c r="D37" s="70"/>
      <c r="E37" s="70"/>
      <c r="F37" s="70"/>
      <c r="G37" s="68">
        <f>SUM(G23:G31)</f>
        <v>1</v>
      </c>
      <c r="H37" s="99"/>
      <c r="I37" s="173"/>
      <c r="J37" s="173"/>
      <c r="K37" s="173"/>
      <c r="L37" s="173"/>
      <c r="M37" s="173"/>
      <c r="N37" s="68">
        <f>SUM(N23:N31)</f>
        <v>5</v>
      </c>
      <c r="O37" s="173"/>
      <c r="P37" s="173"/>
      <c r="Q37" s="173"/>
      <c r="R37" s="173"/>
      <c r="S37" s="173"/>
      <c r="T37" s="173"/>
      <c r="U37" s="68">
        <f>SUM(U23:U31)</f>
        <v>1</v>
      </c>
      <c r="V37" s="173"/>
      <c r="W37" s="173"/>
      <c r="X37" s="173"/>
      <c r="Y37" s="173"/>
      <c r="Z37" s="173"/>
      <c r="AA37" s="173"/>
      <c r="AB37" s="68">
        <f>SUM(AB23:AB31)</f>
        <v>3</v>
      </c>
      <c r="AC37" s="173"/>
      <c r="AD37" s="173"/>
      <c r="AE37" s="173"/>
      <c r="AF37" s="173"/>
      <c r="AG37" s="173"/>
      <c r="AH37" s="173"/>
      <c r="AI37" s="68">
        <f>SUM(AI23:AI31)</f>
        <v>2</v>
      </c>
      <c r="AJ37" s="173"/>
      <c r="AK37" s="173"/>
      <c r="AL37" s="173"/>
      <c r="AM37" s="173"/>
      <c r="AN37" s="173"/>
      <c r="AO37" s="173"/>
      <c r="AP37" s="68">
        <f>SUM(AP23:AP31)</f>
        <v>0</v>
      </c>
      <c r="AQ37" s="173"/>
      <c r="AR37" s="173"/>
      <c r="AS37" s="173"/>
      <c r="AT37" s="173"/>
      <c r="AU37" s="173"/>
      <c r="AV37" s="173"/>
      <c r="AW37" s="68">
        <f>SUM(AW23:AW31)</f>
        <v>1</v>
      </c>
      <c r="AX37" s="173"/>
      <c r="AY37" s="173"/>
      <c r="AZ37" s="173"/>
      <c r="BA37" s="173"/>
      <c r="BB37" s="173"/>
      <c r="BC37" s="173"/>
      <c r="BD37" s="68">
        <f>SUM(BD23:BD31)</f>
        <v>0</v>
      </c>
      <c r="BE37" s="173"/>
      <c r="BF37" s="173"/>
      <c r="BG37" s="173"/>
      <c r="BH37" s="173"/>
      <c r="BI37" s="173"/>
      <c r="BJ37" s="173"/>
      <c r="BK37" s="68">
        <f>SUM(BK23:BK31)</f>
        <v>1</v>
      </c>
      <c r="BL37" s="173"/>
      <c r="BM37" s="173"/>
      <c r="BN37" s="173"/>
      <c r="BO37" s="173"/>
      <c r="BP37" s="173"/>
      <c r="BQ37" s="173"/>
      <c r="BR37" s="68">
        <f>SUM(BR23:BR31)</f>
        <v>2</v>
      </c>
      <c r="BS37" s="173"/>
      <c r="BT37" s="173"/>
      <c r="BU37" s="173"/>
      <c r="BV37" s="173"/>
      <c r="BW37" s="173"/>
      <c r="BX37" s="173"/>
      <c r="BY37" s="68">
        <f>SUM(BY23:BY31)</f>
        <v>0</v>
      </c>
    </row>
    <row r="38" spans="1:77" ht="22.5" customHeight="1">
      <c r="A38" s="155" t="s">
        <v>27</v>
      </c>
      <c r="B38" s="542" t="s">
        <v>30</v>
      </c>
      <c r="C38" s="543"/>
      <c r="D38" s="543"/>
      <c r="E38" s="543"/>
      <c r="F38" s="543"/>
      <c r="G38" s="544"/>
      <c r="H38" s="101" t="s">
        <v>27</v>
      </c>
      <c r="I38" s="536" t="s">
        <v>30</v>
      </c>
      <c r="J38" s="537"/>
      <c r="K38" s="537"/>
      <c r="L38" s="537"/>
      <c r="M38" s="537"/>
      <c r="N38" s="541"/>
      <c r="O38" s="160"/>
      <c r="P38" s="536" t="s">
        <v>30</v>
      </c>
      <c r="Q38" s="537"/>
      <c r="R38" s="537"/>
      <c r="S38" s="537"/>
      <c r="T38" s="537"/>
      <c r="U38" s="541"/>
      <c r="V38" s="160"/>
      <c r="W38" s="536" t="s">
        <v>30</v>
      </c>
      <c r="X38" s="537"/>
      <c r="Y38" s="537"/>
      <c r="Z38" s="537"/>
      <c r="AA38" s="537"/>
      <c r="AB38" s="541"/>
      <c r="AC38" s="160"/>
      <c r="AD38" s="536" t="s">
        <v>30</v>
      </c>
      <c r="AE38" s="537"/>
      <c r="AF38" s="537"/>
      <c r="AG38" s="537"/>
      <c r="AH38" s="537"/>
      <c r="AI38" s="541"/>
      <c r="AJ38" s="181"/>
      <c r="AK38" s="536" t="s">
        <v>30</v>
      </c>
      <c r="AL38" s="537"/>
      <c r="AM38" s="537"/>
      <c r="AN38" s="537"/>
      <c r="AO38" s="537"/>
      <c r="AP38" s="538"/>
      <c r="AQ38" s="181"/>
      <c r="AR38" s="536" t="s">
        <v>30</v>
      </c>
      <c r="AS38" s="537"/>
      <c r="AT38" s="537"/>
      <c r="AU38" s="537"/>
      <c r="AV38" s="537"/>
      <c r="AW38" s="538"/>
      <c r="AX38" s="181"/>
      <c r="AY38" s="536" t="s">
        <v>30</v>
      </c>
      <c r="AZ38" s="537"/>
      <c r="BA38" s="537"/>
      <c r="BB38" s="537"/>
      <c r="BC38" s="537"/>
      <c r="BD38" s="538"/>
      <c r="BE38" s="181"/>
      <c r="BF38" s="536" t="s">
        <v>30</v>
      </c>
      <c r="BG38" s="537"/>
      <c r="BH38" s="537"/>
      <c r="BI38" s="537"/>
      <c r="BJ38" s="537"/>
      <c r="BK38" s="538"/>
      <c r="BL38" s="181"/>
      <c r="BM38" s="536" t="s">
        <v>30</v>
      </c>
      <c r="BN38" s="537"/>
      <c r="BO38" s="537"/>
      <c r="BP38" s="537"/>
      <c r="BQ38" s="537"/>
      <c r="BR38" s="538"/>
      <c r="BS38" s="181"/>
      <c r="BT38" s="536" t="s">
        <v>30</v>
      </c>
      <c r="BU38" s="537"/>
      <c r="BV38" s="537"/>
      <c r="BW38" s="537"/>
      <c r="BX38" s="537"/>
      <c r="BY38" s="538"/>
    </row>
    <row r="39" spans="1:77" ht="22.5" customHeight="1">
      <c r="A39" s="146" t="s">
        <v>84</v>
      </c>
      <c r="B39" s="149">
        <v>32</v>
      </c>
      <c r="C39" s="138"/>
      <c r="D39" s="138"/>
      <c r="E39" s="138"/>
      <c r="F39" s="139">
        <v>29</v>
      </c>
      <c r="G39" s="140">
        <v>32</v>
      </c>
      <c r="H39" s="95" t="s">
        <v>85</v>
      </c>
      <c r="I39" s="82">
        <v>45</v>
      </c>
      <c r="J39" s="82"/>
      <c r="K39" s="82"/>
      <c r="L39" s="82"/>
      <c r="M39" s="79"/>
      <c r="N39" s="66">
        <f>SUM(I39:M39)</f>
        <v>45</v>
      </c>
      <c r="O39" s="95" t="s">
        <v>86</v>
      </c>
      <c r="P39" s="82">
        <v>16</v>
      </c>
      <c r="Q39" s="82"/>
      <c r="R39" s="82"/>
      <c r="S39" s="82"/>
      <c r="T39" s="79"/>
      <c r="U39" s="66">
        <f>SUM(P39:T39)</f>
        <v>16</v>
      </c>
      <c r="V39" s="95" t="s">
        <v>87</v>
      </c>
      <c r="W39" s="82">
        <v>40</v>
      </c>
      <c r="X39" s="82"/>
      <c r="Y39" s="82"/>
      <c r="Z39" s="82"/>
      <c r="AA39" s="79"/>
      <c r="AB39" s="66">
        <f>SUM(W39:AA39)</f>
        <v>40</v>
      </c>
      <c r="AC39" s="95" t="s">
        <v>147</v>
      </c>
      <c r="AD39" s="69">
        <v>40</v>
      </c>
      <c r="AE39" s="82"/>
      <c r="AF39" s="82"/>
      <c r="AG39" s="82"/>
      <c r="AH39" s="79"/>
      <c r="AI39" s="165">
        <f t="shared" ref="AI39:AI41" si="47">SUM(AD39:AH39)</f>
        <v>40</v>
      </c>
      <c r="AJ39" s="182" t="s">
        <v>89</v>
      </c>
      <c r="AK39" s="69">
        <v>49</v>
      </c>
      <c r="AL39" s="69"/>
      <c r="AM39" s="82"/>
      <c r="AN39" s="82"/>
      <c r="AO39" s="79"/>
      <c r="AP39" s="96">
        <f>SUM(AK39:AO39)</f>
        <v>49</v>
      </c>
      <c r="AQ39" s="182" t="s">
        <v>90</v>
      </c>
      <c r="AR39" s="69">
        <v>16</v>
      </c>
      <c r="AS39" s="69"/>
      <c r="AT39" s="82"/>
      <c r="AU39" s="82"/>
      <c r="AV39" s="79"/>
      <c r="AW39" s="96">
        <f>SUM(AR39:AV39)</f>
        <v>16</v>
      </c>
      <c r="AX39" s="182" t="s">
        <v>91</v>
      </c>
      <c r="AY39" s="69">
        <v>11</v>
      </c>
      <c r="AZ39" s="69"/>
      <c r="BA39" s="82"/>
      <c r="BB39" s="82"/>
      <c r="BC39" s="79"/>
      <c r="BD39" s="96">
        <f>SUM(AY39:BC39)</f>
        <v>11</v>
      </c>
      <c r="BE39" s="182" t="s">
        <v>92</v>
      </c>
      <c r="BF39" s="69">
        <v>16</v>
      </c>
      <c r="BG39" s="69"/>
      <c r="BH39" s="82"/>
      <c r="BI39" s="82"/>
      <c r="BJ39" s="79"/>
      <c r="BK39" s="96">
        <f>SUM(BF39:BJ39)</f>
        <v>16</v>
      </c>
      <c r="BL39" s="182" t="s">
        <v>93</v>
      </c>
      <c r="BM39" s="69">
        <v>17</v>
      </c>
      <c r="BN39" s="69"/>
      <c r="BO39" s="82"/>
      <c r="BP39" s="82"/>
      <c r="BQ39" s="79"/>
      <c r="BR39" s="96">
        <f>SUM(BM39:BQ39)</f>
        <v>17</v>
      </c>
      <c r="BS39" s="182" t="s">
        <v>94</v>
      </c>
      <c r="BT39" s="69">
        <v>25</v>
      </c>
      <c r="BU39" s="69"/>
      <c r="BV39" s="82"/>
      <c r="BW39" s="82"/>
      <c r="BX39" s="79"/>
      <c r="BY39" s="96">
        <f>SUM(BT39:BX39)</f>
        <v>25</v>
      </c>
    </row>
    <row r="40" spans="1:77" ht="22.5" customHeight="1">
      <c r="A40" s="147" t="s">
        <v>95</v>
      </c>
      <c r="B40" s="150">
        <v>21</v>
      </c>
      <c r="C40" s="65"/>
      <c r="D40" s="65"/>
      <c r="E40" s="65"/>
      <c r="F40" s="136">
        <v>19</v>
      </c>
      <c r="G40" s="141">
        <f>B40-G24</f>
        <v>21</v>
      </c>
      <c r="H40" s="95" t="s">
        <v>96</v>
      </c>
      <c r="I40" s="69">
        <v>9</v>
      </c>
      <c r="J40" s="69"/>
      <c r="K40" s="69"/>
      <c r="L40" s="69"/>
      <c r="M40" s="65"/>
      <c r="N40" s="66">
        <f t="shared" ref="N40:N44" si="48">SUM(I40:M40)</f>
        <v>9</v>
      </c>
      <c r="O40" s="95" t="s">
        <v>97</v>
      </c>
      <c r="P40" s="69">
        <v>18</v>
      </c>
      <c r="Q40" s="69"/>
      <c r="R40" s="69"/>
      <c r="S40" s="69"/>
      <c r="T40" s="65"/>
      <c r="U40" s="66">
        <f t="shared" ref="U40:U44" si="49">SUM(P40:T40)</f>
        <v>18</v>
      </c>
      <c r="V40" s="95" t="s">
        <v>98</v>
      </c>
      <c r="W40" s="69">
        <v>40</v>
      </c>
      <c r="X40" s="69"/>
      <c r="Y40" s="69"/>
      <c r="Z40" s="69"/>
      <c r="AA40" s="65"/>
      <c r="AB40" s="66">
        <f t="shared" ref="AB40:AB46" si="50">SUM(W40:AA40)</f>
        <v>40</v>
      </c>
      <c r="AC40" s="95" t="s">
        <v>148</v>
      </c>
      <c r="AD40" s="69">
        <v>20</v>
      </c>
      <c r="AE40" s="69"/>
      <c r="AF40" s="69"/>
      <c r="AG40" s="69"/>
      <c r="AH40" s="65"/>
      <c r="AI40" s="165">
        <f t="shared" si="47"/>
        <v>20</v>
      </c>
      <c r="AJ40" s="182" t="s">
        <v>100</v>
      </c>
      <c r="AK40" s="69">
        <v>13</v>
      </c>
      <c r="AL40" s="69"/>
      <c r="AM40" s="69"/>
      <c r="AN40" s="69"/>
      <c r="AO40" s="65"/>
      <c r="AP40" s="96">
        <f t="shared" ref="AP40:AP46" si="51">SUM(AK40:AO40)</f>
        <v>13</v>
      </c>
      <c r="AQ40" s="182" t="s">
        <v>101</v>
      </c>
      <c r="AR40" s="69">
        <v>42</v>
      </c>
      <c r="AS40" s="69"/>
      <c r="AT40" s="69"/>
      <c r="AU40" s="69"/>
      <c r="AV40" s="65"/>
      <c r="AW40" s="96">
        <f t="shared" ref="AW40:AW46" si="52">SUM(AR40:AV40)</f>
        <v>42</v>
      </c>
      <c r="AX40" s="182" t="s">
        <v>102</v>
      </c>
      <c r="AY40" s="69"/>
      <c r="AZ40" s="69"/>
      <c r="BA40" s="69"/>
      <c r="BB40" s="69"/>
      <c r="BC40" s="65"/>
      <c r="BD40" s="96">
        <f t="shared" ref="BD40:BD46" si="53">SUM(AY40:BC40)</f>
        <v>0</v>
      </c>
      <c r="BE40" s="182" t="s">
        <v>103</v>
      </c>
      <c r="BF40" s="69">
        <v>17</v>
      </c>
      <c r="BG40" s="69"/>
      <c r="BH40" s="69"/>
      <c r="BI40" s="69"/>
      <c r="BJ40" s="65"/>
      <c r="BK40" s="96">
        <f t="shared" ref="BK40:BK51" si="54">SUM(BF40:BJ40)</f>
        <v>17</v>
      </c>
      <c r="BL40" s="182" t="s">
        <v>104</v>
      </c>
      <c r="BM40" s="69">
        <v>19</v>
      </c>
      <c r="BN40" s="69"/>
      <c r="BO40" s="69"/>
      <c r="BP40" s="69"/>
      <c r="BQ40" s="65"/>
      <c r="BR40" s="96">
        <f t="shared" ref="BR40:BR46" si="55">SUM(BM40:BQ40)</f>
        <v>19</v>
      </c>
      <c r="BS40" s="182" t="s">
        <v>105</v>
      </c>
      <c r="BT40" s="69">
        <v>53</v>
      </c>
      <c r="BU40" s="69"/>
      <c r="BV40" s="69"/>
      <c r="BW40" s="69"/>
      <c r="BX40" s="65"/>
      <c r="BY40" s="96">
        <f t="shared" ref="BY40:BY46" si="56">SUM(BT40:BX40)</f>
        <v>53</v>
      </c>
    </row>
    <row r="41" spans="1:77" ht="22.5" customHeight="1">
      <c r="A41" s="147" t="s">
        <v>106</v>
      </c>
      <c r="B41" s="150">
        <v>63</v>
      </c>
      <c r="C41" s="65"/>
      <c r="D41" s="65"/>
      <c r="E41" s="65"/>
      <c r="F41" s="136">
        <v>62</v>
      </c>
      <c r="G41" s="141">
        <v>62</v>
      </c>
      <c r="H41" s="95" t="s">
        <v>107</v>
      </c>
      <c r="I41" s="69">
        <v>23</v>
      </c>
      <c r="J41" s="69"/>
      <c r="K41" s="69"/>
      <c r="L41" s="69"/>
      <c r="M41" s="65"/>
      <c r="N41" s="66">
        <f t="shared" si="48"/>
        <v>23</v>
      </c>
      <c r="O41" s="95" t="s">
        <v>108</v>
      </c>
      <c r="P41" s="69">
        <v>63</v>
      </c>
      <c r="Q41" s="69"/>
      <c r="R41" s="69"/>
      <c r="S41" s="69"/>
      <c r="T41" s="65"/>
      <c r="U41" s="66">
        <f t="shared" si="49"/>
        <v>63</v>
      </c>
      <c r="V41" s="95" t="s">
        <v>109</v>
      </c>
      <c r="W41" s="69">
        <v>25</v>
      </c>
      <c r="X41" s="69"/>
      <c r="Y41" s="69"/>
      <c r="Z41" s="69"/>
      <c r="AA41" s="65"/>
      <c r="AB41" s="66">
        <f t="shared" si="50"/>
        <v>25</v>
      </c>
      <c r="AC41" s="95" t="s">
        <v>149</v>
      </c>
      <c r="AD41" s="69">
        <v>24</v>
      </c>
      <c r="AE41" s="69"/>
      <c r="AF41" s="69"/>
      <c r="AG41" s="69"/>
      <c r="AH41" s="65"/>
      <c r="AI41" s="165">
        <f t="shared" si="47"/>
        <v>24</v>
      </c>
      <c r="AJ41" s="226" t="s">
        <v>111</v>
      </c>
      <c r="AK41" s="69">
        <v>12</v>
      </c>
      <c r="AL41" s="69"/>
      <c r="AM41" s="69"/>
      <c r="AN41" s="69"/>
      <c r="AO41" s="65"/>
      <c r="AP41" s="96">
        <f t="shared" si="51"/>
        <v>12</v>
      </c>
      <c r="AQ41" s="182" t="s">
        <v>112</v>
      </c>
      <c r="AR41" s="69">
        <v>14</v>
      </c>
      <c r="AS41" s="69"/>
      <c r="AT41" s="69"/>
      <c r="AU41" s="69"/>
      <c r="AV41" s="65"/>
      <c r="AW41" s="96">
        <f t="shared" si="52"/>
        <v>14</v>
      </c>
      <c r="AX41" s="182" t="s">
        <v>154</v>
      </c>
      <c r="AY41" s="69">
        <v>42</v>
      </c>
      <c r="AZ41" s="69"/>
      <c r="BA41" s="69"/>
      <c r="BB41" s="69"/>
      <c r="BC41" s="65"/>
      <c r="BD41" s="96">
        <f t="shared" si="53"/>
        <v>42</v>
      </c>
      <c r="BE41" s="182" t="s">
        <v>114</v>
      </c>
      <c r="BF41" s="69">
        <v>20</v>
      </c>
      <c r="BG41" s="69"/>
      <c r="BH41" s="69"/>
      <c r="BI41" s="69"/>
      <c r="BJ41" s="65"/>
      <c r="BK41" s="96">
        <f t="shared" si="54"/>
        <v>20</v>
      </c>
      <c r="BL41" s="182" t="s">
        <v>115</v>
      </c>
      <c r="BM41" s="69">
        <v>31</v>
      </c>
      <c r="BN41" s="69"/>
      <c r="BO41" s="69"/>
      <c r="BP41" s="69"/>
      <c r="BQ41" s="65"/>
      <c r="BR41" s="96">
        <f t="shared" si="55"/>
        <v>31</v>
      </c>
      <c r="BS41" s="182" t="s">
        <v>116</v>
      </c>
      <c r="BT41" s="69">
        <v>23</v>
      </c>
      <c r="BU41" s="69"/>
      <c r="BV41" s="69"/>
      <c r="BW41" s="69"/>
      <c r="BX41" s="65"/>
      <c r="BY41" s="96">
        <f t="shared" si="56"/>
        <v>23</v>
      </c>
    </row>
    <row r="42" spans="1:77" ht="22.5" customHeight="1">
      <c r="A42" s="147"/>
      <c r="B42" s="150"/>
      <c r="C42" s="65"/>
      <c r="D42" s="65"/>
      <c r="E42" s="65"/>
      <c r="F42" s="136"/>
      <c r="G42" s="141">
        <v>6</v>
      </c>
      <c r="H42" s="137" t="s">
        <v>117</v>
      </c>
      <c r="I42" s="69">
        <v>19</v>
      </c>
      <c r="J42" s="69"/>
      <c r="K42" s="69"/>
      <c r="L42" s="69"/>
      <c r="M42" s="65"/>
      <c r="N42" s="66">
        <f t="shared" si="48"/>
        <v>19</v>
      </c>
      <c r="O42" s="95"/>
      <c r="P42" s="69"/>
      <c r="Q42" s="69"/>
      <c r="R42" s="69"/>
      <c r="S42" s="69"/>
      <c r="T42" s="65"/>
      <c r="U42" s="66">
        <f t="shared" si="49"/>
        <v>0</v>
      </c>
      <c r="V42" s="95"/>
      <c r="W42" s="69"/>
      <c r="X42" s="69"/>
      <c r="Y42" s="69"/>
      <c r="Z42" s="69"/>
      <c r="AA42" s="65"/>
      <c r="AB42" s="66">
        <f t="shared" si="50"/>
        <v>0</v>
      </c>
      <c r="AC42" s="95" t="s">
        <v>155</v>
      </c>
      <c r="AD42" s="69">
        <v>10</v>
      </c>
      <c r="AE42" s="69"/>
      <c r="AF42" s="69"/>
      <c r="AG42" s="69"/>
      <c r="AH42" s="65"/>
      <c r="AI42" s="165">
        <f t="shared" ref="AI42:AI46" si="57">SUM(AD42:AH42)</f>
        <v>10</v>
      </c>
      <c r="AJ42" s="182" t="s">
        <v>120</v>
      </c>
      <c r="AK42" s="69">
        <v>38</v>
      </c>
      <c r="AL42" s="69"/>
      <c r="AM42" s="69"/>
      <c r="AN42" s="69"/>
      <c r="AO42" s="65"/>
      <c r="AP42" s="96">
        <f t="shared" si="51"/>
        <v>38</v>
      </c>
      <c r="AQ42" s="182" t="s">
        <v>121</v>
      </c>
      <c r="AR42" s="69">
        <v>14</v>
      </c>
      <c r="AS42" s="69"/>
      <c r="AT42" s="69"/>
      <c r="AU42" s="69"/>
      <c r="AV42" s="65"/>
      <c r="AW42" s="96">
        <f t="shared" si="52"/>
        <v>14</v>
      </c>
      <c r="AX42" s="182" t="s">
        <v>122</v>
      </c>
      <c r="AY42" s="69">
        <v>23</v>
      </c>
      <c r="AZ42" s="69"/>
      <c r="BA42" s="69"/>
      <c r="BB42" s="69"/>
      <c r="BC42" s="65"/>
      <c r="BD42" s="96">
        <f t="shared" si="53"/>
        <v>23</v>
      </c>
      <c r="BE42" s="182" t="s">
        <v>123</v>
      </c>
      <c r="BF42" s="69">
        <v>19</v>
      </c>
      <c r="BG42" s="69"/>
      <c r="BH42" s="69"/>
      <c r="BI42" s="69"/>
      <c r="BJ42" s="65"/>
      <c r="BK42" s="96">
        <f t="shared" si="54"/>
        <v>19</v>
      </c>
      <c r="BL42" s="182" t="s">
        <v>152</v>
      </c>
      <c r="BM42" s="69">
        <v>23</v>
      </c>
      <c r="BN42" s="69"/>
      <c r="BO42" s="69"/>
      <c r="BP42" s="69"/>
      <c r="BQ42" s="65"/>
      <c r="BR42" s="96">
        <f t="shared" si="55"/>
        <v>23</v>
      </c>
      <c r="BS42" s="182"/>
      <c r="BT42" s="69"/>
      <c r="BU42" s="69"/>
      <c r="BV42" s="69"/>
      <c r="BW42" s="69"/>
      <c r="BX42" s="65"/>
      <c r="BY42" s="96">
        <f t="shared" si="56"/>
        <v>0</v>
      </c>
    </row>
    <row r="43" spans="1:77" ht="22.5" customHeight="1">
      <c r="A43" s="147"/>
      <c r="B43" s="150"/>
      <c r="C43" s="65"/>
      <c r="D43" s="65"/>
      <c r="E43" s="65"/>
      <c r="F43" s="136"/>
      <c r="G43" s="141">
        <f>B43-G27</f>
        <v>0</v>
      </c>
      <c r="H43" s="137" t="s">
        <v>149</v>
      </c>
      <c r="I43" s="69"/>
      <c r="J43" s="69"/>
      <c r="K43" s="69"/>
      <c r="L43" s="69"/>
      <c r="M43" s="65"/>
      <c r="N43" s="66">
        <f t="shared" si="48"/>
        <v>0</v>
      </c>
      <c r="O43" s="165"/>
      <c r="P43" s="69"/>
      <c r="Q43" s="69"/>
      <c r="R43" s="69"/>
      <c r="S43" s="69"/>
      <c r="T43" s="65"/>
      <c r="U43" s="66">
        <f t="shared" si="49"/>
        <v>0</v>
      </c>
      <c r="V43" s="95"/>
      <c r="W43" s="69"/>
      <c r="X43" s="69"/>
      <c r="Y43" s="69"/>
      <c r="Z43" s="69"/>
      <c r="AA43" s="65"/>
      <c r="AB43" s="66">
        <f t="shared" si="50"/>
        <v>0</v>
      </c>
      <c r="AC43" s="95" t="s">
        <v>151</v>
      </c>
      <c r="AD43" s="69">
        <v>34</v>
      </c>
      <c r="AE43" s="69"/>
      <c r="AF43" s="69"/>
      <c r="AG43" s="69"/>
      <c r="AH43" s="65"/>
      <c r="AI43" s="165">
        <f t="shared" si="57"/>
        <v>34</v>
      </c>
      <c r="AJ43" s="69"/>
      <c r="AK43" s="69"/>
      <c r="AL43" s="69"/>
      <c r="AM43" s="69"/>
      <c r="AN43" s="69"/>
      <c r="AO43" s="65"/>
      <c r="AP43" s="96">
        <f t="shared" si="51"/>
        <v>0</v>
      </c>
      <c r="AQ43" s="182" t="s">
        <v>126</v>
      </c>
      <c r="AR43" s="69">
        <v>10</v>
      </c>
      <c r="AS43" s="69"/>
      <c r="AT43" s="69"/>
      <c r="AU43" s="69"/>
      <c r="AV43" s="65"/>
      <c r="AW43" s="96">
        <f t="shared" si="52"/>
        <v>10</v>
      </c>
      <c r="AX43" s="182" t="s">
        <v>156</v>
      </c>
      <c r="AY43" s="69">
        <v>22</v>
      </c>
      <c r="AZ43" s="69"/>
      <c r="BA43" s="69"/>
      <c r="BB43" s="69"/>
      <c r="BC43" s="65"/>
      <c r="BD43" s="96">
        <f t="shared" si="53"/>
        <v>22</v>
      </c>
      <c r="BE43" s="182" t="s">
        <v>128</v>
      </c>
      <c r="BF43" s="69">
        <v>28</v>
      </c>
      <c r="BG43" s="69"/>
      <c r="BH43" s="69"/>
      <c r="BI43" s="69"/>
      <c r="BJ43" s="65"/>
      <c r="BK43" s="96">
        <f t="shared" si="54"/>
        <v>28</v>
      </c>
      <c r="BL43" s="182" t="s">
        <v>129</v>
      </c>
      <c r="BM43" s="69">
        <v>19</v>
      </c>
      <c r="BN43" s="69"/>
      <c r="BO43" s="69"/>
      <c r="BP43" s="69"/>
      <c r="BQ43" s="65"/>
      <c r="BR43" s="96">
        <f t="shared" si="55"/>
        <v>19</v>
      </c>
      <c r="BS43" s="182"/>
      <c r="BT43" s="69"/>
      <c r="BU43" s="69"/>
      <c r="BV43" s="69"/>
      <c r="BW43" s="69"/>
      <c r="BX43" s="65"/>
      <c r="BY43" s="96">
        <f t="shared" si="56"/>
        <v>0</v>
      </c>
    </row>
    <row r="44" spans="1:77" ht="22.5" customHeight="1">
      <c r="A44" s="147"/>
      <c r="B44" s="150"/>
      <c r="C44" s="65"/>
      <c r="D44" s="65"/>
      <c r="E44" s="65"/>
      <c r="F44" s="136"/>
      <c r="G44" s="141">
        <f>B44-G28</f>
        <v>0</v>
      </c>
      <c r="H44" s="137"/>
      <c r="I44" s="69"/>
      <c r="J44" s="69"/>
      <c r="K44" s="69"/>
      <c r="L44" s="69"/>
      <c r="M44" s="65"/>
      <c r="N44" s="66">
        <f t="shared" si="48"/>
        <v>0</v>
      </c>
      <c r="O44" s="165"/>
      <c r="P44" s="69"/>
      <c r="Q44" s="69"/>
      <c r="R44" s="69"/>
      <c r="S44" s="69"/>
      <c r="T44" s="65"/>
      <c r="U44" s="66">
        <f t="shared" si="49"/>
        <v>0</v>
      </c>
      <c r="V44" s="95"/>
      <c r="W44" s="69"/>
      <c r="X44" s="69"/>
      <c r="Y44" s="69"/>
      <c r="Z44" s="69"/>
      <c r="AA44" s="65"/>
      <c r="AB44" s="66">
        <f t="shared" si="50"/>
        <v>0</v>
      </c>
      <c r="AC44" s="95" t="s">
        <v>153</v>
      </c>
      <c r="AD44" s="69">
        <v>9</v>
      </c>
      <c r="AE44" s="69"/>
      <c r="AF44" s="69"/>
      <c r="AG44" s="69"/>
      <c r="AH44" s="65"/>
      <c r="AI44" s="165">
        <f t="shared" si="57"/>
        <v>9</v>
      </c>
      <c r="AJ44" s="69"/>
      <c r="AK44" s="69"/>
      <c r="AL44" s="69"/>
      <c r="AM44" s="69"/>
      <c r="AN44" s="69"/>
      <c r="AO44" s="65"/>
      <c r="AP44" s="96">
        <f t="shared" si="51"/>
        <v>0</v>
      </c>
      <c r="AQ44" s="182" t="s">
        <v>157</v>
      </c>
      <c r="AR44" s="69">
        <v>44</v>
      </c>
      <c r="AS44" s="69"/>
      <c r="AT44" s="69"/>
      <c r="AU44" s="69"/>
      <c r="AV44" s="65"/>
      <c r="AW44" s="96">
        <f t="shared" si="52"/>
        <v>44</v>
      </c>
      <c r="AX44" s="182" t="s">
        <v>132</v>
      </c>
      <c r="AY44" s="69">
        <v>35</v>
      </c>
      <c r="AZ44" s="69"/>
      <c r="BA44" s="69"/>
      <c r="BB44" s="69"/>
      <c r="BC44" s="65"/>
      <c r="BD44" s="96">
        <f t="shared" si="53"/>
        <v>35</v>
      </c>
      <c r="BE44" s="182" t="s">
        <v>137</v>
      </c>
      <c r="BF44" s="69">
        <v>14</v>
      </c>
      <c r="BG44" s="69"/>
      <c r="BH44" s="69"/>
      <c r="BI44" s="69"/>
      <c r="BJ44" s="65"/>
      <c r="BK44" s="96">
        <f t="shared" si="54"/>
        <v>14</v>
      </c>
      <c r="BL44" s="182" t="s">
        <v>134</v>
      </c>
      <c r="BM44" s="69">
        <v>10</v>
      </c>
      <c r="BN44" s="69"/>
      <c r="BO44" s="69"/>
      <c r="BP44" s="69"/>
      <c r="BQ44" s="65"/>
      <c r="BR44" s="96">
        <f t="shared" si="55"/>
        <v>10</v>
      </c>
      <c r="BS44" s="182"/>
      <c r="BT44" s="69"/>
      <c r="BU44" s="69"/>
      <c r="BV44" s="69"/>
      <c r="BW44" s="69"/>
      <c r="BX44" s="65"/>
      <c r="BY44" s="96">
        <f t="shared" si="56"/>
        <v>0</v>
      </c>
    </row>
    <row r="45" spans="1:77" ht="22.5" customHeight="1">
      <c r="A45" s="147"/>
      <c r="B45" s="150"/>
      <c r="C45" s="65"/>
      <c r="D45" s="65"/>
      <c r="E45" s="65"/>
      <c r="F45" s="136"/>
      <c r="G45" s="141">
        <f>B45-G29</f>
        <v>0</v>
      </c>
      <c r="H45" s="137"/>
      <c r="I45" s="69"/>
      <c r="J45" s="69"/>
      <c r="K45" s="69"/>
      <c r="L45" s="69"/>
      <c r="M45" s="65"/>
      <c r="N45" s="66"/>
      <c r="O45" s="165"/>
      <c r="P45" s="69"/>
      <c r="Q45" s="69"/>
      <c r="R45" s="69"/>
      <c r="S45" s="69"/>
      <c r="T45" s="65"/>
      <c r="U45" s="66"/>
      <c r="V45" s="165"/>
      <c r="W45" s="69"/>
      <c r="X45" s="69"/>
      <c r="Y45" s="69"/>
      <c r="Z45" s="69"/>
      <c r="AA45" s="65"/>
      <c r="AB45" s="66">
        <f t="shared" si="50"/>
        <v>0</v>
      </c>
      <c r="AC45" s="95"/>
      <c r="AD45" s="69"/>
      <c r="AE45" s="69"/>
      <c r="AF45" s="69"/>
      <c r="AG45" s="69"/>
      <c r="AH45" s="65"/>
      <c r="AI45" s="165">
        <f t="shared" si="57"/>
        <v>0</v>
      </c>
      <c r="AJ45" s="69"/>
      <c r="AK45" s="69"/>
      <c r="AL45" s="69"/>
      <c r="AM45" s="69"/>
      <c r="AN45" s="69"/>
      <c r="AO45" s="65"/>
      <c r="AP45" s="96">
        <f t="shared" si="51"/>
        <v>0</v>
      </c>
      <c r="AQ45" s="182" t="s">
        <v>158</v>
      </c>
      <c r="AR45" s="69">
        <v>34</v>
      </c>
      <c r="AS45" s="69"/>
      <c r="AT45" s="69"/>
      <c r="AU45" s="69"/>
      <c r="AV45" s="65"/>
      <c r="AW45" s="96">
        <f t="shared" si="52"/>
        <v>34</v>
      </c>
      <c r="AX45" s="182"/>
      <c r="AY45" s="69"/>
      <c r="AZ45" s="69"/>
      <c r="BA45" s="69"/>
      <c r="BB45" s="69"/>
      <c r="BC45" s="65"/>
      <c r="BD45" s="96">
        <f t="shared" si="53"/>
        <v>0</v>
      </c>
      <c r="BE45" s="182" t="s">
        <v>140</v>
      </c>
      <c r="BF45" s="69"/>
      <c r="BG45" s="69"/>
      <c r="BH45" s="69"/>
      <c r="BI45" s="69"/>
      <c r="BJ45" s="65"/>
      <c r="BK45" s="96">
        <f t="shared" si="54"/>
        <v>0</v>
      </c>
      <c r="BL45" s="182" t="s">
        <v>138</v>
      </c>
      <c r="BM45" s="69">
        <v>53</v>
      </c>
      <c r="BN45" s="69"/>
      <c r="BO45" s="69"/>
      <c r="BP45" s="69"/>
      <c r="BQ45" s="65"/>
      <c r="BR45" s="96">
        <f t="shared" si="55"/>
        <v>53</v>
      </c>
      <c r="BS45" s="182"/>
      <c r="BT45" s="69"/>
      <c r="BU45" s="69"/>
      <c r="BV45" s="69"/>
      <c r="BW45" s="69"/>
      <c r="BX45" s="65"/>
      <c r="BY45" s="96">
        <f t="shared" si="56"/>
        <v>0</v>
      </c>
    </row>
    <row r="46" spans="1:77" ht="22.5" customHeight="1">
      <c r="A46" s="147"/>
      <c r="B46" s="150"/>
      <c r="C46" s="65"/>
      <c r="D46" s="65"/>
      <c r="E46" s="65"/>
      <c r="F46" s="136"/>
      <c r="G46" s="141">
        <f>B46-G30</f>
        <v>0</v>
      </c>
      <c r="H46" s="137"/>
      <c r="I46" s="69"/>
      <c r="J46" s="69"/>
      <c r="K46" s="69"/>
      <c r="L46" s="69"/>
      <c r="M46" s="65"/>
      <c r="N46" s="66"/>
      <c r="O46" s="165"/>
      <c r="P46" s="69"/>
      <c r="Q46" s="69"/>
      <c r="R46" s="69"/>
      <c r="S46" s="69"/>
      <c r="T46" s="65"/>
      <c r="U46" s="66"/>
      <c r="V46" s="165"/>
      <c r="W46" s="69"/>
      <c r="X46" s="69"/>
      <c r="Y46" s="69"/>
      <c r="Z46" s="69"/>
      <c r="AA46" s="65"/>
      <c r="AB46" s="66">
        <f t="shared" si="50"/>
        <v>0</v>
      </c>
      <c r="AC46" s="165"/>
      <c r="AD46" s="69"/>
      <c r="AE46" s="69"/>
      <c r="AF46" s="69"/>
      <c r="AG46" s="69"/>
      <c r="AH46" s="65"/>
      <c r="AI46" s="165">
        <f t="shared" si="57"/>
        <v>0</v>
      </c>
      <c r="AJ46" s="69"/>
      <c r="AK46" s="69"/>
      <c r="AL46" s="69"/>
      <c r="AM46" s="69"/>
      <c r="AN46" s="69"/>
      <c r="AO46" s="65"/>
      <c r="AP46" s="96">
        <f t="shared" si="51"/>
        <v>0</v>
      </c>
      <c r="AQ46" s="182"/>
      <c r="AR46" s="69"/>
      <c r="AS46" s="69"/>
      <c r="AT46" s="69"/>
      <c r="AU46" s="69"/>
      <c r="AV46" s="65"/>
      <c r="AW46" s="96">
        <f t="shared" si="52"/>
        <v>0</v>
      </c>
      <c r="AX46" s="182"/>
      <c r="AY46" s="69"/>
      <c r="AZ46" s="69"/>
      <c r="BA46" s="69"/>
      <c r="BB46" s="69"/>
      <c r="BC46" s="65"/>
      <c r="BD46" s="96">
        <f t="shared" si="53"/>
        <v>0</v>
      </c>
      <c r="BE46" s="182" t="s">
        <v>141</v>
      </c>
      <c r="BF46" s="69">
        <v>30</v>
      </c>
      <c r="BG46" s="69"/>
      <c r="BH46" s="69"/>
      <c r="BI46" s="69"/>
      <c r="BJ46" s="65"/>
      <c r="BK46" s="96">
        <f t="shared" si="54"/>
        <v>30</v>
      </c>
      <c r="BL46" s="182"/>
      <c r="BM46" s="69"/>
      <c r="BN46" s="69"/>
      <c r="BO46" s="69"/>
      <c r="BP46" s="69"/>
      <c r="BQ46" s="65"/>
      <c r="BR46" s="96">
        <f t="shared" si="55"/>
        <v>0</v>
      </c>
      <c r="BS46" s="182"/>
      <c r="BT46" s="69"/>
      <c r="BU46" s="69"/>
      <c r="BV46" s="69"/>
      <c r="BW46" s="69"/>
      <c r="BX46" s="65"/>
      <c r="BY46" s="96">
        <f t="shared" si="56"/>
        <v>0</v>
      </c>
    </row>
    <row r="47" spans="1:77" ht="22.5" customHeight="1">
      <c r="A47" s="147"/>
      <c r="B47" s="240"/>
      <c r="C47" s="161"/>
      <c r="D47" s="161"/>
      <c r="E47" s="161"/>
      <c r="F47" s="161"/>
      <c r="G47" s="241"/>
      <c r="H47" s="137"/>
      <c r="I47" s="239"/>
      <c r="J47" s="239"/>
      <c r="K47" s="239"/>
      <c r="L47" s="239"/>
      <c r="M47" s="80"/>
      <c r="N47" s="66"/>
      <c r="O47" s="165"/>
      <c r="P47" s="239"/>
      <c r="Q47" s="239"/>
      <c r="R47" s="239"/>
      <c r="S47" s="239"/>
      <c r="T47" s="80"/>
      <c r="U47" s="66"/>
      <c r="V47" s="165"/>
      <c r="W47" s="239"/>
      <c r="X47" s="239"/>
      <c r="Y47" s="239"/>
      <c r="Z47" s="239"/>
      <c r="AA47" s="80"/>
      <c r="AB47" s="66"/>
      <c r="AC47" s="165"/>
      <c r="AD47" s="239"/>
      <c r="AE47" s="239"/>
      <c r="AF47" s="239"/>
      <c r="AG47" s="239"/>
      <c r="AH47" s="80"/>
      <c r="AI47" s="165"/>
      <c r="AJ47" s="242"/>
      <c r="AK47" s="239"/>
      <c r="AL47" s="239"/>
      <c r="AM47" s="239"/>
      <c r="AN47" s="239"/>
      <c r="AO47" s="80"/>
      <c r="AP47" s="96"/>
      <c r="AQ47" s="137"/>
      <c r="AR47" s="239"/>
      <c r="AS47" s="239"/>
      <c r="AT47" s="239"/>
      <c r="AU47" s="239"/>
      <c r="AV47" s="80"/>
      <c r="AW47" s="96"/>
      <c r="AX47" s="137"/>
      <c r="AY47" s="239"/>
      <c r="AZ47" s="239"/>
      <c r="BA47" s="239"/>
      <c r="BB47" s="239"/>
      <c r="BC47" s="80"/>
      <c r="BD47" s="96"/>
      <c r="BE47" s="182" t="s">
        <v>142</v>
      </c>
      <c r="BF47" s="239">
        <v>32</v>
      </c>
      <c r="BG47" s="239"/>
      <c r="BH47" s="239"/>
      <c r="BI47" s="239"/>
      <c r="BJ47" s="80"/>
      <c r="BK47" s="96">
        <f t="shared" si="54"/>
        <v>32</v>
      </c>
      <c r="BL47" s="182"/>
      <c r="BM47" s="239"/>
      <c r="BN47" s="239"/>
      <c r="BO47" s="239"/>
      <c r="BP47" s="239"/>
      <c r="BQ47" s="80"/>
      <c r="BR47" s="96"/>
      <c r="BS47" s="182"/>
      <c r="BT47" s="239"/>
      <c r="BU47" s="239"/>
      <c r="BV47" s="239"/>
      <c r="BW47" s="239"/>
      <c r="BX47" s="80"/>
      <c r="BY47" s="96"/>
    </row>
    <row r="48" spans="1:77" ht="22.5" customHeight="1">
      <c r="A48" s="147"/>
      <c r="B48" s="240"/>
      <c r="C48" s="161"/>
      <c r="D48" s="161"/>
      <c r="E48" s="161"/>
      <c r="F48" s="161"/>
      <c r="G48" s="241"/>
      <c r="H48" s="137"/>
      <c r="I48" s="239"/>
      <c r="J48" s="239"/>
      <c r="K48" s="239"/>
      <c r="L48" s="239"/>
      <c r="M48" s="80"/>
      <c r="N48" s="66"/>
      <c r="O48" s="165"/>
      <c r="P48" s="239"/>
      <c r="Q48" s="239"/>
      <c r="R48" s="239"/>
      <c r="S48" s="239"/>
      <c r="T48" s="80"/>
      <c r="U48" s="66"/>
      <c r="V48" s="165"/>
      <c r="W48" s="239"/>
      <c r="X48" s="239"/>
      <c r="Y48" s="239"/>
      <c r="Z48" s="239"/>
      <c r="AA48" s="80"/>
      <c r="AB48" s="66"/>
      <c r="AC48" s="165"/>
      <c r="AD48" s="239"/>
      <c r="AE48" s="239"/>
      <c r="AF48" s="239"/>
      <c r="AG48" s="239"/>
      <c r="AH48" s="80"/>
      <c r="AI48" s="165"/>
      <c r="AJ48" s="242"/>
      <c r="AK48" s="239"/>
      <c r="AL48" s="239"/>
      <c r="AM48" s="239"/>
      <c r="AN48" s="239"/>
      <c r="AO48" s="80"/>
      <c r="AP48" s="96"/>
      <c r="AQ48" s="137"/>
      <c r="AR48" s="239"/>
      <c r="AS48" s="239"/>
      <c r="AT48" s="239"/>
      <c r="AU48" s="239"/>
      <c r="AV48" s="80"/>
      <c r="AW48" s="96"/>
      <c r="AX48" s="137"/>
      <c r="AY48" s="239"/>
      <c r="AZ48" s="239"/>
      <c r="BA48" s="239"/>
      <c r="BB48" s="239"/>
      <c r="BC48" s="80"/>
      <c r="BD48" s="96"/>
      <c r="BE48" s="182" t="s">
        <v>143</v>
      </c>
      <c r="BF48" s="239">
        <v>12</v>
      </c>
      <c r="BG48" s="239"/>
      <c r="BH48" s="239"/>
      <c r="BI48" s="239"/>
      <c r="BJ48" s="80"/>
      <c r="BK48" s="96">
        <f t="shared" si="54"/>
        <v>12</v>
      </c>
      <c r="BL48" s="182"/>
      <c r="BM48" s="239"/>
      <c r="BN48" s="239"/>
      <c r="BO48" s="239"/>
      <c r="BP48" s="239"/>
      <c r="BQ48" s="80"/>
      <c r="BR48" s="96"/>
      <c r="BS48" s="182"/>
      <c r="BT48" s="239"/>
      <c r="BU48" s="239"/>
      <c r="BV48" s="239"/>
      <c r="BW48" s="239"/>
      <c r="BX48" s="80"/>
      <c r="BY48" s="96"/>
    </row>
    <row r="49" spans="1:77" ht="22.5" customHeight="1">
      <c r="A49" s="147"/>
      <c r="B49" s="240"/>
      <c r="C49" s="161"/>
      <c r="D49" s="161"/>
      <c r="E49" s="161"/>
      <c r="F49" s="161"/>
      <c r="G49" s="241"/>
      <c r="H49" s="137"/>
      <c r="I49" s="239"/>
      <c r="J49" s="239"/>
      <c r="K49" s="239"/>
      <c r="L49" s="239"/>
      <c r="M49" s="80"/>
      <c r="N49" s="66"/>
      <c r="O49" s="165"/>
      <c r="P49" s="239"/>
      <c r="Q49" s="239"/>
      <c r="R49" s="239"/>
      <c r="S49" s="239"/>
      <c r="T49" s="80"/>
      <c r="U49" s="66"/>
      <c r="V49" s="165"/>
      <c r="W49" s="239"/>
      <c r="X49" s="239"/>
      <c r="Y49" s="239"/>
      <c r="Z49" s="239"/>
      <c r="AA49" s="80"/>
      <c r="AB49" s="66"/>
      <c r="AC49" s="165"/>
      <c r="AD49" s="239"/>
      <c r="AE49" s="239"/>
      <c r="AF49" s="239"/>
      <c r="AG49" s="239"/>
      <c r="AH49" s="80"/>
      <c r="AI49" s="165"/>
      <c r="AJ49" s="242"/>
      <c r="AK49" s="239"/>
      <c r="AL49" s="239"/>
      <c r="AM49" s="239"/>
      <c r="AN49" s="239"/>
      <c r="AO49" s="80"/>
      <c r="AP49" s="96"/>
      <c r="AQ49" s="137"/>
      <c r="AR49" s="239"/>
      <c r="AS49" s="239"/>
      <c r="AT49" s="239"/>
      <c r="AU49" s="239"/>
      <c r="AV49" s="80"/>
      <c r="AW49" s="96"/>
      <c r="AX49" s="137"/>
      <c r="AY49" s="239"/>
      <c r="AZ49" s="239"/>
      <c r="BA49" s="239"/>
      <c r="BB49" s="239"/>
      <c r="BC49" s="80"/>
      <c r="BD49" s="96"/>
      <c r="BE49" s="182" t="s">
        <v>144</v>
      </c>
      <c r="BF49" s="239">
        <v>29</v>
      </c>
      <c r="BG49" s="239"/>
      <c r="BH49" s="239"/>
      <c r="BI49" s="239"/>
      <c r="BJ49" s="80"/>
      <c r="BK49" s="96">
        <f t="shared" si="54"/>
        <v>29</v>
      </c>
      <c r="BL49" s="182"/>
      <c r="BM49" s="239"/>
      <c r="BN49" s="239"/>
      <c r="BO49" s="239"/>
      <c r="BP49" s="239"/>
      <c r="BQ49" s="80"/>
      <c r="BR49" s="96"/>
      <c r="BS49" s="182"/>
      <c r="BT49" s="239"/>
      <c r="BU49" s="239"/>
      <c r="BV49" s="239"/>
      <c r="BW49" s="239"/>
      <c r="BX49" s="80"/>
      <c r="BY49" s="96"/>
    </row>
    <row r="50" spans="1:77" ht="22.5" customHeight="1">
      <c r="A50" s="148" t="s">
        <v>12</v>
      </c>
      <c r="B50" s="151">
        <f t="shared" ref="B50:G50" si="58">SUM(B39:B46)</f>
        <v>116</v>
      </c>
      <c r="C50" s="142">
        <f t="shared" si="58"/>
        <v>0</v>
      </c>
      <c r="D50" s="142">
        <f t="shared" si="58"/>
        <v>0</v>
      </c>
      <c r="E50" s="142">
        <f t="shared" si="58"/>
        <v>0</v>
      </c>
      <c r="F50" s="142">
        <f t="shared" si="58"/>
        <v>110</v>
      </c>
      <c r="G50" s="143">
        <f t="shared" si="58"/>
        <v>121</v>
      </c>
      <c r="H50" s="144" t="s">
        <v>12</v>
      </c>
      <c r="I50" s="67">
        <f>AVERAGE(I39:I46)</f>
        <v>24</v>
      </c>
      <c r="J50" s="67" t="e">
        <f>AVERAGE(J39:J46)</f>
        <v>#DIV/0!</v>
      </c>
      <c r="K50" s="67" t="e">
        <f>AVERAGE(K39:K46)</f>
        <v>#DIV/0!</v>
      </c>
      <c r="L50" s="67" t="e">
        <f>AVERAGE(L39:L46)</f>
        <v>#DIV/0!</v>
      </c>
      <c r="M50" s="67" t="e">
        <f>AVERAGE(M39:M46)</f>
        <v>#DIV/0!</v>
      </c>
      <c r="N50" s="68">
        <f>SUM(N39:N46)</f>
        <v>96</v>
      </c>
      <c r="O50" s="162"/>
      <c r="P50" s="67">
        <f>SUM(P39:P46)</f>
        <v>97</v>
      </c>
      <c r="Q50" s="67" t="e">
        <f>AVERAGE(Q39:Q46)</f>
        <v>#DIV/0!</v>
      </c>
      <c r="R50" s="67" t="e">
        <f>AVERAGE(R39:R46)</f>
        <v>#DIV/0!</v>
      </c>
      <c r="S50" s="67" t="e">
        <f>AVERAGE(S39:S46)</f>
        <v>#DIV/0!</v>
      </c>
      <c r="T50" s="67" t="e">
        <f>AVERAGE(T39:T46)</f>
        <v>#DIV/0!</v>
      </c>
      <c r="U50" s="68">
        <f>SUM(U39:U46)</f>
        <v>97</v>
      </c>
      <c r="V50" s="162"/>
      <c r="W50" s="67">
        <f t="shared" ref="W50:AB50" si="59">SUM(W39:W46)</f>
        <v>105</v>
      </c>
      <c r="X50" s="67">
        <f t="shared" si="59"/>
        <v>0</v>
      </c>
      <c r="Y50" s="67">
        <f t="shared" si="59"/>
        <v>0</v>
      </c>
      <c r="Z50" s="67">
        <f t="shared" si="59"/>
        <v>0</v>
      </c>
      <c r="AA50" s="67">
        <f t="shared" si="59"/>
        <v>0</v>
      </c>
      <c r="AB50" s="68">
        <f t="shared" si="59"/>
        <v>105</v>
      </c>
      <c r="AC50" s="162"/>
      <c r="AD50" s="67">
        <f>SUM(AD39:AD46)</f>
        <v>137</v>
      </c>
      <c r="AE50" s="67" t="e">
        <f>AVERAGE(AE39:AE46)</f>
        <v>#DIV/0!</v>
      </c>
      <c r="AF50" s="67" t="e">
        <f>AVERAGE(AF39:AF46)</f>
        <v>#DIV/0!</v>
      </c>
      <c r="AG50" s="67" t="e">
        <f>AVERAGE(AG39:AG46)</f>
        <v>#DIV/0!</v>
      </c>
      <c r="AH50" s="67" t="e">
        <f>AVERAGE(AH39:AH46)</f>
        <v>#DIV/0!</v>
      </c>
      <c r="AI50" s="68">
        <f>SUM(AI39:AI46)</f>
        <v>137</v>
      </c>
      <c r="AJ50" s="183"/>
      <c r="AK50" s="67">
        <f>SUM(AK39:AK46)</f>
        <v>112</v>
      </c>
      <c r="AL50" s="67">
        <f>SUM(AL39:AL46)</f>
        <v>0</v>
      </c>
      <c r="AM50" s="67" t="e">
        <f>AVERAGE(AM39:AM46)</f>
        <v>#DIV/0!</v>
      </c>
      <c r="AN50" s="67" t="e">
        <f>AVERAGE(AN39:AN46)</f>
        <v>#DIV/0!</v>
      </c>
      <c r="AO50" s="67" t="e">
        <f>AVERAGE(AO39:AO46)</f>
        <v>#DIV/0!</v>
      </c>
      <c r="AP50" s="100">
        <f>SUM(AP39:AP46)</f>
        <v>112</v>
      </c>
      <c r="AQ50" s="183"/>
      <c r="AR50" s="67">
        <f>SUM(AR39:AR46)</f>
        <v>174</v>
      </c>
      <c r="AS50" s="67">
        <f>SUM(AS39:AS46)</f>
        <v>0</v>
      </c>
      <c r="AT50" s="67" t="e">
        <f>AVERAGE(AT39:AT46)</f>
        <v>#DIV/0!</v>
      </c>
      <c r="AU50" s="67" t="e">
        <f>AVERAGE(AU39:AU46)</f>
        <v>#DIV/0!</v>
      </c>
      <c r="AV50" s="67" t="e">
        <f>AVERAGE(AV39:AV46)</f>
        <v>#DIV/0!</v>
      </c>
      <c r="AW50" s="100">
        <f>SUM(AW39:AW46)</f>
        <v>174</v>
      </c>
      <c r="AX50" s="183"/>
      <c r="AY50" s="67">
        <f>SUM(AY39:AY46)</f>
        <v>133</v>
      </c>
      <c r="AZ50" s="67">
        <f>SUM(AZ39:AZ46)</f>
        <v>0</v>
      </c>
      <c r="BA50" s="67" t="e">
        <f>AVERAGE(BA39:BA46)</f>
        <v>#DIV/0!</v>
      </c>
      <c r="BB50" s="67" t="e">
        <f>AVERAGE(BB39:BB46)</f>
        <v>#DIV/0!</v>
      </c>
      <c r="BC50" s="67" t="e">
        <f>AVERAGE(BC39:BC46)</f>
        <v>#DIV/0!</v>
      </c>
      <c r="BD50" s="100">
        <f>SUM(BD39:BD46)</f>
        <v>133</v>
      </c>
      <c r="BE50" s="182" t="s">
        <v>145</v>
      </c>
      <c r="BF50" s="244">
        <v>23</v>
      </c>
      <c r="BG50" s="80"/>
      <c r="BH50" s="80"/>
      <c r="BI50" s="80"/>
      <c r="BJ50" s="80"/>
      <c r="BK50" s="96">
        <f t="shared" si="54"/>
        <v>23</v>
      </c>
      <c r="BL50" s="245"/>
      <c r="BM50" s="80"/>
      <c r="BN50" s="80"/>
      <c r="BO50" s="80"/>
      <c r="BP50" s="80"/>
      <c r="BQ50" s="80"/>
      <c r="BR50" s="97"/>
      <c r="BS50" s="245"/>
      <c r="BT50" s="80"/>
      <c r="BU50" s="80"/>
      <c r="BV50" s="80"/>
      <c r="BW50" s="80"/>
      <c r="BX50" s="80"/>
      <c r="BY50" s="97"/>
    </row>
    <row r="51" spans="1:77" ht="22.5" customHeight="1">
      <c r="A51" s="95"/>
      <c r="B51" s="70"/>
      <c r="C51" s="70"/>
      <c r="D51" s="70"/>
      <c r="E51" s="70"/>
      <c r="F51" s="70"/>
      <c r="G51" s="70"/>
      <c r="H51" s="144"/>
      <c r="I51" s="70"/>
      <c r="J51" s="70"/>
      <c r="K51" s="70"/>
      <c r="L51" s="70"/>
      <c r="M51" s="70"/>
      <c r="N51" s="243"/>
      <c r="O51" s="173"/>
      <c r="P51" s="70"/>
      <c r="Q51" s="70"/>
      <c r="R51" s="70"/>
      <c r="S51" s="70"/>
      <c r="T51" s="70"/>
      <c r="U51" s="243"/>
      <c r="V51" s="173"/>
      <c r="W51" s="70"/>
      <c r="X51" s="70"/>
      <c r="Y51" s="70"/>
      <c r="Z51" s="70"/>
      <c r="AA51" s="70"/>
      <c r="AB51" s="243"/>
      <c r="AC51" s="173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241"/>
      <c r="AQ51" s="70"/>
      <c r="AR51" s="70"/>
      <c r="AS51" s="70"/>
      <c r="AT51" s="70"/>
      <c r="AU51" s="70"/>
      <c r="AV51" s="70"/>
      <c r="AW51" s="241"/>
      <c r="AX51" s="70"/>
      <c r="AY51" s="70"/>
      <c r="AZ51" s="70"/>
      <c r="BA51" s="70"/>
      <c r="BB51" s="70"/>
      <c r="BC51" s="70"/>
      <c r="BD51" s="70"/>
      <c r="BE51" s="182" t="s">
        <v>146</v>
      </c>
      <c r="BF51" s="244">
        <v>17</v>
      </c>
      <c r="BG51" s="244"/>
      <c r="BH51" s="244"/>
      <c r="BI51" s="244"/>
      <c r="BJ51" s="244"/>
      <c r="BK51" s="96">
        <f t="shared" si="54"/>
        <v>17</v>
      </c>
      <c r="BL51" s="182"/>
      <c r="BM51" s="244"/>
      <c r="BN51" s="244"/>
      <c r="BO51" s="244"/>
      <c r="BP51" s="244"/>
      <c r="BQ51" s="244"/>
      <c r="BR51" s="244"/>
      <c r="BS51" s="182"/>
      <c r="BT51" s="244"/>
      <c r="BU51" s="244"/>
      <c r="BV51" s="244"/>
      <c r="BW51" s="244"/>
      <c r="BX51" s="244"/>
      <c r="BY51" s="244"/>
    </row>
    <row r="52" spans="1:77" ht="22.5" customHeight="1">
      <c r="A52" s="95"/>
      <c r="B52" s="70"/>
      <c r="C52" s="70"/>
      <c r="D52" s="70"/>
      <c r="E52" s="70"/>
      <c r="F52" s="70"/>
      <c r="G52" s="70"/>
      <c r="H52" s="144"/>
      <c r="I52" s="70"/>
      <c r="J52" s="70"/>
      <c r="K52" s="70"/>
      <c r="L52" s="70"/>
      <c r="M52" s="70"/>
      <c r="N52" s="243"/>
      <c r="O52" s="173"/>
      <c r="P52" s="70"/>
      <c r="Q52" s="70"/>
      <c r="R52" s="70"/>
      <c r="S52" s="70"/>
      <c r="T52" s="70"/>
      <c r="U52" s="243"/>
      <c r="V52" s="173"/>
      <c r="W52" s="70"/>
      <c r="X52" s="70"/>
      <c r="Y52" s="70"/>
      <c r="Z52" s="70"/>
      <c r="AA52" s="70"/>
      <c r="AB52" s="243"/>
      <c r="AC52" s="173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241"/>
      <c r="AQ52" s="70"/>
      <c r="AR52" s="70"/>
      <c r="AS52" s="70"/>
      <c r="AT52" s="70"/>
      <c r="AU52" s="70"/>
      <c r="AV52" s="70"/>
      <c r="AW52" s="241"/>
      <c r="AX52" s="70"/>
      <c r="AY52" s="70"/>
      <c r="AZ52" s="70"/>
      <c r="BA52" s="70"/>
      <c r="BB52" s="70"/>
      <c r="BC52" s="70"/>
      <c r="BD52" s="70"/>
      <c r="BG52" s="244"/>
      <c r="BH52" s="244"/>
      <c r="BI52" s="244"/>
      <c r="BJ52" s="244"/>
      <c r="BK52" s="244">
        <f>SUM(BK39:BK51)</f>
        <v>257</v>
      </c>
      <c r="BL52" s="182"/>
      <c r="BM52" s="244"/>
      <c r="BN52" s="244"/>
      <c r="BO52" s="244"/>
      <c r="BP52" s="244"/>
      <c r="BQ52" s="244"/>
      <c r="BR52" s="244"/>
      <c r="BS52" s="182"/>
      <c r="BT52" s="244"/>
      <c r="BU52" s="244"/>
      <c r="BV52" s="244"/>
      <c r="BW52" s="244"/>
      <c r="BX52" s="244"/>
      <c r="BY52" s="244"/>
    </row>
    <row r="53" spans="1:77" ht="22.5" customHeight="1">
      <c r="A53" s="95"/>
      <c r="B53" s="70"/>
      <c r="C53" s="70"/>
      <c r="D53" s="70"/>
      <c r="E53" s="70"/>
      <c r="F53" s="70"/>
      <c r="G53" s="70"/>
      <c r="H53" s="144"/>
      <c r="I53" s="70"/>
      <c r="J53" s="70"/>
      <c r="K53" s="70"/>
      <c r="L53" s="70"/>
      <c r="M53" s="70"/>
      <c r="N53" s="243"/>
      <c r="O53" s="173"/>
      <c r="P53" s="70"/>
      <c r="Q53" s="70"/>
      <c r="R53" s="70"/>
      <c r="S53" s="70"/>
      <c r="T53" s="70"/>
      <c r="U53" s="243"/>
      <c r="V53" s="173"/>
      <c r="W53" s="70"/>
      <c r="X53" s="70"/>
      <c r="Y53" s="70"/>
      <c r="Z53" s="70"/>
      <c r="AA53" s="70"/>
      <c r="AB53" s="243"/>
      <c r="AC53" s="173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241"/>
      <c r="AQ53" s="70"/>
      <c r="AR53" s="70"/>
      <c r="AS53" s="70"/>
      <c r="AT53" s="70"/>
      <c r="AU53" s="70"/>
      <c r="AV53" s="70"/>
      <c r="AW53" s="241"/>
      <c r="AX53" s="70"/>
      <c r="AY53" s="70"/>
      <c r="AZ53" s="70"/>
      <c r="BA53" s="70"/>
      <c r="BB53" s="70"/>
      <c r="BC53" s="70"/>
      <c r="BD53" s="241"/>
      <c r="BE53" s="137"/>
      <c r="BF53" s="70"/>
      <c r="BG53" s="70"/>
      <c r="BH53" s="70"/>
      <c r="BI53" s="70"/>
      <c r="BJ53" s="70"/>
      <c r="BK53" s="241"/>
      <c r="BL53" s="137"/>
      <c r="BM53" s="70"/>
      <c r="BN53" s="70"/>
      <c r="BO53" s="70"/>
      <c r="BP53" s="70"/>
      <c r="BQ53" s="70"/>
      <c r="BR53" s="241">
        <f>SUM(BR39:BR52)</f>
        <v>172</v>
      </c>
      <c r="BS53" s="137"/>
      <c r="BT53" s="70"/>
      <c r="BU53" s="70"/>
      <c r="BV53" s="70"/>
      <c r="BW53" s="70"/>
      <c r="BX53" s="70"/>
      <c r="BY53" s="241">
        <f>SUM(BY39:BY52)</f>
        <v>101</v>
      </c>
    </row>
    <row r="54" spans="1:77" ht="22.5" customHeight="1">
      <c r="A54" s="145" t="s">
        <v>159</v>
      </c>
      <c r="B54" s="70">
        <v>8</v>
      </c>
      <c r="C54" s="70"/>
      <c r="D54" s="70"/>
      <c r="E54" s="70"/>
      <c r="F54" s="70"/>
      <c r="G54" s="71">
        <f>SUM(B54:F54)</f>
        <v>8</v>
      </c>
      <c r="H54" s="102" t="s">
        <v>159</v>
      </c>
      <c r="I54" s="83">
        <v>8</v>
      </c>
      <c r="J54" s="83"/>
      <c r="K54" s="83"/>
      <c r="L54" s="83"/>
      <c r="M54" s="83"/>
      <c r="N54" s="84">
        <f>SUM(I54:M54)</f>
        <v>8</v>
      </c>
      <c r="O54" s="102" t="s">
        <v>159</v>
      </c>
      <c r="P54" s="83">
        <v>7</v>
      </c>
      <c r="Q54" s="83"/>
      <c r="R54" s="83"/>
      <c r="S54" s="83"/>
      <c r="T54" s="83"/>
      <c r="U54" s="84">
        <f>SUM(P54:T54)</f>
        <v>7</v>
      </c>
      <c r="V54" s="102" t="s">
        <v>159</v>
      </c>
      <c r="W54" s="83">
        <v>13</v>
      </c>
      <c r="X54" s="83"/>
      <c r="Y54" s="83"/>
      <c r="Z54" s="83"/>
      <c r="AA54" s="83"/>
      <c r="AB54" s="84">
        <f>SUM(W54:AA54)</f>
        <v>13</v>
      </c>
      <c r="AC54" s="102" t="s">
        <v>159</v>
      </c>
      <c r="AD54" s="83">
        <v>8</v>
      </c>
      <c r="AE54" s="83"/>
      <c r="AF54" s="83"/>
      <c r="AG54" s="83"/>
      <c r="AH54" s="83"/>
      <c r="AI54" s="178">
        <f>SUM(AD54:AH54)</f>
        <v>8</v>
      </c>
      <c r="AJ54" s="176" t="s">
        <v>159</v>
      </c>
      <c r="AK54" s="83">
        <v>8</v>
      </c>
      <c r="AL54" s="83"/>
      <c r="AM54" s="83"/>
      <c r="AN54" s="83"/>
      <c r="AO54" s="83"/>
      <c r="AP54" s="103">
        <f>SUM(AK54:AO54)</f>
        <v>8</v>
      </c>
      <c r="AQ54" s="176" t="s">
        <v>159</v>
      </c>
      <c r="AR54" s="83">
        <v>8</v>
      </c>
      <c r="AS54" s="83"/>
      <c r="AT54" s="83"/>
      <c r="AU54" s="83"/>
      <c r="AV54" s="83"/>
      <c r="AW54" s="103">
        <f>SUM(AR54:AV54)</f>
        <v>8</v>
      </c>
      <c r="AX54" s="176" t="s">
        <v>159</v>
      </c>
      <c r="AY54" s="83">
        <v>8</v>
      </c>
      <c r="AZ54" s="83"/>
      <c r="BA54" s="83"/>
      <c r="BB54" s="83"/>
      <c r="BC54" s="83"/>
      <c r="BD54" s="103">
        <f>SUM(AY54:BC54)</f>
        <v>8</v>
      </c>
      <c r="BE54" s="176" t="s">
        <v>159</v>
      </c>
      <c r="BF54" s="83">
        <v>8</v>
      </c>
      <c r="BG54" s="83"/>
      <c r="BH54" s="83"/>
      <c r="BI54" s="83"/>
      <c r="BJ54" s="83"/>
      <c r="BK54" s="103">
        <f>SUM(BF54:BJ54)</f>
        <v>8</v>
      </c>
      <c r="BL54" s="176" t="s">
        <v>159</v>
      </c>
      <c r="BM54" s="83"/>
      <c r="BN54" s="83"/>
      <c r="BO54" s="83"/>
      <c r="BP54" s="83"/>
      <c r="BQ54" s="83"/>
      <c r="BR54" s="103">
        <v>8</v>
      </c>
      <c r="BS54" s="176" t="s">
        <v>159</v>
      </c>
      <c r="BT54" s="83"/>
      <c r="BU54" s="83"/>
      <c r="BV54" s="83"/>
      <c r="BW54" s="83"/>
      <c r="BX54" s="83"/>
      <c r="BY54" s="103"/>
    </row>
    <row r="55" spans="1:77" ht="22.5" customHeight="1">
      <c r="A55" s="104" t="s">
        <v>160</v>
      </c>
      <c r="B55" s="70"/>
      <c r="C55" s="70"/>
      <c r="D55" s="70"/>
      <c r="E55" s="70"/>
      <c r="F55" s="70"/>
      <c r="G55" s="71">
        <f>SUM(B55:F55)</f>
        <v>0</v>
      </c>
      <c r="H55" s="104" t="s">
        <v>160</v>
      </c>
      <c r="I55" s="70">
        <v>15</v>
      </c>
      <c r="J55" s="70"/>
      <c r="K55" s="70"/>
      <c r="L55" s="70"/>
      <c r="M55" s="70"/>
      <c r="N55" s="71">
        <f>SUM(I55:M55)</f>
        <v>15</v>
      </c>
      <c r="O55" s="104" t="s">
        <v>160</v>
      </c>
      <c r="P55" s="70">
        <v>0</v>
      </c>
      <c r="Q55" s="70"/>
      <c r="R55" s="70"/>
      <c r="S55" s="70"/>
      <c r="T55" s="70"/>
      <c r="U55" s="71">
        <f>SUM(P55:T55)</f>
        <v>0</v>
      </c>
      <c r="V55" s="104" t="s">
        <v>160</v>
      </c>
      <c r="W55" s="70">
        <v>15</v>
      </c>
      <c r="X55" s="70"/>
      <c r="Y55" s="70"/>
      <c r="Z55" s="70"/>
      <c r="AA55" s="70"/>
      <c r="AB55" s="71">
        <f>SUM(W55:AA55)</f>
        <v>15</v>
      </c>
      <c r="AC55" s="104" t="s">
        <v>160</v>
      </c>
      <c r="AD55" s="70">
        <v>4</v>
      </c>
      <c r="AE55" s="70"/>
      <c r="AF55" s="70"/>
      <c r="AG55" s="70"/>
      <c r="AH55" s="70"/>
      <c r="AI55" s="179">
        <f>SUM(AD55:AH55)</f>
        <v>4</v>
      </c>
      <c r="AJ55" s="147" t="s">
        <v>160</v>
      </c>
      <c r="AK55" s="70">
        <v>6</v>
      </c>
      <c r="AL55" s="70"/>
      <c r="AM55" s="70"/>
      <c r="AN55" s="70"/>
      <c r="AO55" s="70"/>
      <c r="AP55" s="105">
        <f>SUM(AK55:AO55)</f>
        <v>6</v>
      </c>
      <c r="AQ55" s="147" t="s">
        <v>160</v>
      </c>
      <c r="AR55" s="70"/>
      <c r="AS55" s="70"/>
      <c r="AT55" s="70"/>
      <c r="AU55" s="70"/>
      <c r="AV55" s="70"/>
      <c r="AW55" s="105">
        <f>SUM(AR55:AV55)</f>
        <v>0</v>
      </c>
      <c r="AX55" s="147" t="s">
        <v>160</v>
      </c>
      <c r="AY55" s="70">
        <v>9</v>
      </c>
      <c r="AZ55" s="70"/>
      <c r="BA55" s="70"/>
      <c r="BB55" s="70"/>
      <c r="BC55" s="70"/>
      <c r="BD55" s="105">
        <f>SUM(AY55:BC55)</f>
        <v>9</v>
      </c>
      <c r="BE55" s="147" t="s">
        <v>160</v>
      </c>
      <c r="BF55" s="70">
        <v>3</v>
      </c>
      <c r="BG55" s="70"/>
      <c r="BH55" s="70"/>
      <c r="BI55" s="70"/>
      <c r="BJ55" s="70"/>
      <c r="BK55" s="105">
        <f>SUM(BF55:BJ55)</f>
        <v>3</v>
      </c>
      <c r="BL55" s="147" t="s">
        <v>160</v>
      </c>
      <c r="BM55" s="70"/>
      <c r="BN55" s="70"/>
      <c r="BO55" s="70"/>
      <c r="BP55" s="70"/>
      <c r="BQ55" s="70"/>
      <c r="BR55" s="105">
        <f>SUM(BM55:BQ55)</f>
        <v>0</v>
      </c>
      <c r="BS55" s="147" t="s">
        <v>160</v>
      </c>
      <c r="BT55" s="70"/>
      <c r="BU55" s="70"/>
      <c r="BV55" s="70"/>
      <c r="BW55" s="70"/>
      <c r="BX55" s="70"/>
      <c r="BY55" s="105">
        <f>SUM(BT55:BX55)</f>
        <v>0</v>
      </c>
    </row>
    <row r="56" spans="1:77" ht="22.5" customHeight="1">
      <c r="A56" s="102" t="s">
        <v>33</v>
      </c>
      <c r="B56" s="70">
        <v>94</v>
      </c>
      <c r="C56" s="70"/>
      <c r="D56" s="70"/>
      <c r="E56" s="70"/>
      <c r="F56" s="70"/>
      <c r="G56" s="71">
        <f>SUM(B56:F56)</f>
        <v>94</v>
      </c>
      <c r="H56" s="102" t="s">
        <v>33</v>
      </c>
      <c r="I56" s="70">
        <v>93.2</v>
      </c>
      <c r="J56" s="70"/>
      <c r="K56" s="70"/>
      <c r="L56" s="70"/>
      <c r="M56" s="70"/>
      <c r="N56" s="71">
        <f>SUM(I56:M56)</f>
        <v>93.2</v>
      </c>
      <c r="O56" s="102" t="s">
        <v>33</v>
      </c>
      <c r="P56" s="70">
        <v>97.66</v>
      </c>
      <c r="Q56" s="70"/>
      <c r="R56" s="70"/>
      <c r="S56" s="70"/>
      <c r="T56" s="70"/>
      <c r="U56" s="71">
        <f>SUM(P56:T56)</f>
        <v>97.66</v>
      </c>
      <c r="V56" s="102" t="s">
        <v>33</v>
      </c>
      <c r="W56" s="165">
        <v>91.46</v>
      </c>
      <c r="X56" s="70"/>
      <c r="Y56" s="70"/>
      <c r="Z56" s="70"/>
      <c r="AA56" s="70"/>
      <c r="AB56" s="71">
        <f>SUM(W56:AA56)</f>
        <v>91.46</v>
      </c>
      <c r="AC56" s="102" t="s">
        <v>33</v>
      </c>
      <c r="AD56" s="70">
        <v>95</v>
      </c>
      <c r="AE56" s="70"/>
      <c r="AF56" s="70"/>
      <c r="AG56" s="70"/>
      <c r="AH56" s="70"/>
      <c r="AI56" s="179">
        <f>SUM(AD56:AH56)</f>
        <v>95</v>
      </c>
      <c r="AJ56" s="177" t="s">
        <v>33</v>
      </c>
      <c r="AK56" s="70">
        <v>91</v>
      </c>
      <c r="AL56" s="70"/>
      <c r="AM56" s="70"/>
      <c r="AN56" s="70"/>
      <c r="AO56" s="70"/>
      <c r="AP56" s="105">
        <f>SUM(AK56:AO56)</f>
        <v>91</v>
      </c>
      <c r="AQ56" s="177" t="s">
        <v>33</v>
      </c>
      <c r="AR56" s="70">
        <v>94.14</v>
      </c>
      <c r="AS56" s="70"/>
      <c r="AT56" s="70"/>
      <c r="AU56" s="70"/>
      <c r="AV56" s="70"/>
      <c r="AW56" s="105">
        <f>SUM(AR56:AV56)</f>
        <v>94.14</v>
      </c>
      <c r="AX56" s="177" t="s">
        <v>33</v>
      </c>
      <c r="AY56" s="70">
        <v>98</v>
      </c>
      <c r="AZ56" s="70"/>
      <c r="BA56" s="70"/>
      <c r="BB56" s="70"/>
      <c r="BC56" s="70"/>
      <c r="BD56" s="105">
        <f>SUM(AY56:BC56)</f>
        <v>98</v>
      </c>
      <c r="BE56" s="177" t="s">
        <v>33</v>
      </c>
      <c r="BF56" s="70">
        <v>93</v>
      </c>
      <c r="BG56" s="70"/>
      <c r="BH56" s="70"/>
      <c r="BI56" s="70"/>
      <c r="BJ56" s="70"/>
      <c r="BK56" s="105">
        <f>SUM(BF56:BJ56)</f>
        <v>93</v>
      </c>
      <c r="BL56" s="177" t="s">
        <v>33</v>
      </c>
      <c r="BM56" s="70"/>
      <c r="BN56" s="70"/>
      <c r="BO56" s="70"/>
      <c r="BP56" s="70"/>
      <c r="BQ56" s="70"/>
      <c r="BR56" s="105">
        <f>SUM(BM56:BQ56)</f>
        <v>0</v>
      </c>
      <c r="BS56" s="177" t="s">
        <v>33</v>
      </c>
      <c r="BT56" s="70"/>
      <c r="BU56" s="70"/>
      <c r="BV56" s="70"/>
      <c r="BW56" s="70"/>
      <c r="BX56" s="70"/>
      <c r="BY56" s="105">
        <f>SUM(BT56:BX56)</f>
        <v>0</v>
      </c>
    </row>
    <row r="57" spans="1:77" ht="22.5" customHeight="1">
      <c r="A57" s="106" t="s">
        <v>34</v>
      </c>
      <c r="B57" s="107">
        <v>62</v>
      </c>
      <c r="C57" s="107"/>
      <c r="D57" s="107"/>
      <c r="E57" s="107"/>
      <c r="F57" s="107"/>
      <c r="G57" s="108">
        <f>SUM(B57:F57)</f>
        <v>62</v>
      </c>
      <c r="H57" s="106" t="s">
        <v>34</v>
      </c>
      <c r="I57" s="107">
        <v>60</v>
      </c>
      <c r="J57" s="107"/>
      <c r="K57" s="107"/>
      <c r="L57" s="107"/>
      <c r="M57" s="107"/>
      <c r="N57" s="108">
        <f>SUM(I57:M57)</f>
        <v>60</v>
      </c>
      <c r="O57" s="106" t="s">
        <v>34</v>
      </c>
      <c r="P57" s="107">
        <v>79.08</v>
      </c>
      <c r="Q57" s="107"/>
      <c r="R57" s="107"/>
      <c r="S57" s="107"/>
      <c r="T57" s="107"/>
      <c r="U57" s="108">
        <f>SUM(P57:T57)</f>
        <v>79.08</v>
      </c>
      <c r="V57" s="106" t="s">
        <v>34</v>
      </c>
      <c r="W57" s="225">
        <v>65.849999999999994</v>
      </c>
      <c r="X57" s="107"/>
      <c r="Y57" s="107"/>
      <c r="Z57" s="107"/>
      <c r="AA57" s="107"/>
      <c r="AB57" s="108">
        <f>AVERAGE(W57:X57)</f>
        <v>65.849999999999994</v>
      </c>
      <c r="AC57" s="106" t="s">
        <v>34</v>
      </c>
      <c r="AD57" s="107">
        <v>66.67</v>
      </c>
      <c r="AE57" s="107"/>
      <c r="AF57" s="107"/>
      <c r="AG57" s="107"/>
      <c r="AH57" s="107"/>
      <c r="AI57" s="180">
        <f>SUM(AD57:AH57)</f>
        <v>66.67</v>
      </c>
      <c r="AJ57" s="148" t="s">
        <v>34</v>
      </c>
      <c r="AK57" s="107">
        <v>84.62</v>
      </c>
      <c r="AL57" s="107"/>
      <c r="AM57" s="107"/>
      <c r="AN57" s="107"/>
      <c r="AO57" s="107"/>
      <c r="AP57" s="109">
        <f>SUM(AK57:AO57)</f>
        <v>84.62</v>
      </c>
      <c r="AQ57" s="148" t="s">
        <v>34</v>
      </c>
      <c r="AR57" s="107">
        <v>81.75</v>
      </c>
      <c r="AS57" s="107"/>
      <c r="AT57" s="107"/>
      <c r="AU57" s="107"/>
      <c r="AV57" s="107"/>
      <c r="AW57" s="109">
        <f>SUM(AR57:AV57)</f>
        <v>81.75</v>
      </c>
      <c r="AX57" s="148" t="s">
        <v>34</v>
      </c>
      <c r="AY57" s="107">
        <v>71</v>
      </c>
      <c r="AZ57" s="107"/>
      <c r="BA57" s="107"/>
      <c r="BB57" s="107"/>
      <c r="BC57" s="107"/>
      <c r="BD57" s="109">
        <f>SUM(AY57:BC57)</f>
        <v>71</v>
      </c>
      <c r="BE57" s="148" t="s">
        <v>34</v>
      </c>
      <c r="BF57" s="107">
        <v>75</v>
      </c>
      <c r="BG57" s="107"/>
      <c r="BH57" s="107"/>
      <c r="BI57" s="107"/>
      <c r="BJ57" s="107"/>
      <c r="BK57" s="109">
        <f>SUM(BF57:BJ57)</f>
        <v>75</v>
      </c>
      <c r="BL57" s="148" t="s">
        <v>34</v>
      </c>
      <c r="BM57" s="107"/>
      <c r="BN57" s="107"/>
      <c r="BO57" s="107"/>
      <c r="BP57" s="107"/>
      <c r="BQ57" s="107"/>
      <c r="BR57" s="109">
        <v>79</v>
      </c>
      <c r="BS57" s="148" t="s">
        <v>34</v>
      </c>
      <c r="BT57" s="107"/>
      <c r="BU57" s="107"/>
      <c r="BV57" s="107"/>
      <c r="BW57" s="107"/>
      <c r="BX57" s="107"/>
      <c r="BY57" s="109">
        <v>100</v>
      </c>
    </row>
    <row r="58" spans="1:77" ht="22.5" customHeight="1"/>
    <row r="59" spans="1:77" ht="22.5" customHeight="1"/>
    <row r="60" spans="1:77" ht="22.5" customHeight="1"/>
    <row r="61" spans="1:77" ht="22.5" customHeight="1"/>
  </sheetData>
  <mergeCells count="56">
    <mergeCell ref="BT2:BX2"/>
    <mergeCell ref="BT4:BX4"/>
    <mergeCell ref="BT5:BY5"/>
    <mergeCell ref="BT22:BY22"/>
    <mergeCell ref="BT38:BY38"/>
    <mergeCell ref="BM2:BQ2"/>
    <mergeCell ref="BM4:BQ4"/>
    <mergeCell ref="BM5:BR5"/>
    <mergeCell ref="BM22:BR22"/>
    <mergeCell ref="BM38:BR38"/>
    <mergeCell ref="BF2:BJ2"/>
    <mergeCell ref="BF4:BJ4"/>
    <mergeCell ref="BF5:BK5"/>
    <mergeCell ref="BF22:BK22"/>
    <mergeCell ref="BF38:BK38"/>
    <mergeCell ref="AY2:BC2"/>
    <mergeCell ref="AY4:BC4"/>
    <mergeCell ref="AY5:BD5"/>
    <mergeCell ref="AY22:BD22"/>
    <mergeCell ref="AY38:BD38"/>
    <mergeCell ref="B38:G38"/>
    <mergeCell ref="P22:U22"/>
    <mergeCell ref="W22:AB22"/>
    <mergeCell ref="AD22:AI22"/>
    <mergeCell ref="AK22:AP22"/>
    <mergeCell ref="I38:N38"/>
    <mergeCell ref="P38:U38"/>
    <mergeCell ref="W38:AB38"/>
    <mergeCell ref="AD38:AI38"/>
    <mergeCell ref="AK38:AP38"/>
    <mergeCell ref="B5:G5"/>
    <mergeCell ref="I5:N5"/>
    <mergeCell ref="P5:U5"/>
    <mergeCell ref="W5:AB5"/>
    <mergeCell ref="AD5:AI5"/>
    <mergeCell ref="AK5:AP5"/>
    <mergeCell ref="B22:G22"/>
    <mergeCell ref="I22:N22"/>
    <mergeCell ref="A1:N1"/>
    <mergeCell ref="B2:F2"/>
    <mergeCell ref="I2:M2"/>
    <mergeCell ref="P2:T2"/>
    <mergeCell ref="W2:AA2"/>
    <mergeCell ref="AK2:AO2"/>
    <mergeCell ref="B4:F4"/>
    <mergeCell ref="I4:M4"/>
    <mergeCell ref="P4:T4"/>
    <mergeCell ref="W4:AA4"/>
    <mergeCell ref="AD4:AH4"/>
    <mergeCell ref="AK4:AO4"/>
    <mergeCell ref="AD2:AH2"/>
    <mergeCell ref="AR2:AV2"/>
    <mergeCell ref="AR4:AV4"/>
    <mergeCell ref="AR5:AW5"/>
    <mergeCell ref="AR22:AW22"/>
    <mergeCell ref="AR38:AW38"/>
  </mergeCells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F139-8CD2-4EF5-B39F-E8245F0DBFF5}">
  <dimension ref="A1:BO38"/>
  <sheetViews>
    <sheetView showGridLines="0" zoomScale="89" zoomScaleNormal="89" workbookViewId="0">
      <pane xSplit="1" topLeftCell="B1" activePane="topRight" state="frozen"/>
      <selection pane="topRight" activeCell="C10" sqref="C10"/>
    </sheetView>
  </sheetViews>
  <sheetFormatPr defaultColWidth="5.7109375" defaultRowHeight="15"/>
  <cols>
    <col min="1" max="1" width="32" style="10" bestFit="1" customWidth="1"/>
    <col min="2" max="4" width="14.7109375" style="9" bestFit="1" customWidth="1"/>
    <col min="5" max="6" width="14.42578125" style="9" bestFit="1" customWidth="1"/>
    <col min="7" max="7" width="18" style="9" customWidth="1"/>
    <col min="8" max="10" width="14.7109375" style="9" bestFit="1" customWidth="1"/>
    <col min="11" max="12" width="14.42578125" style="9" bestFit="1" customWidth="1"/>
    <col min="13" max="13" width="18" style="9" customWidth="1"/>
    <col min="14" max="16" width="14.7109375" style="9" bestFit="1" customWidth="1"/>
    <col min="17" max="18" width="14.42578125" style="9" bestFit="1" customWidth="1"/>
    <col min="19" max="19" width="18" style="9" customWidth="1"/>
    <col min="20" max="22" width="14.7109375" style="9" bestFit="1" customWidth="1"/>
    <col min="23" max="24" width="14.42578125" style="9" bestFit="1" customWidth="1"/>
    <col min="25" max="25" width="18" style="9" customWidth="1"/>
    <col min="26" max="28" width="14.7109375" style="9" bestFit="1" customWidth="1"/>
    <col min="29" max="30" width="14.42578125" style="9" bestFit="1" customWidth="1"/>
    <col min="31" max="31" width="18" style="9" customWidth="1"/>
    <col min="32" max="34" width="14.7109375" style="9" bestFit="1" customWidth="1"/>
    <col min="35" max="36" width="14.42578125" style="9" bestFit="1" customWidth="1"/>
    <col min="37" max="37" width="18" style="9" customWidth="1"/>
    <col min="38" max="38" width="11.85546875" style="1" customWidth="1"/>
    <col min="39" max="39" width="11.42578125" style="1" customWidth="1"/>
    <col min="40" max="40" width="11.85546875" style="1" customWidth="1"/>
    <col min="41" max="41" width="11.7109375" style="1" customWidth="1"/>
    <col min="42" max="42" width="11.28515625" style="1" customWidth="1"/>
    <col min="43" max="44" width="11.7109375" style="1" customWidth="1"/>
    <col min="45" max="45" width="11.42578125" style="1" customWidth="1"/>
    <col min="46" max="46" width="11.85546875" style="1" customWidth="1"/>
    <col min="47" max="47" width="11.7109375" style="1" customWidth="1"/>
    <col min="48" max="48" width="10.85546875" style="1" customWidth="1"/>
    <col min="49" max="49" width="11.42578125" style="1" customWidth="1"/>
    <col min="50" max="50" width="11.85546875" style="1" customWidth="1"/>
    <col min="51" max="51" width="11.42578125" style="1" customWidth="1"/>
    <col min="52" max="52" width="11.85546875" style="1" customWidth="1"/>
    <col min="53" max="53" width="11.28515625" style="1" customWidth="1"/>
    <col min="54" max="54" width="12.42578125" style="1" customWidth="1"/>
    <col min="55" max="58" width="11.7109375" style="1" customWidth="1"/>
    <col min="59" max="59" width="11.85546875" style="1" customWidth="1"/>
    <col min="60" max="60" width="10.85546875" style="1" customWidth="1"/>
    <col min="61" max="61" width="13.140625" style="1" customWidth="1"/>
    <col min="62" max="63" width="11.7109375" style="1" customWidth="1"/>
    <col min="64" max="64" width="11.42578125" style="1" customWidth="1"/>
    <col min="65" max="65" width="11.7109375" style="1" customWidth="1"/>
    <col min="66" max="66" width="11.42578125" style="1" customWidth="1"/>
    <col min="67" max="67" width="11.7109375" style="1" customWidth="1"/>
    <col min="68" max="16384" width="5.7109375" style="1"/>
  </cols>
  <sheetData>
    <row r="1" spans="1:67" ht="40.5" customHeight="1" thickBot="1">
      <c r="A1" s="523"/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67" ht="40.5" customHeight="1" thickBot="1">
      <c r="A2" s="87"/>
      <c r="B2" s="534" t="s">
        <v>35</v>
      </c>
      <c r="C2" s="535"/>
      <c r="D2" s="535"/>
      <c r="E2" s="535"/>
      <c r="F2" s="535"/>
      <c r="G2" s="88"/>
      <c r="H2" s="534" t="s">
        <v>36</v>
      </c>
      <c r="I2" s="535"/>
      <c r="J2" s="535"/>
      <c r="K2" s="535"/>
      <c r="L2" s="535"/>
      <c r="M2" s="88"/>
      <c r="N2" s="534" t="s">
        <v>37</v>
      </c>
      <c r="O2" s="535"/>
      <c r="P2" s="535"/>
      <c r="Q2" s="535"/>
      <c r="R2" s="535"/>
      <c r="S2" s="88"/>
      <c r="T2" s="534" t="s">
        <v>38</v>
      </c>
      <c r="U2" s="535"/>
      <c r="V2" s="535"/>
      <c r="W2" s="535"/>
      <c r="X2" s="535"/>
      <c r="Y2" s="88"/>
      <c r="Z2" s="534" t="s">
        <v>39</v>
      </c>
      <c r="AA2" s="535"/>
      <c r="AB2" s="535"/>
      <c r="AC2" s="535"/>
      <c r="AD2" s="535"/>
      <c r="AE2" s="88"/>
      <c r="AF2" s="534" t="s">
        <v>0</v>
      </c>
      <c r="AG2" s="535"/>
      <c r="AH2" s="535"/>
      <c r="AI2" s="535"/>
      <c r="AJ2" s="535"/>
      <c r="AK2" s="89"/>
      <c r="AL2" s="556" t="s">
        <v>1</v>
      </c>
      <c r="AM2" s="535"/>
      <c r="AN2" s="535"/>
      <c r="AO2" s="535"/>
      <c r="AP2" s="535"/>
      <c r="AQ2" s="88"/>
      <c r="AR2" s="534" t="s">
        <v>2</v>
      </c>
      <c r="AS2" s="535"/>
      <c r="AT2" s="535"/>
      <c r="AU2" s="535"/>
      <c r="AV2" s="535"/>
      <c r="AW2" s="88"/>
      <c r="AX2" s="534" t="s">
        <v>3</v>
      </c>
      <c r="AY2" s="535"/>
      <c r="AZ2" s="535"/>
      <c r="BA2" s="535"/>
      <c r="BB2" s="535"/>
      <c r="BC2" s="88"/>
      <c r="BD2" s="534" t="s">
        <v>4</v>
      </c>
      <c r="BE2" s="535"/>
      <c r="BF2" s="535"/>
      <c r="BG2" s="535"/>
      <c r="BH2" s="535"/>
      <c r="BI2" s="88"/>
      <c r="BJ2" s="534" t="s">
        <v>5</v>
      </c>
      <c r="BK2" s="535"/>
      <c r="BL2" s="535"/>
      <c r="BM2" s="535"/>
      <c r="BN2" s="535"/>
      <c r="BO2" s="88"/>
    </row>
    <row r="3" spans="1:67" ht="39" customHeight="1" thickBot="1">
      <c r="A3" s="90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4" t="s">
        <v>12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4" t="s">
        <v>12</v>
      </c>
      <c r="N3" s="13" t="s">
        <v>7</v>
      </c>
      <c r="O3" s="13" t="s">
        <v>8</v>
      </c>
      <c r="P3" s="13" t="s">
        <v>9</v>
      </c>
      <c r="Q3" s="13" t="s">
        <v>10</v>
      </c>
      <c r="R3" s="13" t="s">
        <v>11</v>
      </c>
      <c r="S3" s="14" t="s">
        <v>12</v>
      </c>
      <c r="T3" s="13" t="s">
        <v>7</v>
      </c>
      <c r="U3" s="13" t="s">
        <v>8</v>
      </c>
      <c r="V3" s="13" t="s">
        <v>9</v>
      </c>
      <c r="W3" s="13" t="s">
        <v>10</v>
      </c>
      <c r="X3" s="13" t="s">
        <v>11</v>
      </c>
      <c r="Y3" s="14" t="s">
        <v>12</v>
      </c>
      <c r="Z3" s="13" t="s">
        <v>7</v>
      </c>
      <c r="AA3" s="13" t="s">
        <v>8</v>
      </c>
      <c r="AB3" s="13" t="s">
        <v>9</v>
      </c>
      <c r="AC3" s="13" t="s">
        <v>10</v>
      </c>
      <c r="AD3" s="13" t="s">
        <v>11</v>
      </c>
      <c r="AE3" s="14" t="s">
        <v>12</v>
      </c>
      <c r="AF3" s="13" t="s">
        <v>7</v>
      </c>
      <c r="AG3" s="13" t="s">
        <v>8</v>
      </c>
      <c r="AH3" s="13" t="s">
        <v>9</v>
      </c>
      <c r="AI3" s="13" t="s">
        <v>10</v>
      </c>
      <c r="AJ3" s="13" t="s">
        <v>11</v>
      </c>
      <c r="AK3" s="91" t="s">
        <v>12</v>
      </c>
      <c r="AL3" s="13" t="s">
        <v>7</v>
      </c>
      <c r="AM3" s="13" t="s">
        <v>8</v>
      </c>
      <c r="AN3" s="13" t="s">
        <v>9</v>
      </c>
      <c r="AO3" s="13" t="s">
        <v>10</v>
      </c>
      <c r="AP3" s="13" t="s">
        <v>11</v>
      </c>
      <c r="AQ3" s="14" t="s">
        <v>12</v>
      </c>
      <c r="AR3" s="13" t="s">
        <v>7</v>
      </c>
      <c r="AS3" s="13" t="s">
        <v>8</v>
      </c>
      <c r="AT3" s="13" t="s">
        <v>9</v>
      </c>
      <c r="AU3" s="13" t="s">
        <v>10</v>
      </c>
      <c r="AV3" s="13" t="s">
        <v>11</v>
      </c>
      <c r="AW3" s="14" t="s">
        <v>12</v>
      </c>
      <c r="AX3" s="13" t="s">
        <v>7</v>
      </c>
      <c r="AY3" s="13" t="s">
        <v>8</v>
      </c>
      <c r="AZ3" s="13" t="s">
        <v>9</v>
      </c>
      <c r="BA3" s="13" t="s">
        <v>10</v>
      </c>
      <c r="BB3" s="13" t="s">
        <v>11</v>
      </c>
      <c r="BC3" s="14" t="s">
        <v>12</v>
      </c>
      <c r="BD3" s="13" t="s">
        <v>7</v>
      </c>
      <c r="BE3" s="13" t="s">
        <v>8</v>
      </c>
      <c r="BF3" s="13" t="s">
        <v>9</v>
      </c>
      <c r="BG3" s="13" t="s">
        <v>10</v>
      </c>
      <c r="BH3" s="13" t="s">
        <v>11</v>
      </c>
      <c r="BI3" s="14" t="s">
        <v>12</v>
      </c>
      <c r="BJ3" s="13" t="s">
        <v>7</v>
      </c>
      <c r="BK3" s="13" t="s">
        <v>8</v>
      </c>
      <c r="BL3" s="13" t="s">
        <v>9</v>
      </c>
      <c r="BM3" s="13" t="s">
        <v>10</v>
      </c>
      <c r="BN3" s="13" t="s">
        <v>11</v>
      </c>
      <c r="BO3" s="14" t="s">
        <v>12</v>
      </c>
    </row>
    <row r="4" spans="1:67" ht="22.5" customHeight="1" thickBot="1">
      <c r="A4" s="92"/>
      <c r="B4" s="516" t="s">
        <v>13</v>
      </c>
      <c r="C4" s="516"/>
      <c r="D4" s="516"/>
      <c r="E4" s="516"/>
      <c r="F4" s="516"/>
      <c r="G4" s="85"/>
      <c r="H4" s="516" t="s">
        <v>13</v>
      </c>
      <c r="I4" s="516"/>
      <c r="J4" s="516"/>
      <c r="K4" s="516"/>
      <c r="L4" s="516"/>
      <c r="M4" s="85"/>
      <c r="N4" s="516" t="s">
        <v>13</v>
      </c>
      <c r="O4" s="516"/>
      <c r="P4" s="516"/>
      <c r="Q4" s="516"/>
      <c r="R4" s="516"/>
      <c r="S4" s="85"/>
      <c r="T4" s="516" t="s">
        <v>13</v>
      </c>
      <c r="U4" s="516"/>
      <c r="V4" s="516"/>
      <c r="W4" s="516"/>
      <c r="X4" s="516"/>
      <c r="Y4" s="85"/>
      <c r="Z4" s="516" t="s">
        <v>13</v>
      </c>
      <c r="AA4" s="516"/>
      <c r="AB4" s="516"/>
      <c r="AC4" s="516"/>
      <c r="AD4" s="516"/>
      <c r="AE4" s="85"/>
      <c r="AF4" s="516" t="s">
        <v>13</v>
      </c>
      <c r="AG4" s="516"/>
      <c r="AH4" s="516"/>
      <c r="AI4" s="516"/>
      <c r="AJ4" s="516"/>
      <c r="AK4" s="111"/>
      <c r="AL4" s="515" t="s">
        <v>13</v>
      </c>
      <c r="AM4" s="516"/>
      <c r="AN4" s="516"/>
      <c r="AO4" s="516"/>
      <c r="AP4" s="516"/>
      <c r="AQ4" s="85"/>
      <c r="AR4" s="516" t="s">
        <v>13</v>
      </c>
      <c r="AS4" s="516"/>
      <c r="AT4" s="516"/>
      <c r="AU4" s="516"/>
      <c r="AV4" s="516"/>
      <c r="AW4" s="85"/>
      <c r="AX4" s="516" t="s">
        <v>13</v>
      </c>
      <c r="AY4" s="516"/>
      <c r="AZ4" s="516"/>
      <c r="BA4" s="516"/>
      <c r="BB4" s="516"/>
      <c r="BC4" s="85"/>
      <c r="BD4" s="516" t="s">
        <v>13</v>
      </c>
      <c r="BE4" s="516"/>
      <c r="BF4" s="516"/>
      <c r="BG4" s="516"/>
      <c r="BH4" s="516"/>
      <c r="BI4" s="85"/>
      <c r="BJ4" s="516" t="s">
        <v>13</v>
      </c>
      <c r="BK4" s="516"/>
      <c r="BL4" s="516"/>
      <c r="BM4" s="516"/>
      <c r="BN4" s="516"/>
      <c r="BO4" s="85"/>
    </row>
    <row r="5" spans="1:67" ht="22.5" customHeight="1" thickBot="1">
      <c r="A5" s="191" t="s">
        <v>161</v>
      </c>
      <c r="B5" s="550" t="s">
        <v>15</v>
      </c>
      <c r="C5" s="551"/>
      <c r="D5" s="551"/>
      <c r="E5" s="551"/>
      <c r="F5" s="551"/>
      <c r="G5" s="552"/>
      <c r="H5" s="550" t="s">
        <v>15</v>
      </c>
      <c r="I5" s="551"/>
      <c r="J5" s="551"/>
      <c r="K5" s="551"/>
      <c r="L5" s="551"/>
      <c r="M5" s="552"/>
      <c r="N5" s="553" t="s">
        <v>15</v>
      </c>
      <c r="O5" s="554"/>
      <c r="P5" s="554"/>
      <c r="Q5" s="554"/>
      <c r="R5" s="554"/>
      <c r="S5" s="555"/>
      <c r="T5" s="553" t="s">
        <v>15</v>
      </c>
      <c r="U5" s="554"/>
      <c r="V5" s="554"/>
      <c r="W5" s="554"/>
      <c r="X5" s="554"/>
      <c r="Y5" s="555"/>
      <c r="Z5" s="553" t="s">
        <v>15</v>
      </c>
      <c r="AA5" s="554"/>
      <c r="AB5" s="554"/>
      <c r="AC5" s="554"/>
      <c r="AD5" s="554"/>
      <c r="AE5" s="555"/>
      <c r="AF5" s="553" t="s">
        <v>15</v>
      </c>
      <c r="AG5" s="554"/>
      <c r="AH5" s="554"/>
      <c r="AI5" s="554"/>
      <c r="AJ5" s="554"/>
      <c r="AK5" s="555"/>
      <c r="AL5" s="550" t="s">
        <v>15</v>
      </c>
      <c r="AM5" s="551"/>
      <c r="AN5" s="551"/>
      <c r="AO5" s="551"/>
      <c r="AP5" s="551"/>
      <c r="AQ5" s="552"/>
      <c r="AR5" s="550" t="s">
        <v>15</v>
      </c>
      <c r="AS5" s="551"/>
      <c r="AT5" s="551"/>
      <c r="AU5" s="551"/>
      <c r="AV5" s="551"/>
      <c r="AW5" s="552"/>
      <c r="AX5" s="553" t="s">
        <v>15</v>
      </c>
      <c r="AY5" s="554"/>
      <c r="AZ5" s="554"/>
      <c r="BA5" s="554"/>
      <c r="BB5" s="554"/>
      <c r="BC5" s="555"/>
      <c r="BD5" s="553" t="s">
        <v>15</v>
      </c>
      <c r="BE5" s="554"/>
      <c r="BF5" s="554"/>
      <c r="BG5" s="554"/>
      <c r="BH5" s="554"/>
      <c r="BI5" s="555"/>
      <c r="BJ5" s="553" t="s">
        <v>15</v>
      </c>
      <c r="BK5" s="554"/>
      <c r="BL5" s="554"/>
      <c r="BM5" s="554"/>
      <c r="BN5" s="554"/>
      <c r="BO5" s="555"/>
    </row>
    <row r="6" spans="1:67" ht="22.5" customHeight="1">
      <c r="A6" s="185" t="s">
        <v>162</v>
      </c>
      <c r="B6" s="86"/>
      <c r="C6" s="86"/>
      <c r="D6" s="86"/>
      <c r="E6" s="86"/>
      <c r="F6" s="86"/>
      <c r="G6" s="132" t="e">
        <f>AVERAGE(B6:F6)</f>
        <v>#DIV/0!</v>
      </c>
      <c r="H6" s="86"/>
      <c r="I6" s="86"/>
      <c r="J6" s="64"/>
      <c r="K6" s="64"/>
      <c r="L6" s="64"/>
      <c r="M6" s="60" t="e">
        <f>AVERAGE(H6:I6)</f>
        <v>#DIV/0!</v>
      </c>
      <c r="N6" s="58"/>
      <c r="O6" s="58"/>
      <c r="P6" s="58"/>
      <c r="Q6" s="58"/>
      <c r="R6" s="58"/>
      <c r="S6" s="60" t="e">
        <f>AVERAGE(N6:R6)</f>
        <v>#DIV/0!</v>
      </c>
      <c r="T6" s="58"/>
      <c r="U6" s="58"/>
      <c r="V6" s="58"/>
      <c r="W6" s="58"/>
      <c r="X6" s="58"/>
      <c r="Y6" s="60" t="e">
        <f>AVERAGE(T6:X6)</f>
        <v>#DIV/0!</v>
      </c>
      <c r="Z6" s="58"/>
      <c r="AA6" s="58"/>
      <c r="AB6" s="58"/>
      <c r="AC6" s="58"/>
      <c r="AD6" s="58"/>
      <c r="AE6" s="60" t="e">
        <f>AVERAGE(Z6:AD6)</f>
        <v>#DIV/0!</v>
      </c>
      <c r="AF6" s="58"/>
      <c r="AG6" s="58"/>
      <c r="AH6" s="58">
        <v>87.7</v>
      </c>
      <c r="AI6" s="58"/>
      <c r="AJ6" s="58"/>
      <c r="AK6" s="113">
        <v>88</v>
      </c>
      <c r="AL6" s="86"/>
      <c r="AM6" s="86"/>
      <c r="AN6" s="86"/>
      <c r="AO6" s="86"/>
      <c r="AP6" s="86"/>
      <c r="AQ6" s="132" t="e">
        <f>AVERAGE(AL6:AP6)</f>
        <v>#DIV/0!</v>
      </c>
      <c r="AR6" s="86"/>
      <c r="AS6" s="86"/>
      <c r="AT6" s="64"/>
      <c r="AU6" s="64"/>
      <c r="AV6" s="64"/>
      <c r="AW6" s="60" t="e">
        <f>AVERAGE(AR6:AS6)</f>
        <v>#DIV/0!</v>
      </c>
      <c r="AX6" s="58"/>
      <c r="AY6" s="58"/>
      <c r="AZ6" s="58"/>
      <c r="BA6" s="58"/>
      <c r="BB6" s="58"/>
      <c r="BC6" s="60" t="e">
        <f>AVERAGE(AX6:BB6)</f>
        <v>#DIV/0!</v>
      </c>
      <c r="BD6" s="58"/>
      <c r="BE6" s="58"/>
      <c r="BF6" s="58"/>
      <c r="BG6" s="58"/>
      <c r="BH6" s="58"/>
      <c r="BI6" s="60" t="e">
        <f>AVERAGE(BD6:BH6)</f>
        <v>#DIV/0!</v>
      </c>
      <c r="BJ6" s="58"/>
      <c r="BK6" s="58"/>
      <c r="BL6" s="58"/>
      <c r="BM6" s="58"/>
      <c r="BN6" s="58"/>
      <c r="BO6" s="60" t="e">
        <f>AVERAGE(BJ6:BN6)</f>
        <v>#DIV/0!</v>
      </c>
    </row>
    <row r="7" spans="1:67" ht="22.5" customHeight="1">
      <c r="A7" s="185" t="s">
        <v>162</v>
      </c>
      <c r="B7" s="59"/>
      <c r="C7" s="59"/>
      <c r="D7" s="59"/>
      <c r="E7" s="59"/>
      <c r="F7" s="59"/>
      <c r="G7" s="132" t="e">
        <f>AVERAGE(B7:F7)</f>
        <v>#DIV/0!</v>
      </c>
      <c r="H7" s="59"/>
      <c r="I7" s="59"/>
      <c r="J7" s="58"/>
      <c r="K7" s="58"/>
      <c r="L7" s="58"/>
      <c r="M7" s="60" t="e">
        <f t="shared" ref="M7:M14" si="0">AVERAGE(H7:I7)</f>
        <v>#DIV/0!</v>
      </c>
      <c r="N7" s="58"/>
      <c r="O7" s="59"/>
      <c r="P7" s="58"/>
      <c r="Q7" s="58"/>
      <c r="R7" s="58"/>
      <c r="S7" s="60" t="e">
        <f>AVERAGE(N7:R7)</f>
        <v>#DIV/0!</v>
      </c>
      <c r="T7" s="58"/>
      <c r="U7" s="58"/>
      <c r="V7" s="58"/>
      <c r="W7" s="58"/>
      <c r="X7" s="58"/>
      <c r="Y7" s="60" t="e">
        <f>AVERAGE(T7:X7)</f>
        <v>#DIV/0!</v>
      </c>
      <c r="Z7" s="58"/>
      <c r="AA7" s="58"/>
      <c r="AB7" s="58"/>
      <c r="AC7" s="58"/>
      <c r="AD7" s="58"/>
      <c r="AE7" s="60" t="e">
        <f>AVERAGE(Z7:AD7)</f>
        <v>#DIV/0!</v>
      </c>
      <c r="AF7" s="58">
        <v>88.9</v>
      </c>
      <c r="AG7" s="58"/>
      <c r="AH7" s="58"/>
      <c r="AI7" s="58"/>
      <c r="AJ7" s="58"/>
      <c r="AK7" s="113">
        <f>AVERAGE(AF7:AJ7)</f>
        <v>88.9</v>
      </c>
      <c r="AL7" s="59"/>
      <c r="AM7" s="59"/>
      <c r="AN7" s="59"/>
      <c r="AO7" s="59"/>
      <c r="AP7" s="59"/>
      <c r="AQ7" s="132" t="e">
        <f>AVERAGE(AL7:AP7)</f>
        <v>#DIV/0!</v>
      </c>
      <c r="AR7" s="59"/>
      <c r="AS7" s="59"/>
      <c r="AT7" s="58"/>
      <c r="AU7" s="58"/>
      <c r="AV7" s="58"/>
      <c r="AW7" s="60" t="e">
        <f t="shared" ref="AW7:AW14" si="1">AVERAGE(AR7:AS7)</f>
        <v>#DIV/0!</v>
      </c>
      <c r="AX7" s="58"/>
      <c r="AY7" s="59"/>
      <c r="AZ7" s="58"/>
      <c r="BA7" s="58"/>
      <c r="BB7" s="58"/>
      <c r="BC7" s="60" t="e">
        <f>AVERAGE(AX7:BB7)</f>
        <v>#DIV/0!</v>
      </c>
      <c r="BD7" s="58"/>
      <c r="BE7" s="58"/>
      <c r="BF7" s="58"/>
      <c r="BG7" s="58"/>
      <c r="BH7" s="58"/>
      <c r="BI7" s="60" t="e">
        <f>AVERAGE(BD7:BH7)</f>
        <v>#DIV/0!</v>
      </c>
      <c r="BJ7" s="58"/>
      <c r="BK7" s="58"/>
      <c r="BL7" s="58"/>
      <c r="BM7" s="58"/>
      <c r="BN7" s="58"/>
      <c r="BO7" s="60" t="e">
        <f>AVERAGE(BJ7:BN7)</f>
        <v>#DIV/0!</v>
      </c>
    </row>
    <row r="8" spans="1:67" ht="22.5" customHeight="1">
      <c r="A8" s="185" t="s">
        <v>162</v>
      </c>
      <c r="B8" s="59"/>
      <c r="C8" s="59"/>
      <c r="D8" s="59"/>
      <c r="E8" s="59"/>
      <c r="F8" s="59"/>
      <c r="G8" s="132" t="e">
        <f t="shared" ref="G8:G11" si="2">AVERAGE(B8:F8)</f>
        <v>#DIV/0!</v>
      </c>
      <c r="H8" s="59"/>
      <c r="I8" s="59"/>
      <c r="J8" s="58"/>
      <c r="K8" s="58"/>
      <c r="L8" s="58"/>
      <c r="M8" s="60" t="e">
        <f t="shared" si="0"/>
        <v>#DIV/0!</v>
      </c>
      <c r="N8" s="59"/>
      <c r="O8" s="59"/>
      <c r="P8" s="58"/>
      <c r="Q8" s="58"/>
      <c r="R8" s="58"/>
      <c r="S8" s="60" t="e">
        <f t="shared" ref="S8:S14" si="3">AVERAGE(N8:R8)</f>
        <v>#DIV/0!</v>
      </c>
      <c r="T8" s="58"/>
      <c r="U8" s="58"/>
      <c r="V8" s="58"/>
      <c r="W8" s="58"/>
      <c r="X8" s="58"/>
      <c r="Y8" s="60" t="e">
        <f t="shared" ref="Y8:Y12" si="4">AVERAGE(T8:X8)</f>
        <v>#DIV/0!</v>
      </c>
      <c r="Z8" s="58"/>
      <c r="AA8" s="58"/>
      <c r="AB8" s="58"/>
      <c r="AC8" s="58"/>
      <c r="AD8" s="58"/>
      <c r="AE8" s="60" t="e">
        <f t="shared" ref="AE8:AE14" si="5">AVERAGE(Z8:AD8)</f>
        <v>#DIV/0!</v>
      </c>
      <c r="AF8" s="58"/>
      <c r="AG8" s="58"/>
      <c r="AH8" s="58">
        <v>80</v>
      </c>
      <c r="AI8" s="58"/>
      <c r="AJ8" s="58"/>
      <c r="AK8" s="113">
        <v>80</v>
      </c>
      <c r="AL8" s="59"/>
      <c r="AM8" s="59"/>
      <c r="AN8" s="59"/>
      <c r="AO8" s="59"/>
      <c r="AP8" s="59"/>
      <c r="AQ8" s="132" t="e">
        <f t="shared" ref="AQ8:AQ11" si="6">AVERAGE(AL8:AP8)</f>
        <v>#DIV/0!</v>
      </c>
      <c r="AR8" s="59"/>
      <c r="AS8" s="59"/>
      <c r="AT8" s="58"/>
      <c r="AU8" s="58"/>
      <c r="AV8" s="58"/>
      <c r="AW8" s="60" t="e">
        <f t="shared" si="1"/>
        <v>#DIV/0!</v>
      </c>
      <c r="AX8" s="59"/>
      <c r="AY8" s="59"/>
      <c r="AZ8" s="58"/>
      <c r="BA8" s="58"/>
      <c r="BB8" s="58"/>
      <c r="BC8" s="60" t="e">
        <f t="shared" ref="BC8:BC14" si="7">AVERAGE(AX8:BB8)</f>
        <v>#DIV/0!</v>
      </c>
      <c r="BD8" s="58"/>
      <c r="BE8" s="58"/>
      <c r="BF8" s="58"/>
      <c r="BG8" s="58"/>
      <c r="BH8" s="58"/>
      <c r="BI8" s="60" t="e">
        <f t="shared" ref="BI8:BI12" si="8">AVERAGE(BD8:BH8)</f>
        <v>#DIV/0!</v>
      </c>
      <c r="BJ8" s="58"/>
      <c r="BK8" s="58"/>
      <c r="BL8" s="58"/>
      <c r="BM8" s="58"/>
      <c r="BN8" s="58"/>
      <c r="BO8" s="60" t="e">
        <f t="shared" ref="BO8:BO14" si="9">AVERAGE(BJ8:BN8)</f>
        <v>#DIV/0!</v>
      </c>
    </row>
    <row r="9" spans="1:67" ht="22.5" customHeight="1">
      <c r="A9" s="185" t="s">
        <v>162</v>
      </c>
      <c r="B9" s="59"/>
      <c r="C9" s="59"/>
      <c r="D9" s="59"/>
      <c r="E9" s="59"/>
      <c r="F9" s="59"/>
      <c r="G9" s="132"/>
      <c r="H9" s="59"/>
      <c r="I9" s="59"/>
      <c r="J9" s="58"/>
      <c r="K9" s="58"/>
      <c r="L9" s="58"/>
      <c r="M9" s="60"/>
      <c r="N9" s="59"/>
      <c r="O9" s="59"/>
      <c r="P9" s="58"/>
      <c r="Q9" s="58"/>
      <c r="R9" s="58"/>
      <c r="S9" s="60"/>
      <c r="T9" s="58"/>
      <c r="U9" s="58"/>
      <c r="V9" s="58"/>
      <c r="W9" s="58"/>
      <c r="X9" s="58"/>
      <c r="Y9" s="60"/>
      <c r="Z9" s="58"/>
      <c r="AA9" s="58"/>
      <c r="AB9" s="58"/>
      <c r="AC9" s="58"/>
      <c r="AD9" s="58"/>
      <c r="AE9" s="60"/>
      <c r="AF9" s="58"/>
      <c r="AG9" s="58"/>
      <c r="AH9" s="58"/>
      <c r="AI9" s="58"/>
      <c r="AJ9" s="58"/>
      <c r="AK9" s="113"/>
      <c r="AL9" s="59"/>
      <c r="AM9" s="59"/>
      <c r="AN9" s="59"/>
      <c r="AO9" s="59"/>
      <c r="AP9" s="59"/>
      <c r="AQ9" s="132"/>
      <c r="AR9" s="59"/>
      <c r="AS9" s="59"/>
      <c r="AT9" s="58"/>
      <c r="AU9" s="58"/>
      <c r="AV9" s="58"/>
      <c r="AW9" s="60"/>
      <c r="AX9" s="59"/>
      <c r="AY9" s="59"/>
      <c r="AZ9" s="58"/>
      <c r="BA9" s="58"/>
      <c r="BB9" s="58"/>
      <c r="BC9" s="60"/>
      <c r="BD9" s="58"/>
      <c r="BE9" s="58"/>
      <c r="BF9" s="58"/>
      <c r="BG9" s="58"/>
      <c r="BH9" s="58"/>
      <c r="BI9" s="60"/>
      <c r="BJ9" s="58"/>
      <c r="BK9" s="58"/>
      <c r="BL9" s="58"/>
      <c r="BM9" s="58"/>
      <c r="BN9" s="58"/>
      <c r="BO9" s="60"/>
    </row>
    <row r="10" spans="1:67" ht="22.5" customHeight="1">
      <c r="A10" s="185" t="s">
        <v>162</v>
      </c>
      <c r="B10" s="59"/>
      <c r="C10" s="59"/>
      <c r="D10" s="59"/>
      <c r="E10" s="59"/>
      <c r="F10" s="59"/>
      <c r="G10" s="132" t="e">
        <f t="shared" si="2"/>
        <v>#DIV/0!</v>
      </c>
      <c r="H10" s="59"/>
      <c r="I10" s="59"/>
      <c r="J10" s="58"/>
      <c r="K10" s="58"/>
      <c r="L10" s="58"/>
      <c r="M10" s="60" t="e">
        <f t="shared" si="0"/>
        <v>#DIV/0!</v>
      </c>
      <c r="N10" s="59"/>
      <c r="O10" s="59"/>
      <c r="P10" s="58"/>
      <c r="Q10" s="58"/>
      <c r="R10" s="58"/>
      <c r="S10" s="60" t="e">
        <f t="shared" si="3"/>
        <v>#DIV/0!</v>
      </c>
      <c r="T10" s="58"/>
      <c r="U10" s="58"/>
      <c r="V10" s="58"/>
      <c r="W10" s="58"/>
      <c r="X10" s="58"/>
      <c r="Y10" s="60" t="e">
        <f t="shared" si="4"/>
        <v>#DIV/0!</v>
      </c>
      <c r="Z10" s="58"/>
      <c r="AA10" s="58"/>
      <c r="AB10" s="58"/>
      <c r="AC10" s="58"/>
      <c r="AD10" s="58"/>
      <c r="AE10" s="60" t="e">
        <f t="shared" si="5"/>
        <v>#DIV/0!</v>
      </c>
      <c r="AF10" s="58">
        <v>90</v>
      </c>
      <c r="AG10" s="58"/>
      <c r="AH10" s="58"/>
      <c r="AI10" s="58"/>
      <c r="AJ10" s="58"/>
      <c r="AK10" s="113">
        <f t="shared" ref="AK10:AK14" si="10">AVERAGE(AF10:AJ10)</f>
        <v>90</v>
      </c>
      <c r="AL10" s="59"/>
      <c r="AM10" s="59"/>
      <c r="AN10" s="59"/>
      <c r="AO10" s="59"/>
      <c r="AP10" s="59"/>
      <c r="AQ10" s="132" t="e">
        <f t="shared" si="6"/>
        <v>#DIV/0!</v>
      </c>
      <c r="AR10" s="59"/>
      <c r="AS10" s="59"/>
      <c r="AT10" s="58"/>
      <c r="AU10" s="58"/>
      <c r="AV10" s="58"/>
      <c r="AW10" s="60" t="e">
        <f t="shared" si="1"/>
        <v>#DIV/0!</v>
      </c>
      <c r="AX10" s="59"/>
      <c r="AY10" s="59"/>
      <c r="AZ10" s="58"/>
      <c r="BA10" s="58"/>
      <c r="BB10" s="58"/>
      <c r="BC10" s="60" t="e">
        <f t="shared" si="7"/>
        <v>#DIV/0!</v>
      </c>
      <c r="BD10" s="58"/>
      <c r="BE10" s="58"/>
      <c r="BF10" s="58"/>
      <c r="BG10" s="58"/>
      <c r="BH10" s="58"/>
      <c r="BI10" s="60" t="e">
        <f t="shared" si="8"/>
        <v>#DIV/0!</v>
      </c>
      <c r="BJ10" s="58"/>
      <c r="BK10" s="58"/>
      <c r="BL10" s="58"/>
      <c r="BM10" s="58"/>
      <c r="BN10" s="58"/>
      <c r="BO10" s="60" t="e">
        <f t="shared" si="9"/>
        <v>#DIV/0!</v>
      </c>
    </row>
    <row r="11" spans="1:67" ht="22.5" customHeight="1">
      <c r="A11" s="185" t="s">
        <v>162</v>
      </c>
      <c r="B11" s="59"/>
      <c r="C11" s="59"/>
      <c r="D11" s="59"/>
      <c r="E11" s="59"/>
      <c r="F11" s="59"/>
      <c r="G11" s="132" t="e">
        <f t="shared" si="2"/>
        <v>#DIV/0!</v>
      </c>
      <c r="H11" s="59"/>
      <c r="I11" s="59"/>
      <c r="J11" s="58"/>
      <c r="K11" s="58"/>
      <c r="L11" s="58"/>
      <c r="M11" s="60" t="e">
        <f t="shared" si="0"/>
        <v>#DIV/0!</v>
      </c>
      <c r="N11" s="58"/>
      <c r="O11" s="59"/>
      <c r="P11" s="58"/>
      <c r="Q11" s="58"/>
      <c r="R11" s="58"/>
      <c r="S11" s="60" t="e">
        <f t="shared" si="3"/>
        <v>#DIV/0!</v>
      </c>
      <c r="T11" s="58"/>
      <c r="U11" s="58"/>
      <c r="V11" s="58"/>
      <c r="W11" s="58"/>
      <c r="X11" s="58"/>
      <c r="Y11" s="60" t="e">
        <f t="shared" si="4"/>
        <v>#DIV/0!</v>
      </c>
      <c r="Z11" s="58"/>
      <c r="AA11" s="58"/>
      <c r="AB11" s="58"/>
      <c r="AC11" s="58"/>
      <c r="AD11" s="58"/>
      <c r="AE11" s="60" t="e">
        <f t="shared" si="5"/>
        <v>#DIV/0!</v>
      </c>
      <c r="AF11" s="58"/>
      <c r="AG11" s="58"/>
      <c r="AH11" s="58">
        <v>85.2</v>
      </c>
      <c r="AI11" s="58"/>
      <c r="AJ11" s="58"/>
      <c r="AK11" s="113">
        <v>85</v>
      </c>
      <c r="AL11" s="59"/>
      <c r="AM11" s="59"/>
      <c r="AN11" s="59"/>
      <c r="AO11" s="59"/>
      <c r="AP11" s="59"/>
      <c r="AQ11" s="132" t="e">
        <f t="shared" si="6"/>
        <v>#DIV/0!</v>
      </c>
      <c r="AR11" s="59"/>
      <c r="AS11" s="59"/>
      <c r="AT11" s="58"/>
      <c r="AU11" s="58"/>
      <c r="AV11" s="58"/>
      <c r="AW11" s="60" t="e">
        <f t="shared" si="1"/>
        <v>#DIV/0!</v>
      </c>
      <c r="AX11" s="58"/>
      <c r="AY11" s="59"/>
      <c r="AZ11" s="58"/>
      <c r="BA11" s="58"/>
      <c r="BB11" s="58"/>
      <c r="BC11" s="60" t="e">
        <f t="shared" si="7"/>
        <v>#DIV/0!</v>
      </c>
      <c r="BD11" s="58"/>
      <c r="BE11" s="58"/>
      <c r="BF11" s="58"/>
      <c r="BG11" s="58"/>
      <c r="BH11" s="58"/>
      <c r="BI11" s="60" t="e">
        <f t="shared" si="8"/>
        <v>#DIV/0!</v>
      </c>
      <c r="BJ11" s="58"/>
      <c r="BK11" s="58"/>
      <c r="BL11" s="58"/>
      <c r="BM11" s="58"/>
      <c r="BN11" s="58"/>
      <c r="BO11" s="60" t="e">
        <f t="shared" si="9"/>
        <v>#DIV/0!</v>
      </c>
    </row>
    <row r="12" spans="1:67" ht="22.5" customHeight="1">
      <c r="A12" s="185" t="s">
        <v>162</v>
      </c>
      <c r="B12" s="59"/>
      <c r="C12" s="59"/>
      <c r="D12" s="59"/>
      <c r="E12" s="59"/>
      <c r="F12" s="59"/>
      <c r="G12" s="132" t="e">
        <f>AVERAGE(B12:F12)</f>
        <v>#DIV/0!</v>
      </c>
      <c r="H12" s="59"/>
      <c r="I12" s="59"/>
      <c r="J12" s="58"/>
      <c r="K12" s="58"/>
      <c r="L12" s="58"/>
      <c r="M12" s="60" t="e">
        <f t="shared" si="0"/>
        <v>#DIV/0!</v>
      </c>
      <c r="N12" s="58"/>
      <c r="O12" s="59"/>
      <c r="P12" s="58"/>
      <c r="Q12" s="58"/>
      <c r="R12" s="58"/>
      <c r="S12" s="60" t="e">
        <f t="shared" si="3"/>
        <v>#DIV/0!</v>
      </c>
      <c r="T12" s="58"/>
      <c r="U12" s="58"/>
      <c r="V12" s="58"/>
      <c r="W12" s="58"/>
      <c r="X12" s="58"/>
      <c r="Y12" s="60" t="e">
        <f t="shared" si="4"/>
        <v>#DIV/0!</v>
      </c>
      <c r="Z12" s="58"/>
      <c r="AA12" s="58"/>
      <c r="AB12" s="58"/>
      <c r="AC12" s="58"/>
      <c r="AD12" s="58"/>
      <c r="AE12" s="60" t="e">
        <f t="shared" si="5"/>
        <v>#DIV/0!</v>
      </c>
      <c r="AF12" s="58">
        <v>87.5</v>
      </c>
      <c r="AG12" s="58"/>
      <c r="AH12" s="58"/>
      <c r="AI12" s="58"/>
      <c r="AJ12" s="58"/>
      <c r="AK12" s="113">
        <f t="shared" si="10"/>
        <v>87.5</v>
      </c>
      <c r="AL12" s="59"/>
      <c r="AM12" s="59"/>
      <c r="AN12" s="59"/>
      <c r="AO12" s="59"/>
      <c r="AP12" s="59"/>
      <c r="AQ12" s="132" t="e">
        <f>AVERAGE(AL12:AP12)</f>
        <v>#DIV/0!</v>
      </c>
      <c r="AR12" s="59"/>
      <c r="AS12" s="59"/>
      <c r="AT12" s="58"/>
      <c r="AU12" s="58"/>
      <c r="AV12" s="58"/>
      <c r="AW12" s="60" t="e">
        <f t="shared" si="1"/>
        <v>#DIV/0!</v>
      </c>
      <c r="AX12" s="58"/>
      <c r="AY12" s="59"/>
      <c r="AZ12" s="58"/>
      <c r="BA12" s="58"/>
      <c r="BB12" s="58"/>
      <c r="BC12" s="60" t="e">
        <f t="shared" si="7"/>
        <v>#DIV/0!</v>
      </c>
      <c r="BD12" s="58"/>
      <c r="BE12" s="58"/>
      <c r="BF12" s="58"/>
      <c r="BG12" s="58"/>
      <c r="BH12" s="58"/>
      <c r="BI12" s="60" t="e">
        <f t="shared" si="8"/>
        <v>#DIV/0!</v>
      </c>
      <c r="BJ12" s="58"/>
      <c r="BK12" s="58"/>
      <c r="BL12" s="58"/>
      <c r="BM12" s="58"/>
      <c r="BN12" s="58"/>
      <c r="BO12" s="60" t="e">
        <f t="shared" si="9"/>
        <v>#DIV/0!</v>
      </c>
    </row>
    <row r="13" spans="1:67" ht="22.5" customHeight="1">
      <c r="A13" s="185" t="s">
        <v>162</v>
      </c>
      <c r="B13" s="59"/>
      <c r="C13" s="59"/>
      <c r="D13" s="59"/>
      <c r="E13" s="59"/>
      <c r="F13" s="59"/>
      <c r="G13" s="132"/>
      <c r="H13" s="59"/>
      <c r="I13" s="59"/>
      <c r="J13" s="58"/>
      <c r="K13" s="58"/>
      <c r="L13" s="58"/>
      <c r="M13" s="60"/>
      <c r="N13" s="58"/>
      <c r="O13" s="59"/>
      <c r="P13" s="58"/>
      <c r="Q13" s="58"/>
      <c r="R13" s="58"/>
      <c r="S13" s="60"/>
      <c r="T13" s="58"/>
      <c r="U13" s="58"/>
      <c r="V13" s="58"/>
      <c r="W13" s="58"/>
      <c r="X13" s="58"/>
      <c r="Y13" s="60"/>
      <c r="Z13" s="58"/>
      <c r="AA13" s="58"/>
      <c r="AB13" s="58"/>
      <c r="AC13" s="58"/>
      <c r="AD13" s="58"/>
      <c r="AE13" s="60"/>
      <c r="AF13" s="58"/>
      <c r="AG13" s="58"/>
      <c r="AH13" s="58"/>
      <c r="AI13" s="58"/>
      <c r="AJ13" s="58"/>
      <c r="AK13" s="113"/>
      <c r="AL13" s="59"/>
      <c r="AM13" s="59"/>
      <c r="AN13" s="59"/>
      <c r="AO13" s="59"/>
      <c r="AP13" s="59"/>
      <c r="AQ13" s="132"/>
      <c r="AR13" s="59"/>
      <c r="AS13" s="59"/>
      <c r="AT13" s="58"/>
      <c r="AU13" s="58"/>
      <c r="AV13" s="58"/>
      <c r="AW13" s="60"/>
      <c r="AX13" s="58"/>
      <c r="AY13" s="59"/>
      <c r="AZ13" s="58"/>
      <c r="BA13" s="58"/>
      <c r="BB13" s="58"/>
      <c r="BC13" s="60"/>
      <c r="BD13" s="58"/>
      <c r="BE13" s="58"/>
      <c r="BF13" s="58"/>
      <c r="BG13" s="58"/>
      <c r="BH13" s="58"/>
      <c r="BI13" s="60"/>
      <c r="BJ13" s="58"/>
      <c r="BK13" s="58"/>
      <c r="BL13" s="58"/>
      <c r="BM13" s="58"/>
      <c r="BN13" s="58"/>
      <c r="BO13" s="60"/>
    </row>
    <row r="14" spans="1:67" ht="22.5" customHeight="1">
      <c r="A14" s="185" t="s">
        <v>162</v>
      </c>
      <c r="B14" s="59"/>
      <c r="C14" s="59"/>
      <c r="D14" s="59"/>
      <c r="E14" s="59"/>
      <c r="F14" s="59"/>
      <c r="G14" s="132" t="e">
        <f>AVERAGE(B14:F14)</f>
        <v>#DIV/0!</v>
      </c>
      <c r="H14" s="59"/>
      <c r="I14" s="59"/>
      <c r="J14" s="58"/>
      <c r="K14" s="58"/>
      <c r="L14" s="58"/>
      <c r="M14" s="60" t="e">
        <f t="shared" si="0"/>
        <v>#DIV/0!</v>
      </c>
      <c r="N14" s="58"/>
      <c r="O14" s="59"/>
      <c r="P14" s="58"/>
      <c r="Q14" s="58"/>
      <c r="R14" s="58"/>
      <c r="S14" s="60" t="e">
        <f t="shared" si="3"/>
        <v>#DIV/0!</v>
      </c>
      <c r="T14" s="58"/>
      <c r="U14" s="58"/>
      <c r="V14" s="58"/>
      <c r="W14" s="58"/>
      <c r="X14" s="58"/>
      <c r="Y14" s="60" t="e">
        <f>AVERAGE(T14:X14)</f>
        <v>#DIV/0!</v>
      </c>
      <c r="Z14" s="58"/>
      <c r="AA14" s="58"/>
      <c r="AB14" s="58"/>
      <c r="AC14" s="58"/>
      <c r="AD14" s="58"/>
      <c r="AE14" s="60" t="e">
        <f t="shared" si="5"/>
        <v>#DIV/0!</v>
      </c>
      <c r="AF14" s="58"/>
      <c r="AG14" s="58">
        <v>100</v>
      </c>
      <c r="AH14" s="58">
        <v>90</v>
      </c>
      <c r="AI14" s="58"/>
      <c r="AJ14" s="58"/>
      <c r="AK14" s="113">
        <f t="shared" si="10"/>
        <v>95</v>
      </c>
      <c r="AL14" s="59"/>
      <c r="AM14" s="59"/>
      <c r="AN14" s="59"/>
      <c r="AO14" s="59"/>
      <c r="AP14" s="59"/>
      <c r="AQ14" s="132" t="e">
        <f>AVERAGE(AL14:AP14)</f>
        <v>#DIV/0!</v>
      </c>
      <c r="AR14" s="59"/>
      <c r="AS14" s="59"/>
      <c r="AT14" s="58"/>
      <c r="AU14" s="58"/>
      <c r="AV14" s="58"/>
      <c r="AW14" s="60" t="e">
        <f t="shared" si="1"/>
        <v>#DIV/0!</v>
      </c>
      <c r="AX14" s="58"/>
      <c r="AY14" s="59"/>
      <c r="AZ14" s="58"/>
      <c r="BA14" s="58"/>
      <c r="BB14" s="58"/>
      <c r="BC14" s="60" t="e">
        <f t="shared" si="7"/>
        <v>#DIV/0!</v>
      </c>
      <c r="BD14" s="58"/>
      <c r="BE14" s="58"/>
      <c r="BF14" s="58"/>
      <c r="BG14" s="58"/>
      <c r="BH14" s="58"/>
      <c r="BI14" s="60" t="e">
        <f>AVERAGE(BD14:BH14)</f>
        <v>#DIV/0!</v>
      </c>
      <c r="BJ14" s="58"/>
      <c r="BK14" s="58"/>
      <c r="BL14" s="58"/>
      <c r="BM14" s="58"/>
      <c r="BN14" s="58"/>
      <c r="BO14" s="60" t="e">
        <f t="shared" si="9"/>
        <v>#DIV/0!</v>
      </c>
    </row>
    <row r="15" spans="1:67" ht="22.5" customHeight="1" thickBot="1">
      <c r="A15" s="185" t="s">
        <v>12</v>
      </c>
      <c r="B15" s="133" t="e">
        <f>AVERAGE(B6:B14)</f>
        <v>#DIV/0!</v>
      </c>
      <c r="C15" s="133" t="e">
        <f>AVERAGE(C6:C14)</f>
        <v>#DIV/0!</v>
      </c>
      <c r="D15" s="133" t="e">
        <f t="shared" ref="D15:E15" si="11">AVERAGE(D6:D14)</f>
        <v>#DIV/0!</v>
      </c>
      <c r="E15" s="133" t="e">
        <f t="shared" si="11"/>
        <v>#DIV/0!</v>
      </c>
      <c r="F15" s="133" t="e">
        <f>AVERAGE(F6:F14)</f>
        <v>#DIV/0!</v>
      </c>
      <c r="G15" s="134" t="e">
        <f>AVERAGE(G6:G14)</f>
        <v>#DIV/0!</v>
      </c>
      <c r="H15" s="134" t="e">
        <f>AVERAGE(H6:H14)</f>
        <v>#DIV/0!</v>
      </c>
      <c r="I15" s="63" t="e">
        <f t="shared" ref="I15:L15" si="12">AVERAGE(I6:I14)</f>
        <v>#DIV/0!</v>
      </c>
      <c r="J15" s="63" t="e">
        <f t="shared" si="12"/>
        <v>#DIV/0!</v>
      </c>
      <c r="K15" s="63" t="e">
        <f t="shared" si="12"/>
        <v>#DIV/0!</v>
      </c>
      <c r="L15" s="63" t="e">
        <f t="shared" si="12"/>
        <v>#DIV/0!</v>
      </c>
      <c r="M15" s="63" t="e">
        <f>AVERAGE(M6:M14)</f>
        <v>#DIV/0!</v>
      </c>
      <c r="N15" s="62" t="e">
        <f>AVERAGE(N6:N14)</f>
        <v>#DIV/0!</v>
      </c>
      <c r="O15" s="62" t="e">
        <f t="shared" ref="O15:R15" si="13">AVERAGE(O6:O14)</f>
        <v>#DIV/0!</v>
      </c>
      <c r="P15" s="62" t="e">
        <f t="shared" si="13"/>
        <v>#DIV/0!</v>
      </c>
      <c r="Q15" s="62" t="e">
        <f t="shared" si="13"/>
        <v>#DIV/0!</v>
      </c>
      <c r="R15" s="62" t="e">
        <f t="shared" si="13"/>
        <v>#DIV/0!</v>
      </c>
      <c r="S15" s="63" t="e">
        <f>AVERAGE(S6:S14)</f>
        <v>#DIV/0!</v>
      </c>
      <c r="T15" s="133" t="e">
        <f>AVERAGE(T6:T14)</f>
        <v>#DIV/0!</v>
      </c>
      <c r="U15" s="133" t="e">
        <f t="shared" ref="U15:X15" si="14">AVERAGE(U6:U14)</f>
        <v>#DIV/0!</v>
      </c>
      <c r="V15" s="62" t="e">
        <f t="shared" si="14"/>
        <v>#DIV/0!</v>
      </c>
      <c r="W15" s="62" t="e">
        <f t="shared" si="14"/>
        <v>#DIV/0!</v>
      </c>
      <c r="X15" s="62" t="e">
        <f t="shared" si="14"/>
        <v>#DIV/0!</v>
      </c>
      <c r="Y15" s="134" t="e">
        <f>AVERAGE(Y6:Y14)</f>
        <v>#DIV/0!</v>
      </c>
      <c r="Z15" s="62" t="e">
        <f>AVERAGE(Z6:Z14)</f>
        <v>#DIV/0!</v>
      </c>
      <c r="AA15" s="62" t="e">
        <f t="shared" ref="AA15:AD15" si="15">AVERAGE(AA6:AA14)</f>
        <v>#DIV/0!</v>
      </c>
      <c r="AB15" s="62" t="e">
        <f t="shared" si="15"/>
        <v>#DIV/0!</v>
      </c>
      <c r="AC15" s="62" t="e">
        <f t="shared" si="15"/>
        <v>#DIV/0!</v>
      </c>
      <c r="AD15" s="62" t="e">
        <f t="shared" si="15"/>
        <v>#DIV/0!</v>
      </c>
      <c r="AE15" s="134" t="e">
        <f>AVERAGE(AE6:AE14)</f>
        <v>#DIV/0!</v>
      </c>
      <c r="AF15" s="62">
        <f>AVERAGE(AF6:AF14)</f>
        <v>88.8</v>
      </c>
      <c r="AG15" s="62">
        <f t="shared" ref="AG15:AJ15" si="16">AVERAGE(AG6:AG14)</f>
        <v>100</v>
      </c>
      <c r="AH15" s="62">
        <f t="shared" si="16"/>
        <v>85.724999999999994</v>
      </c>
      <c r="AI15" s="62" t="e">
        <f t="shared" si="16"/>
        <v>#DIV/0!</v>
      </c>
      <c r="AJ15" s="62" t="e">
        <f t="shared" si="16"/>
        <v>#DIV/0!</v>
      </c>
      <c r="AK15" s="114">
        <f>AVERAGE(AK6:AK14)</f>
        <v>87.771428571428572</v>
      </c>
      <c r="AL15" s="133" t="e">
        <f>AVERAGE(AL6:AL14)</f>
        <v>#DIV/0!</v>
      </c>
      <c r="AM15" s="133" t="e">
        <f>AVERAGE(AM6:AM14)</f>
        <v>#DIV/0!</v>
      </c>
      <c r="AN15" s="133" t="e">
        <f t="shared" ref="AN15:AO15" si="17">AVERAGE(AN6:AN14)</f>
        <v>#DIV/0!</v>
      </c>
      <c r="AO15" s="133" t="e">
        <f t="shared" si="17"/>
        <v>#DIV/0!</v>
      </c>
      <c r="AP15" s="133" t="e">
        <f>AVERAGE(AP6:AP14)</f>
        <v>#DIV/0!</v>
      </c>
      <c r="AQ15" s="134" t="e">
        <f>AVERAGE(AQ6:AQ14)</f>
        <v>#DIV/0!</v>
      </c>
      <c r="AR15" s="134" t="e">
        <f>AVERAGE(AR6:AR14)</f>
        <v>#DIV/0!</v>
      </c>
      <c r="AS15" s="63" t="e">
        <f t="shared" ref="AS15:AV15" si="18">AVERAGE(AS6:AS14)</f>
        <v>#DIV/0!</v>
      </c>
      <c r="AT15" s="63" t="e">
        <f t="shared" si="18"/>
        <v>#DIV/0!</v>
      </c>
      <c r="AU15" s="63" t="e">
        <f t="shared" si="18"/>
        <v>#DIV/0!</v>
      </c>
      <c r="AV15" s="63" t="e">
        <f t="shared" si="18"/>
        <v>#DIV/0!</v>
      </c>
      <c r="AW15" s="63" t="e">
        <f>AVERAGE(AW6:AW14)</f>
        <v>#DIV/0!</v>
      </c>
      <c r="AX15" s="62" t="e">
        <f>AVERAGE(AX6:AX14)</f>
        <v>#DIV/0!</v>
      </c>
      <c r="AY15" s="62" t="e">
        <f t="shared" ref="AY15:BB15" si="19">AVERAGE(AY6:AY14)</f>
        <v>#DIV/0!</v>
      </c>
      <c r="AZ15" s="62" t="e">
        <f t="shared" si="19"/>
        <v>#DIV/0!</v>
      </c>
      <c r="BA15" s="62" t="e">
        <f t="shared" si="19"/>
        <v>#DIV/0!</v>
      </c>
      <c r="BB15" s="62" t="e">
        <f t="shared" si="19"/>
        <v>#DIV/0!</v>
      </c>
      <c r="BC15" s="63" t="e">
        <f>AVERAGE(BC6:BC14)</f>
        <v>#DIV/0!</v>
      </c>
      <c r="BD15" s="133" t="e">
        <f>AVERAGE(BD6:BD14)</f>
        <v>#DIV/0!</v>
      </c>
      <c r="BE15" s="133" t="e">
        <f t="shared" ref="BE15:BH15" si="20">AVERAGE(BE6:BE14)</f>
        <v>#DIV/0!</v>
      </c>
      <c r="BF15" s="62" t="e">
        <f t="shared" si="20"/>
        <v>#DIV/0!</v>
      </c>
      <c r="BG15" s="62" t="e">
        <f t="shared" si="20"/>
        <v>#DIV/0!</v>
      </c>
      <c r="BH15" s="62" t="e">
        <f t="shared" si="20"/>
        <v>#DIV/0!</v>
      </c>
      <c r="BI15" s="134" t="e">
        <f>AVERAGE(BI6:BI14)</f>
        <v>#DIV/0!</v>
      </c>
      <c r="BJ15" s="62" t="e">
        <f>AVERAGE(BJ6:BJ14)</f>
        <v>#DIV/0!</v>
      </c>
      <c r="BK15" s="62" t="e">
        <f t="shared" ref="BK15:BN15" si="21">AVERAGE(BK6:BK14)</f>
        <v>#DIV/0!</v>
      </c>
      <c r="BL15" s="62" t="e">
        <f t="shared" si="21"/>
        <v>#DIV/0!</v>
      </c>
      <c r="BM15" s="62" t="e">
        <f t="shared" si="21"/>
        <v>#DIV/0!</v>
      </c>
      <c r="BN15" s="62" t="e">
        <f t="shared" si="21"/>
        <v>#DIV/0!</v>
      </c>
      <c r="BO15" s="134" t="e">
        <f>AVERAGE(BO6:BO14)</f>
        <v>#DIV/0!</v>
      </c>
    </row>
    <row r="16" spans="1:67" ht="22.5" customHeight="1" thickBot="1">
      <c r="A16" s="190" t="s">
        <v>27</v>
      </c>
      <c r="B16" s="551" t="s">
        <v>28</v>
      </c>
      <c r="C16" s="551"/>
      <c r="D16" s="551"/>
      <c r="E16" s="551"/>
      <c r="F16" s="551"/>
      <c r="G16" s="552"/>
      <c r="H16" s="550" t="s">
        <v>28</v>
      </c>
      <c r="I16" s="551"/>
      <c r="J16" s="551"/>
      <c r="K16" s="551"/>
      <c r="L16" s="551"/>
      <c r="M16" s="552"/>
      <c r="N16" s="553" t="s">
        <v>28</v>
      </c>
      <c r="O16" s="554"/>
      <c r="P16" s="554"/>
      <c r="Q16" s="554"/>
      <c r="R16" s="554"/>
      <c r="S16" s="555"/>
      <c r="T16" s="553" t="s">
        <v>28</v>
      </c>
      <c r="U16" s="554"/>
      <c r="V16" s="554"/>
      <c r="W16" s="554"/>
      <c r="X16" s="554"/>
      <c r="Y16" s="555"/>
      <c r="Z16" s="553" t="s">
        <v>28</v>
      </c>
      <c r="AA16" s="554"/>
      <c r="AB16" s="554"/>
      <c r="AC16" s="554"/>
      <c r="AD16" s="554"/>
      <c r="AE16" s="555"/>
      <c r="AF16" s="553" t="s">
        <v>28</v>
      </c>
      <c r="AG16" s="554"/>
      <c r="AH16" s="554"/>
      <c r="AI16" s="554"/>
      <c r="AJ16" s="554"/>
      <c r="AK16" s="555"/>
      <c r="AL16" s="550" t="s">
        <v>28</v>
      </c>
      <c r="AM16" s="551"/>
      <c r="AN16" s="551"/>
      <c r="AO16" s="551"/>
      <c r="AP16" s="551"/>
      <c r="AQ16" s="552"/>
      <c r="AR16" s="550" t="s">
        <v>28</v>
      </c>
      <c r="AS16" s="551"/>
      <c r="AT16" s="551"/>
      <c r="AU16" s="551"/>
      <c r="AV16" s="551"/>
      <c r="AW16" s="552"/>
      <c r="AX16" s="553" t="s">
        <v>28</v>
      </c>
      <c r="AY16" s="554"/>
      <c r="AZ16" s="554"/>
      <c r="BA16" s="554"/>
      <c r="BB16" s="554"/>
      <c r="BC16" s="555"/>
      <c r="BD16" s="553" t="s">
        <v>28</v>
      </c>
      <c r="BE16" s="554"/>
      <c r="BF16" s="554"/>
      <c r="BG16" s="554"/>
      <c r="BH16" s="554"/>
      <c r="BI16" s="555"/>
      <c r="BJ16" s="553" t="s">
        <v>28</v>
      </c>
      <c r="BK16" s="554"/>
      <c r="BL16" s="554"/>
      <c r="BM16" s="554"/>
      <c r="BN16" s="554"/>
      <c r="BO16" s="555"/>
    </row>
    <row r="17" spans="1:67" ht="22.5" customHeight="1">
      <c r="A17" s="185" t="s">
        <v>163</v>
      </c>
      <c r="B17" s="86"/>
      <c r="C17" s="59"/>
      <c r="D17" s="59"/>
      <c r="E17" s="59"/>
      <c r="F17" s="64"/>
      <c r="G17" s="60">
        <f>SUM(B17:F17)</f>
        <v>0</v>
      </c>
      <c r="H17" s="59"/>
      <c r="I17" s="59"/>
      <c r="J17" s="59"/>
      <c r="K17" s="59"/>
      <c r="L17" s="58"/>
      <c r="M17" s="60">
        <f>SUM(H17:L17)</f>
        <v>0</v>
      </c>
      <c r="N17" s="59"/>
      <c r="O17" s="59"/>
      <c r="P17" s="59"/>
      <c r="Q17" s="59"/>
      <c r="R17" s="58"/>
      <c r="S17" s="60">
        <f>SUM(N17:R17)</f>
        <v>0</v>
      </c>
      <c r="T17" s="59"/>
      <c r="U17" s="59"/>
      <c r="V17" s="59"/>
      <c r="W17" s="59"/>
      <c r="X17" s="58"/>
      <c r="Y17" s="60">
        <f>SUM(T17:X17)</f>
        <v>0</v>
      </c>
      <c r="Z17" s="59"/>
      <c r="AA17" s="59"/>
      <c r="AB17" s="59"/>
      <c r="AC17" s="59"/>
      <c r="AD17" s="58"/>
      <c r="AE17" s="60">
        <f>SUM(Z17:AD17)</f>
        <v>0</v>
      </c>
      <c r="AF17" s="59"/>
      <c r="AG17" s="59"/>
      <c r="AH17" s="59"/>
      <c r="AI17" s="59"/>
      <c r="AJ17" s="58"/>
      <c r="AK17" s="113">
        <f>SUM(AF17:AJ17)</f>
        <v>0</v>
      </c>
      <c r="AL17" s="86"/>
      <c r="AM17" s="59"/>
      <c r="AN17" s="59"/>
      <c r="AO17" s="59"/>
      <c r="AP17" s="64"/>
      <c r="AQ17" s="60">
        <f>SUM(AL17:AP17)</f>
        <v>0</v>
      </c>
      <c r="AR17" s="59"/>
      <c r="AS17" s="59"/>
      <c r="AT17" s="59"/>
      <c r="AU17" s="59"/>
      <c r="AV17" s="58"/>
      <c r="AW17" s="60">
        <f>SUM(AR17:AV17)</f>
        <v>0</v>
      </c>
      <c r="AX17" s="59"/>
      <c r="AY17" s="59"/>
      <c r="AZ17" s="59"/>
      <c r="BA17" s="59"/>
      <c r="BB17" s="58"/>
      <c r="BC17" s="60">
        <f>SUM(AX17:BB17)</f>
        <v>0</v>
      </c>
      <c r="BD17" s="59"/>
      <c r="BE17" s="59"/>
      <c r="BF17" s="59"/>
      <c r="BG17" s="59"/>
      <c r="BH17" s="58"/>
      <c r="BI17" s="60">
        <f>SUM(BD17:BH17)</f>
        <v>0</v>
      </c>
      <c r="BJ17" s="59"/>
      <c r="BK17" s="59"/>
      <c r="BL17" s="59"/>
      <c r="BM17" s="59"/>
      <c r="BN17" s="58"/>
      <c r="BO17" s="60">
        <f>SUM(BJ17:BN17)</f>
        <v>0</v>
      </c>
    </row>
    <row r="18" spans="1:67" ht="22.5" customHeight="1">
      <c r="A18" s="185" t="s">
        <v>164</v>
      </c>
      <c r="B18" s="59"/>
      <c r="C18" s="59"/>
      <c r="D18" s="59"/>
      <c r="E18" s="59"/>
      <c r="F18" s="58"/>
      <c r="G18" s="60">
        <f t="shared" ref="G18:G23" si="22">SUM(B18:F18)</f>
        <v>0</v>
      </c>
      <c r="H18" s="59"/>
      <c r="I18" s="59"/>
      <c r="J18" s="59"/>
      <c r="K18" s="59"/>
      <c r="L18" s="58"/>
      <c r="M18" s="60">
        <f t="shared" ref="M18:M23" si="23">SUM(H18:L18)</f>
        <v>0</v>
      </c>
      <c r="N18" s="59"/>
      <c r="O18" s="59"/>
      <c r="P18" s="59"/>
      <c r="Q18" s="59"/>
      <c r="R18" s="58"/>
      <c r="S18" s="60">
        <f t="shared" ref="S18:S23" si="24">SUM(N18:R18)</f>
        <v>0</v>
      </c>
      <c r="T18" s="59"/>
      <c r="U18" s="59"/>
      <c r="V18" s="59"/>
      <c r="W18" s="59"/>
      <c r="X18" s="58"/>
      <c r="Y18" s="60">
        <f t="shared" ref="Y18:Y23" si="25">SUM(T18:X18)</f>
        <v>0</v>
      </c>
      <c r="Z18" s="59"/>
      <c r="AA18" s="59"/>
      <c r="AB18" s="59"/>
      <c r="AC18" s="59"/>
      <c r="AD18" s="58"/>
      <c r="AE18" s="60">
        <f t="shared" ref="AE18:AE23" si="26">SUM(Z18:AD18)</f>
        <v>0</v>
      </c>
      <c r="AF18" s="59"/>
      <c r="AG18" s="59"/>
      <c r="AH18" s="59"/>
      <c r="AI18" s="59"/>
      <c r="AJ18" s="58"/>
      <c r="AK18" s="113">
        <f t="shared" ref="AK18:AK23" si="27">SUM(AF18:AJ18)</f>
        <v>0</v>
      </c>
      <c r="AL18" s="59"/>
      <c r="AM18" s="59"/>
      <c r="AN18" s="59"/>
      <c r="AO18" s="59"/>
      <c r="AP18" s="58"/>
      <c r="AQ18" s="60">
        <f t="shared" ref="AQ18:AQ23" si="28">SUM(AL18:AP18)</f>
        <v>0</v>
      </c>
      <c r="AR18" s="59"/>
      <c r="AS18" s="59"/>
      <c r="AT18" s="59"/>
      <c r="AU18" s="59"/>
      <c r="AV18" s="58"/>
      <c r="AW18" s="60">
        <f t="shared" ref="AW18:AW23" si="29">SUM(AR18:AV18)</f>
        <v>0</v>
      </c>
      <c r="AX18" s="59"/>
      <c r="AY18" s="59"/>
      <c r="AZ18" s="59"/>
      <c r="BA18" s="59"/>
      <c r="BB18" s="58"/>
      <c r="BC18" s="60">
        <f t="shared" ref="BC18:BC23" si="30">SUM(AX18:BB18)</f>
        <v>0</v>
      </c>
      <c r="BD18" s="59"/>
      <c r="BE18" s="59"/>
      <c r="BF18" s="59"/>
      <c r="BG18" s="59"/>
      <c r="BH18" s="58"/>
      <c r="BI18" s="60">
        <f t="shared" ref="BI18:BI23" si="31">SUM(BD18:BH18)</f>
        <v>0</v>
      </c>
      <c r="BJ18" s="59"/>
      <c r="BK18" s="59"/>
      <c r="BL18" s="59"/>
      <c r="BM18" s="59"/>
      <c r="BN18" s="58"/>
      <c r="BO18" s="60">
        <f t="shared" ref="BO18:BO23" si="32">SUM(BJ18:BN18)</f>
        <v>0</v>
      </c>
    </row>
    <row r="19" spans="1:67" ht="22.5" customHeight="1">
      <c r="A19" s="185" t="s">
        <v>165</v>
      </c>
      <c r="B19" s="59"/>
      <c r="C19" s="59"/>
      <c r="D19" s="59"/>
      <c r="E19" s="59"/>
      <c r="F19" s="58"/>
      <c r="G19" s="60">
        <f t="shared" si="22"/>
        <v>0</v>
      </c>
      <c r="H19" s="59"/>
      <c r="I19" s="59"/>
      <c r="J19" s="59"/>
      <c r="K19" s="59"/>
      <c r="L19" s="58"/>
      <c r="M19" s="60">
        <f t="shared" si="23"/>
        <v>0</v>
      </c>
      <c r="N19" s="59"/>
      <c r="O19" s="59"/>
      <c r="P19" s="59"/>
      <c r="Q19" s="59"/>
      <c r="R19" s="58"/>
      <c r="S19" s="60">
        <f t="shared" si="24"/>
        <v>0</v>
      </c>
      <c r="T19" s="59"/>
      <c r="U19" s="59"/>
      <c r="V19" s="59"/>
      <c r="W19" s="59"/>
      <c r="X19" s="58"/>
      <c r="Y19" s="60">
        <f t="shared" si="25"/>
        <v>0</v>
      </c>
      <c r="Z19" s="59"/>
      <c r="AA19" s="59"/>
      <c r="AB19" s="59"/>
      <c r="AC19" s="59"/>
      <c r="AD19" s="58"/>
      <c r="AE19" s="60">
        <f t="shared" si="26"/>
        <v>0</v>
      </c>
      <c r="AF19" s="59"/>
      <c r="AG19" s="59"/>
      <c r="AH19" s="59"/>
      <c r="AI19" s="59"/>
      <c r="AJ19" s="58"/>
      <c r="AK19" s="113">
        <f t="shared" si="27"/>
        <v>0</v>
      </c>
      <c r="AL19" s="59"/>
      <c r="AM19" s="59"/>
      <c r="AN19" s="59"/>
      <c r="AO19" s="59"/>
      <c r="AP19" s="58"/>
      <c r="AQ19" s="60">
        <f t="shared" si="28"/>
        <v>0</v>
      </c>
      <c r="AR19" s="59"/>
      <c r="AS19" s="59"/>
      <c r="AT19" s="59"/>
      <c r="AU19" s="59"/>
      <c r="AV19" s="58"/>
      <c r="AW19" s="60">
        <f t="shared" si="29"/>
        <v>0</v>
      </c>
      <c r="AX19" s="59"/>
      <c r="AY19" s="59"/>
      <c r="AZ19" s="59"/>
      <c r="BA19" s="59"/>
      <c r="BB19" s="58"/>
      <c r="BC19" s="60">
        <f t="shared" si="30"/>
        <v>0</v>
      </c>
      <c r="BD19" s="59"/>
      <c r="BE19" s="59"/>
      <c r="BF19" s="59"/>
      <c r="BG19" s="59"/>
      <c r="BH19" s="58"/>
      <c r="BI19" s="60">
        <f t="shared" si="31"/>
        <v>0</v>
      </c>
      <c r="BJ19" s="59"/>
      <c r="BK19" s="59"/>
      <c r="BL19" s="59"/>
      <c r="BM19" s="59"/>
      <c r="BN19" s="58"/>
      <c r="BO19" s="60">
        <f t="shared" si="32"/>
        <v>0</v>
      </c>
    </row>
    <row r="20" spans="1:67" ht="22.5" customHeight="1">
      <c r="A20" s="185" t="s">
        <v>166</v>
      </c>
      <c r="B20" s="59"/>
      <c r="C20" s="59"/>
      <c r="D20" s="59"/>
      <c r="E20" s="59"/>
      <c r="F20" s="58"/>
      <c r="G20" s="60">
        <f t="shared" si="22"/>
        <v>0</v>
      </c>
      <c r="H20" s="59"/>
      <c r="I20" s="59"/>
      <c r="J20" s="59"/>
      <c r="K20" s="59"/>
      <c r="L20" s="58"/>
      <c r="M20" s="60">
        <f t="shared" si="23"/>
        <v>0</v>
      </c>
      <c r="N20" s="59"/>
      <c r="O20" s="59"/>
      <c r="P20" s="59"/>
      <c r="Q20" s="59"/>
      <c r="R20" s="58"/>
      <c r="S20" s="60">
        <f t="shared" si="24"/>
        <v>0</v>
      </c>
      <c r="T20" s="59"/>
      <c r="U20" s="59"/>
      <c r="V20" s="59"/>
      <c r="W20" s="59"/>
      <c r="X20" s="58"/>
      <c r="Y20" s="60">
        <f t="shared" si="25"/>
        <v>0</v>
      </c>
      <c r="Z20" s="59"/>
      <c r="AA20" s="59"/>
      <c r="AB20" s="59"/>
      <c r="AC20" s="59"/>
      <c r="AD20" s="58"/>
      <c r="AE20" s="60">
        <f t="shared" si="26"/>
        <v>0</v>
      </c>
      <c r="AF20" s="59"/>
      <c r="AG20" s="59"/>
      <c r="AH20" s="59"/>
      <c r="AI20" s="59"/>
      <c r="AJ20" s="58"/>
      <c r="AK20" s="113">
        <f t="shared" si="27"/>
        <v>0</v>
      </c>
      <c r="AL20" s="59"/>
      <c r="AM20" s="59"/>
      <c r="AN20" s="59"/>
      <c r="AO20" s="59"/>
      <c r="AP20" s="58"/>
      <c r="AQ20" s="60">
        <f t="shared" si="28"/>
        <v>0</v>
      </c>
      <c r="AR20" s="59"/>
      <c r="AS20" s="59"/>
      <c r="AT20" s="59"/>
      <c r="AU20" s="59"/>
      <c r="AV20" s="58"/>
      <c r="AW20" s="60">
        <f t="shared" si="29"/>
        <v>0</v>
      </c>
      <c r="AX20" s="59"/>
      <c r="AY20" s="59"/>
      <c r="AZ20" s="59"/>
      <c r="BA20" s="59"/>
      <c r="BB20" s="58"/>
      <c r="BC20" s="60">
        <f t="shared" si="30"/>
        <v>0</v>
      </c>
      <c r="BD20" s="59"/>
      <c r="BE20" s="59"/>
      <c r="BF20" s="59"/>
      <c r="BG20" s="59"/>
      <c r="BH20" s="58"/>
      <c r="BI20" s="60">
        <f t="shared" si="31"/>
        <v>0</v>
      </c>
      <c r="BJ20" s="59"/>
      <c r="BK20" s="59"/>
      <c r="BL20" s="59"/>
      <c r="BM20" s="59"/>
      <c r="BN20" s="58"/>
      <c r="BO20" s="60">
        <f t="shared" si="32"/>
        <v>0</v>
      </c>
    </row>
    <row r="21" spans="1:67" ht="22.5" customHeight="1">
      <c r="A21" s="185" t="s">
        <v>167</v>
      </c>
      <c r="B21" s="59"/>
      <c r="C21" s="59"/>
      <c r="D21" s="59"/>
      <c r="E21" s="59"/>
      <c r="F21" s="58"/>
      <c r="G21" s="60">
        <f t="shared" si="22"/>
        <v>0</v>
      </c>
      <c r="H21" s="59"/>
      <c r="I21" s="59"/>
      <c r="J21" s="59"/>
      <c r="K21" s="59"/>
      <c r="L21" s="58"/>
      <c r="M21" s="60">
        <f t="shared" si="23"/>
        <v>0</v>
      </c>
      <c r="N21" s="59"/>
      <c r="O21" s="59"/>
      <c r="P21" s="59"/>
      <c r="Q21" s="59"/>
      <c r="R21" s="58"/>
      <c r="S21" s="60">
        <f t="shared" si="24"/>
        <v>0</v>
      </c>
      <c r="T21" s="59"/>
      <c r="U21" s="59"/>
      <c r="V21" s="59"/>
      <c r="W21" s="59"/>
      <c r="X21" s="58"/>
      <c r="Y21" s="60">
        <f t="shared" si="25"/>
        <v>0</v>
      </c>
      <c r="Z21" s="59"/>
      <c r="AA21" s="59"/>
      <c r="AB21" s="59"/>
      <c r="AC21" s="59"/>
      <c r="AD21" s="58"/>
      <c r="AE21" s="60">
        <f t="shared" si="26"/>
        <v>0</v>
      </c>
      <c r="AF21" s="59"/>
      <c r="AG21" s="59"/>
      <c r="AH21" s="59"/>
      <c r="AI21" s="59"/>
      <c r="AJ21" s="58"/>
      <c r="AK21" s="113">
        <f t="shared" si="27"/>
        <v>0</v>
      </c>
      <c r="AL21" s="59"/>
      <c r="AM21" s="59"/>
      <c r="AN21" s="59"/>
      <c r="AO21" s="59"/>
      <c r="AP21" s="58"/>
      <c r="AQ21" s="60">
        <f t="shared" si="28"/>
        <v>0</v>
      </c>
      <c r="AR21" s="59"/>
      <c r="AS21" s="59"/>
      <c r="AT21" s="59"/>
      <c r="AU21" s="59"/>
      <c r="AV21" s="58"/>
      <c r="AW21" s="60">
        <f t="shared" si="29"/>
        <v>0</v>
      </c>
      <c r="AX21" s="59"/>
      <c r="AY21" s="59"/>
      <c r="AZ21" s="59"/>
      <c r="BA21" s="59"/>
      <c r="BB21" s="58"/>
      <c r="BC21" s="60">
        <f t="shared" si="30"/>
        <v>0</v>
      </c>
      <c r="BD21" s="59"/>
      <c r="BE21" s="59"/>
      <c r="BF21" s="59"/>
      <c r="BG21" s="59"/>
      <c r="BH21" s="58"/>
      <c r="BI21" s="60">
        <f t="shared" si="31"/>
        <v>0</v>
      </c>
      <c r="BJ21" s="59"/>
      <c r="BK21" s="59"/>
      <c r="BL21" s="59"/>
      <c r="BM21" s="59"/>
      <c r="BN21" s="58"/>
      <c r="BO21" s="60">
        <f t="shared" si="32"/>
        <v>0</v>
      </c>
    </row>
    <row r="22" spans="1:67" ht="22.5" customHeight="1">
      <c r="A22" s="185" t="s">
        <v>168</v>
      </c>
      <c r="B22" s="59"/>
      <c r="C22" s="59"/>
      <c r="D22" s="59"/>
      <c r="E22" s="59"/>
      <c r="F22" s="58"/>
      <c r="G22" s="60">
        <f t="shared" si="22"/>
        <v>0</v>
      </c>
      <c r="H22" s="59"/>
      <c r="I22" s="59"/>
      <c r="J22" s="59"/>
      <c r="K22" s="59"/>
      <c r="L22" s="58"/>
      <c r="M22" s="60">
        <f t="shared" si="23"/>
        <v>0</v>
      </c>
      <c r="N22" s="59"/>
      <c r="O22" s="59"/>
      <c r="P22" s="59"/>
      <c r="Q22" s="59"/>
      <c r="R22" s="58"/>
      <c r="S22" s="60">
        <f t="shared" si="24"/>
        <v>0</v>
      </c>
      <c r="T22" s="59"/>
      <c r="U22" s="59"/>
      <c r="V22" s="59"/>
      <c r="W22" s="59"/>
      <c r="X22" s="58"/>
      <c r="Y22" s="60">
        <f t="shared" si="25"/>
        <v>0</v>
      </c>
      <c r="Z22" s="59"/>
      <c r="AA22" s="59"/>
      <c r="AB22" s="59"/>
      <c r="AC22" s="59"/>
      <c r="AD22" s="58"/>
      <c r="AE22" s="60">
        <f t="shared" si="26"/>
        <v>0</v>
      </c>
      <c r="AF22" s="59"/>
      <c r="AG22" s="59"/>
      <c r="AH22" s="59"/>
      <c r="AI22" s="59"/>
      <c r="AJ22" s="58"/>
      <c r="AK22" s="113">
        <f t="shared" si="27"/>
        <v>0</v>
      </c>
      <c r="AL22" s="59"/>
      <c r="AM22" s="59"/>
      <c r="AN22" s="59"/>
      <c r="AO22" s="59"/>
      <c r="AP22" s="58"/>
      <c r="AQ22" s="60">
        <f t="shared" si="28"/>
        <v>0</v>
      </c>
      <c r="AR22" s="59"/>
      <c r="AS22" s="59"/>
      <c r="AT22" s="59"/>
      <c r="AU22" s="59"/>
      <c r="AV22" s="58"/>
      <c r="AW22" s="60">
        <f t="shared" si="29"/>
        <v>0</v>
      </c>
      <c r="AX22" s="59"/>
      <c r="AY22" s="59"/>
      <c r="AZ22" s="59"/>
      <c r="BA22" s="59"/>
      <c r="BB22" s="58"/>
      <c r="BC22" s="60">
        <f t="shared" si="30"/>
        <v>0</v>
      </c>
      <c r="BD22" s="59"/>
      <c r="BE22" s="59"/>
      <c r="BF22" s="59"/>
      <c r="BG22" s="59"/>
      <c r="BH22" s="58"/>
      <c r="BI22" s="60">
        <f t="shared" si="31"/>
        <v>0</v>
      </c>
      <c r="BJ22" s="59"/>
      <c r="BK22" s="59"/>
      <c r="BL22" s="59"/>
      <c r="BM22" s="59"/>
      <c r="BN22" s="58"/>
      <c r="BO22" s="60">
        <f t="shared" si="32"/>
        <v>0</v>
      </c>
    </row>
    <row r="23" spans="1:67" ht="22.5" customHeight="1">
      <c r="A23" s="185" t="s">
        <v>59</v>
      </c>
      <c r="B23" s="59"/>
      <c r="C23" s="59"/>
      <c r="D23" s="59"/>
      <c r="E23" s="59"/>
      <c r="F23" s="58"/>
      <c r="G23" s="60">
        <f t="shared" si="22"/>
        <v>0</v>
      </c>
      <c r="H23" s="59"/>
      <c r="I23" s="59"/>
      <c r="J23" s="59"/>
      <c r="K23" s="59"/>
      <c r="L23" s="58"/>
      <c r="M23" s="60">
        <f t="shared" si="23"/>
        <v>0</v>
      </c>
      <c r="N23" s="59"/>
      <c r="O23" s="59"/>
      <c r="P23" s="59"/>
      <c r="Q23" s="59"/>
      <c r="R23" s="58"/>
      <c r="S23" s="60">
        <f t="shared" si="24"/>
        <v>0</v>
      </c>
      <c r="T23" s="59"/>
      <c r="U23" s="59"/>
      <c r="V23" s="59"/>
      <c r="W23" s="59"/>
      <c r="X23" s="58"/>
      <c r="Y23" s="60">
        <f t="shared" si="25"/>
        <v>0</v>
      </c>
      <c r="Z23" s="59"/>
      <c r="AA23" s="59"/>
      <c r="AB23" s="59"/>
      <c r="AC23" s="59"/>
      <c r="AD23" s="58"/>
      <c r="AE23" s="60">
        <f t="shared" si="26"/>
        <v>0</v>
      </c>
      <c r="AF23" s="59"/>
      <c r="AG23" s="59"/>
      <c r="AH23" s="59"/>
      <c r="AI23" s="59"/>
      <c r="AJ23" s="58"/>
      <c r="AK23" s="113">
        <f t="shared" si="27"/>
        <v>0</v>
      </c>
      <c r="AL23" s="59"/>
      <c r="AM23" s="59"/>
      <c r="AN23" s="59"/>
      <c r="AO23" s="59"/>
      <c r="AP23" s="58"/>
      <c r="AQ23" s="60">
        <f t="shared" si="28"/>
        <v>0</v>
      </c>
      <c r="AR23" s="59"/>
      <c r="AS23" s="59"/>
      <c r="AT23" s="59"/>
      <c r="AU23" s="59"/>
      <c r="AV23" s="58"/>
      <c r="AW23" s="60">
        <f t="shared" si="29"/>
        <v>0</v>
      </c>
      <c r="AX23" s="59"/>
      <c r="AY23" s="59"/>
      <c r="AZ23" s="59"/>
      <c r="BA23" s="59"/>
      <c r="BB23" s="58"/>
      <c r="BC23" s="60">
        <f t="shared" si="30"/>
        <v>0</v>
      </c>
      <c r="BD23" s="59"/>
      <c r="BE23" s="59"/>
      <c r="BF23" s="59"/>
      <c r="BG23" s="59"/>
      <c r="BH23" s="58"/>
      <c r="BI23" s="60">
        <f t="shared" si="31"/>
        <v>0</v>
      </c>
      <c r="BJ23" s="59"/>
      <c r="BK23" s="59"/>
      <c r="BL23" s="59"/>
      <c r="BM23" s="59"/>
      <c r="BN23" s="58"/>
      <c r="BO23" s="60">
        <f t="shared" si="32"/>
        <v>0</v>
      </c>
    </row>
    <row r="24" spans="1:67" ht="22.5" customHeight="1" thickBot="1">
      <c r="A24" s="186" t="s">
        <v>12</v>
      </c>
      <c r="B24" s="62" t="e">
        <f>AVERAGE(B17:B23)</f>
        <v>#DIV/0!</v>
      </c>
      <c r="C24" s="62" t="e">
        <f t="shared" ref="C24:F24" si="33">AVERAGE(C17:C23)</f>
        <v>#DIV/0!</v>
      </c>
      <c r="D24" s="62" t="e">
        <f t="shared" si="33"/>
        <v>#DIV/0!</v>
      </c>
      <c r="E24" s="62" t="e">
        <f t="shared" si="33"/>
        <v>#DIV/0!</v>
      </c>
      <c r="F24" s="62" t="e">
        <f t="shared" si="33"/>
        <v>#DIV/0!</v>
      </c>
      <c r="G24" s="63">
        <f>SUM(G17:G23)</f>
        <v>0</v>
      </c>
      <c r="H24" s="62" t="e">
        <f>AVERAGE(H17:H23)</f>
        <v>#DIV/0!</v>
      </c>
      <c r="I24" s="62" t="e">
        <f t="shared" ref="I24:L24" si="34">AVERAGE(I17:I23)</f>
        <v>#DIV/0!</v>
      </c>
      <c r="J24" s="62" t="e">
        <f t="shared" si="34"/>
        <v>#DIV/0!</v>
      </c>
      <c r="K24" s="62" t="e">
        <f t="shared" si="34"/>
        <v>#DIV/0!</v>
      </c>
      <c r="L24" s="62" t="e">
        <f t="shared" si="34"/>
        <v>#DIV/0!</v>
      </c>
      <c r="M24" s="63">
        <f>SUM(M17:M23)</f>
        <v>0</v>
      </c>
      <c r="N24" s="62" t="e">
        <f>AVERAGE(N17:N23)</f>
        <v>#DIV/0!</v>
      </c>
      <c r="O24" s="62" t="e">
        <f t="shared" ref="O24:R24" si="35">AVERAGE(O17:O23)</f>
        <v>#DIV/0!</v>
      </c>
      <c r="P24" s="62" t="e">
        <f t="shared" si="35"/>
        <v>#DIV/0!</v>
      </c>
      <c r="Q24" s="62" t="e">
        <f t="shared" si="35"/>
        <v>#DIV/0!</v>
      </c>
      <c r="R24" s="62" t="e">
        <f t="shared" si="35"/>
        <v>#DIV/0!</v>
      </c>
      <c r="S24" s="63">
        <f>SUM(S17:S23)</f>
        <v>0</v>
      </c>
      <c r="T24" s="62" t="e">
        <f>AVERAGE(T17:T23)</f>
        <v>#DIV/0!</v>
      </c>
      <c r="U24" s="62" t="e">
        <f t="shared" ref="U24:X24" si="36">AVERAGE(U17:U23)</f>
        <v>#DIV/0!</v>
      </c>
      <c r="V24" s="62" t="e">
        <f t="shared" si="36"/>
        <v>#DIV/0!</v>
      </c>
      <c r="W24" s="62" t="e">
        <f t="shared" si="36"/>
        <v>#DIV/0!</v>
      </c>
      <c r="X24" s="62" t="e">
        <f t="shared" si="36"/>
        <v>#DIV/0!</v>
      </c>
      <c r="Y24" s="63">
        <v>5</v>
      </c>
      <c r="Z24" s="62" t="e">
        <f>AVERAGE(Z17:Z23)</f>
        <v>#DIV/0!</v>
      </c>
      <c r="AA24" s="62" t="e">
        <f t="shared" ref="AA24:AD24" si="37">AVERAGE(AA17:AA23)</f>
        <v>#DIV/0!</v>
      </c>
      <c r="AB24" s="62" t="e">
        <f t="shared" si="37"/>
        <v>#DIV/0!</v>
      </c>
      <c r="AC24" s="62" t="e">
        <f t="shared" si="37"/>
        <v>#DIV/0!</v>
      </c>
      <c r="AD24" s="62" t="e">
        <f t="shared" si="37"/>
        <v>#DIV/0!</v>
      </c>
      <c r="AE24" s="63">
        <f>SUM(AE17:AE23)</f>
        <v>0</v>
      </c>
      <c r="AF24" s="62" t="e">
        <f>AVERAGE(AF17:AF23)</f>
        <v>#DIV/0!</v>
      </c>
      <c r="AG24" s="62" t="e">
        <f t="shared" ref="AG24:AJ24" si="38">AVERAGE(AG17:AG23)</f>
        <v>#DIV/0!</v>
      </c>
      <c r="AH24" s="62" t="e">
        <f t="shared" si="38"/>
        <v>#DIV/0!</v>
      </c>
      <c r="AI24" s="62" t="e">
        <f t="shared" si="38"/>
        <v>#DIV/0!</v>
      </c>
      <c r="AJ24" s="62" t="e">
        <f t="shared" si="38"/>
        <v>#DIV/0!</v>
      </c>
      <c r="AK24" s="114">
        <f>SUM(AK17:AK23)</f>
        <v>0</v>
      </c>
      <c r="AL24" s="62" t="e">
        <f>AVERAGE(AL17:AL23)</f>
        <v>#DIV/0!</v>
      </c>
      <c r="AM24" s="62" t="e">
        <f t="shared" ref="AM24:AP24" si="39">AVERAGE(AM17:AM23)</f>
        <v>#DIV/0!</v>
      </c>
      <c r="AN24" s="62" t="e">
        <f t="shared" si="39"/>
        <v>#DIV/0!</v>
      </c>
      <c r="AO24" s="62" t="e">
        <f t="shared" si="39"/>
        <v>#DIV/0!</v>
      </c>
      <c r="AP24" s="62" t="e">
        <f t="shared" si="39"/>
        <v>#DIV/0!</v>
      </c>
      <c r="AQ24" s="63">
        <f>SUM(AQ17:AQ23)</f>
        <v>0</v>
      </c>
      <c r="AR24" s="62" t="e">
        <f>AVERAGE(AR17:AR23)</f>
        <v>#DIV/0!</v>
      </c>
      <c r="AS24" s="62" t="e">
        <f t="shared" ref="AS24:AV24" si="40">AVERAGE(AS17:AS23)</f>
        <v>#DIV/0!</v>
      </c>
      <c r="AT24" s="62" t="e">
        <f t="shared" si="40"/>
        <v>#DIV/0!</v>
      </c>
      <c r="AU24" s="62" t="e">
        <f t="shared" si="40"/>
        <v>#DIV/0!</v>
      </c>
      <c r="AV24" s="62" t="e">
        <f t="shared" si="40"/>
        <v>#DIV/0!</v>
      </c>
      <c r="AW24" s="63">
        <f>SUM(AW17:AW23)</f>
        <v>0</v>
      </c>
      <c r="AX24" s="62" t="e">
        <f>AVERAGE(AX17:AX23)</f>
        <v>#DIV/0!</v>
      </c>
      <c r="AY24" s="62" t="e">
        <f t="shared" ref="AY24:BB24" si="41">AVERAGE(AY17:AY23)</f>
        <v>#DIV/0!</v>
      </c>
      <c r="AZ24" s="62" t="e">
        <f t="shared" si="41"/>
        <v>#DIV/0!</v>
      </c>
      <c r="BA24" s="62" t="e">
        <f t="shared" si="41"/>
        <v>#DIV/0!</v>
      </c>
      <c r="BB24" s="62" t="e">
        <f t="shared" si="41"/>
        <v>#DIV/0!</v>
      </c>
      <c r="BC24" s="63">
        <f>SUM(BC17:BC23)</f>
        <v>0</v>
      </c>
      <c r="BD24" s="62" t="e">
        <f>AVERAGE(BD17:BD23)</f>
        <v>#DIV/0!</v>
      </c>
      <c r="BE24" s="62" t="e">
        <f t="shared" ref="BE24:BH24" si="42">AVERAGE(BE17:BE23)</f>
        <v>#DIV/0!</v>
      </c>
      <c r="BF24" s="62" t="e">
        <f t="shared" si="42"/>
        <v>#DIV/0!</v>
      </c>
      <c r="BG24" s="62" t="e">
        <f t="shared" si="42"/>
        <v>#DIV/0!</v>
      </c>
      <c r="BH24" s="62" t="e">
        <f t="shared" si="42"/>
        <v>#DIV/0!</v>
      </c>
      <c r="BI24" s="63"/>
      <c r="BJ24" s="62" t="e">
        <f>AVERAGE(BJ17:BJ23)</f>
        <v>#DIV/0!</v>
      </c>
      <c r="BK24" s="62" t="e">
        <f t="shared" ref="BK24:BN24" si="43">AVERAGE(BK17:BK23)</f>
        <v>#DIV/0!</v>
      </c>
      <c r="BL24" s="62" t="e">
        <f t="shared" si="43"/>
        <v>#DIV/0!</v>
      </c>
      <c r="BM24" s="62" t="e">
        <f t="shared" si="43"/>
        <v>#DIV/0!</v>
      </c>
      <c r="BN24" s="62" t="e">
        <f t="shared" si="43"/>
        <v>#DIV/0!</v>
      </c>
      <c r="BO24" s="63">
        <f>SUM(BO17:BO23)</f>
        <v>0</v>
      </c>
    </row>
    <row r="25" spans="1:67" ht="22.5" customHeight="1" thickBot="1">
      <c r="A25" s="112"/>
      <c r="B25" s="58"/>
      <c r="C25" s="58"/>
      <c r="D25" s="58"/>
      <c r="E25" s="58"/>
      <c r="F25" s="58"/>
      <c r="G25" s="12"/>
      <c r="H25" s="58"/>
      <c r="I25" s="58"/>
      <c r="J25" s="58"/>
      <c r="K25" s="58"/>
      <c r="L25" s="58"/>
      <c r="M25" s="12"/>
      <c r="N25" s="58"/>
      <c r="O25" s="58"/>
      <c r="P25" s="58"/>
      <c r="Q25" s="58"/>
      <c r="R25" s="58"/>
      <c r="S25" s="12"/>
      <c r="T25" s="58"/>
      <c r="U25" s="58"/>
      <c r="V25" s="58"/>
      <c r="W25" s="58"/>
      <c r="X25" s="58"/>
      <c r="Y25" s="12"/>
      <c r="Z25" s="58"/>
      <c r="AA25" s="58"/>
      <c r="AB25" s="58"/>
      <c r="AC25" s="58"/>
      <c r="AD25" s="58"/>
      <c r="AE25" s="12"/>
      <c r="AF25" s="58"/>
      <c r="AG25" s="58"/>
      <c r="AH25" s="58"/>
      <c r="AI25" s="58"/>
      <c r="AJ25" s="58"/>
      <c r="AK25" s="115"/>
      <c r="AL25" s="58"/>
      <c r="AM25" s="58"/>
      <c r="AN25" s="58"/>
      <c r="AO25" s="58"/>
      <c r="AP25" s="58"/>
      <c r="AQ25" s="12"/>
      <c r="AR25" s="58"/>
      <c r="AS25" s="58"/>
      <c r="AT25" s="58"/>
      <c r="AU25" s="58"/>
      <c r="AV25" s="58"/>
      <c r="AW25" s="12"/>
      <c r="AX25" s="58"/>
      <c r="AY25" s="58"/>
      <c r="AZ25" s="58"/>
      <c r="BA25" s="58"/>
      <c r="BB25" s="58"/>
      <c r="BC25" s="12"/>
      <c r="BD25" s="58"/>
      <c r="BE25" s="58"/>
      <c r="BF25" s="58"/>
      <c r="BG25" s="58"/>
      <c r="BH25" s="58"/>
      <c r="BI25" s="12"/>
      <c r="BJ25" s="58"/>
      <c r="BK25" s="58"/>
      <c r="BL25" s="58"/>
      <c r="BM25" s="58"/>
      <c r="BN25" s="58"/>
      <c r="BO25" s="12"/>
    </row>
    <row r="26" spans="1:67" s="188" customFormat="1" ht="22.5" customHeight="1">
      <c r="A26" s="190" t="s">
        <v>29</v>
      </c>
      <c r="B26" s="546" t="s">
        <v>30</v>
      </c>
      <c r="C26" s="546"/>
      <c r="D26" s="546"/>
      <c r="E26" s="546"/>
      <c r="F26" s="546"/>
      <c r="G26" s="549"/>
      <c r="H26" s="545" t="s">
        <v>30</v>
      </c>
      <c r="I26" s="546"/>
      <c r="J26" s="546"/>
      <c r="K26" s="546"/>
      <c r="L26" s="546"/>
      <c r="M26" s="549"/>
      <c r="N26" s="545" t="s">
        <v>30</v>
      </c>
      <c r="O26" s="546"/>
      <c r="P26" s="546"/>
      <c r="Q26" s="546"/>
      <c r="R26" s="546"/>
      <c r="S26" s="549"/>
      <c r="T26" s="545" t="s">
        <v>30</v>
      </c>
      <c r="U26" s="546"/>
      <c r="V26" s="546"/>
      <c r="W26" s="546"/>
      <c r="X26" s="546"/>
      <c r="Y26" s="549"/>
      <c r="Z26" s="545" t="s">
        <v>30</v>
      </c>
      <c r="AA26" s="546"/>
      <c r="AB26" s="546"/>
      <c r="AC26" s="546"/>
      <c r="AD26" s="546"/>
      <c r="AE26" s="549"/>
      <c r="AF26" s="545" t="s">
        <v>30</v>
      </c>
      <c r="AG26" s="546"/>
      <c r="AH26" s="546"/>
      <c r="AI26" s="546"/>
      <c r="AJ26" s="546"/>
      <c r="AK26" s="547"/>
      <c r="AL26" s="548" t="s">
        <v>30</v>
      </c>
      <c r="AM26" s="546"/>
      <c r="AN26" s="546"/>
      <c r="AO26" s="546"/>
      <c r="AP26" s="546"/>
      <c r="AQ26" s="549"/>
      <c r="AR26" s="545" t="s">
        <v>30</v>
      </c>
      <c r="AS26" s="546"/>
      <c r="AT26" s="546"/>
      <c r="AU26" s="546"/>
      <c r="AV26" s="546"/>
      <c r="AW26" s="549"/>
      <c r="AX26" s="545" t="s">
        <v>30</v>
      </c>
      <c r="AY26" s="546"/>
      <c r="AZ26" s="546"/>
      <c r="BA26" s="546"/>
      <c r="BB26" s="546"/>
      <c r="BC26" s="549"/>
      <c r="BD26" s="545" t="s">
        <v>30</v>
      </c>
      <c r="BE26" s="546"/>
      <c r="BF26" s="546"/>
      <c r="BG26" s="546"/>
      <c r="BH26" s="546"/>
      <c r="BI26" s="549"/>
      <c r="BJ26" s="545" t="s">
        <v>30</v>
      </c>
      <c r="BK26" s="546"/>
      <c r="BL26" s="546"/>
      <c r="BM26" s="546"/>
      <c r="BN26" s="546"/>
      <c r="BO26" s="549"/>
    </row>
    <row r="27" spans="1:67" ht="22.5" customHeight="1">
      <c r="A27" s="185" t="s">
        <v>163</v>
      </c>
      <c r="B27" s="58"/>
      <c r="C27" s="58"/>
      <c r="D27" s="58"/>
      <c r="E27" s="58"/>
      <c r="F27" s="58"/>
      <c r="G27" s="12">
        <f>SUM(F27)</f>
        <v>0</v>
      </c>
      <c r="H27" s="59"/>
      <c r="I27" s="59"/>
      <c r="J27" s="59"/>
      <c r="K27" s="59"/>
      <c r="L27" s="58"/>
      <c r="M27" s="60">
        <f>SUM(H27:L27)</f>
        <v>0</v>
      </c>
      <c r="N27" s="59"/>
      <c r="O27" s="59"/>
      <c r="P27" s="59"/>
      <c r="Q27" s="59"/>
      <c r="R27" s="58"/>
      <c r="S27" s="60">
        <f>SUM(N27:R27)</f>
        <v>0</v>
      </c>
      <c r="T27" s="59"/>
      <c r="U27" s="59"/>
      <c r="V27" s="59"/>
      <c r="W27" s="59"/>
      <c r="X27" s="58"/>
      <c r="Y27" s="60">
        <f>SUM(T27:X27)</f>
        <v>0</v>
      </c>
      <c r="Z27" s="59"/>
      <c r="AA27" s="59"/>
      <c r="AB27" s="59"/>
      <c r="AC27" s="59"/>
      <c r="AD27" s="58"/>
      <c r="AE27" s="60">
        <f>SUM(Z27:AD27)</f>
        <v>0</v>
      </c>
      <c r="AF27" s="59"/>
      <c r="AG27" s="59"/>
      <c r="AH27" s="59"/>
      <c r="AI27" s="59"/>
      <c r="AJ27" s="58"/>
      <c r="AK27" s="113">
        <v>86</v>
      </c>
      <c r="AL27" s="58"/>
      <c r="AM27" s="58"/>
      <c r="AN27" s="58"/>
      <c r="AO27" s="58"/>
      <c r="AP27" s="58"/>
      <c r="AQ27" s="12">
        <f>SUM(AP27)</f>
        <v>0</v>
      </c>
      <c r="AR27" s="59"/>
      <c r="AS27" s="59"/>
      <c r="AT27" s="59"/>
      <c r="AU27" s="59"/>
      <c r="AV27" s="58"/>
      <c r="AW27" s="60">
        <f>SUM(AR27:AV27)</f>
        <v>0</v>
      </c>
      <c r="AX27" s="59"/>
      <c r="AY27" s="59"/>
      <c r="AZ27" s="59"/>
      <c r="BA27" s="59"/>
      <c r="BB27" s="58"/>
      <c r="BC27" s="60">
        <f>SUM(AX27:BB27)</f>
        <v>0</v>
      </c>
      <c r="BD27" s="59"/>
      <c r="BE27" s="59"/>
      <c r="BF27" s="59"/>
      <c r="BG27" s="59"/>
      <c r="BH27" s="58"/>
      <c r="BI27" s="60">
        <f>SUM(BD27:BH27)</f>
        <v>0</v>
      </c>
      <c r="BJ27" s="59"/>
      <c r="BK27" s="59"/>
      <c r="BL27" s="59"/>
      <c r="BM27" s="59"/>
      <c r="BN27" s="58"/>
      <c r="BO27" s="60">
        <f>SUM(BJ27:BN27)</f>
        <v>0</v>
      </c>
    </row>
    <row r="28" spans="1:67" ht="22.5" customHeight="1">
      <c r="A28" s="185" t="s">
        <v>164</v>
      </c>
      <c r="B28" s="58"/>
      <c r="C28" s="58"/>
      <c r="D28" s="58"/>
      <c r="E28" s="58"/>
      <c r="F28" s="58"/>
      <c r="G28" s="12">
        <f t="shared" ref="G28:G33" si="44">SUM(F28)</f>
        <v>0</v>
      </c>
      <c r="H28" s="59"/>
      <c r="I28" s="59"/>
      <c r="J28" s="59"/>
      <c r="K28" s="59"/>
      <c r="L28" s="58"/>
      <c r="M28" s="60">
        <f t="shared" ref="M28:M33" si="45">SUM(H28:L28)</f>
        <v>0</v>
      </c>
      <c r="N28" s="59"/>
      <c r="O28" s="59"/>
      <c r="P28" s="59"/>
      <c r="Q28" s="59"/>
      <c r="R28" s="58"/>
      <c r="S28" s="60">
        <f t="shared" ref="S28:S33" si="46">SUM(N28:R28)</f>
        <v>0</v>
      </c>
      <c r="T28" s="59"/>
      <c r="U28" s="59"/>
      <c r="V28" s="59"/>
      <c r="W28" s="59"/>
      <c r="X28" s="58"/>
      <c r="Y28" s="60">
        <f t="shared" ref="Y28:Y33" si="47">SUM(T28:X28)</f>
        <v>0</v>
      </c>
      <c r="Z28" s="59"/>
      <c r="AA28" s="59"/>
      <c r="AB28" s="59"/>
      <c r="AC28" s="59"/>
      <c r="AD28" s="58"/>
      <c r="AE28" s="60">
        <f t="shared" ref="AE28:AE33" si="48">SUM(Z28:AD28)</f>
        <v>0</v>
      </c>
      <c r="AF28" s="59"/>
      <c r="AG28" s="59"/>
      <c r="AH28" s="59"/>
      <c r="AI28" s="59"/>
      <c r="AJ28" s="58"/>
      <c r="AK28" s="113">
        <v>55</v>
      </c>
      <c r="AL28" s="58"/>
      <c r="AM28" s="58"/>
      <c r="AN28" s="58"/>
      <c r="AO28" s="58"/>
      <c r="AP28" s="58"/>
      <c r="AQ28" s="12">
        <f t="shared" ref="AQ28:AQ33" si="49">SUM(AP28)</f>
        <v>0</v>
      </c>
      <c r="AR28" s="59"/>
      <c r="AS28" s="59"/>
      <c r="AT28" s="59"/>
      <c r="AU28" s="59"/>
      <c r="AV28" s="58"/>
      <c r="AW28" s="60">
        <f t="shared" ref="AW28:AW33" si="50">SUM(AR28:AV28)</f>
        <v>0</v>
      </c>
      <c r="AX28" s="59"/>
      <c r="AY28" s="59"/>
      <c r="AZ28" s="59"/>
      <c r="BA28" s="59"/>
      <c r="BB28" s="58"/>
      <c r="BC28" s="60">
        <f t="shared" ref="BC28:BC33" si="51">SUM(AX28:BB28)</f>
        <v>0</v>
      </c>
      <c r="BD28" s="59"/>
      <c r="BE28" s="59"/>
      <c r="BF28" s="59"/>
      <c r="BG28" s="59"/>
      <c r="BH28" s="58"/>
      <c r="BI28" s="60">
        <f t="shared" ref="BI28:BI33" si="52">SUM(BD28:BH28)</f>
        <v>0</v>
      </c>
      <c r="BJ28" s="59"/>
      <c r="BK28" s="59"/>
      <c r="BL28" s="59"/>
      <c r="BM28" s="59"/>
      <c r="BN28" s="58"/>
      <c r="BO28" s="60">
        <f t="shared" ref="BO28:BO33" si="53">SUM(BJ28:BN28)</f>
        <v>0</v>
      </c>
    </row>
    <row r="29" spans="1:67" ht="22.5" customHeight="1">
      <c r="A29" s="185" t="s">
        <v>165</v>
      </c>
      <c r="B29" s="58"/>
      <c r="C29" s="58"/>
      <c r="D29" s="58"/>
      <c r="E29" s="58"/>
      <c r="F29" s="58"/>
      <c r="G29" s="12">
        <f t="shared" si="44"/>
        <v>0</v>
      </c>
      <c r="H29" s="59"/>
      <c r="I29" s="59"/>
      <c r="J29" s="59"/>
      <c r="K29" s="59"/>
      <c r="L29" s="58"/>
      <c r="M29" s="60">
        <f t="shared" si="45"/>
        <v>0</v>
      </c>
      <c r="N29" s="59"/>
      <c r="O29" s="59"/>
      <c r="P29" s="59"/>
      <c r="Q29" s="59"/>
      <c r="R29" s="58"/>
      <c r="S29" s="60">
        <f t="shared" si="46"/>
        <v>0</v>
      </c>
      <c r="T29" s="59"/>
      <c r="U29" s="59"/>
      <c r="V29" s="59"/>
      <c r="W29" s="59"/>
      <c r="X29" s="58"/>
      <c r="Y29" s="60">
        <f t="shared" si="47"/>
        <v>0</v>
      </c>
      <c r="Z29" s="59"/>
      <c r="AA29" s="59"/>
      <c r="AB29" s="59"/>
      <c r="AC29" s="59"/>
      <c r="AD29" s="58"/>
      <c r="AE29" s="60">
        <f t="shared" si="48"/>
        <v>0</v>
      </c>
      <c r="AF29" s="59"/>
      <c r="AG29" s="59"/>
      <c r="AH29" s="59"/>
      <c r="AI29" s="59"/>
      <c r="AJ29" s="58"/>
      <c r="AK29" s="113">
        <v>39</v>
      </c>
      <c r="AL29" s="58"/>
      <c r="AM29" s="58"/>
      <c r="AN29" s="58"/>
      <c r="AO29" s="58"/>
      <c r="AP29" s="58"/>
      <c r="AQ29" s="12">
        <f t="shared" si="49"/>
        <v>0</v>
      </c>
      <c r="AR29" s="59"/>
      <c r="AS29" s="59"/>
      <c r="AT29" s="59"/>
      <c r="AU29" s="59"/>
      <c r="AV29" s="58"/>
      <c r="AW29" s="60">
        <f t="shared" si="50"/>
        <v>0</v>
      </c>
      <c r="AX29" s="59"/>
      <c r="AY29" s="59"/>
      <c r="AZ29" s="59"/>
      <c r="BA29" s="59"/>
      <c r="BB29" s="58"/>
      <c r="BC29" s="60">
        <f t="shared" si="51"/>
        <v>0</v>
      </c>
      <c r="BD29" s="59"/>
      <c r="BE29" s="59"/>
      <c r="BF29" s="59"/>
      <c r="BG29" s="59"/>
      <c r="BH29" s="58"/>
      <c r="BI29" s="60">
        <f t="shared" si="52"/>
        <v>0</v>
      </c>
      <c r="BJ29" s="59"/>
      <c r="BK29" s="59"/>
      <c r="BL29" s="59"/>
      <c r="BM29" s="59"/>
      <c r="BN29" s="58"/>
      <c r="BO29" s="60">
        <f t="shared" si="53"/>
        <v>0</v>
      </c>
    </row>
    <row r="30" spans="1:67" ht="22.5" customHeight="1">
      <c r="A30" s="185" t="s">
        <v>166</v>
      </c>
      <c r="B30" s="58"/>
      <c r="C30" s="58"/>
      <c r="D30" s="58"/>
      <c r="E30" s="58"/>
      <c r="F30" s="58"/>
      <c r="G30" s="12">
        <f t="shared" si="44"/>
        <v>0</v>
      </c>
      <c r="H30" s="59"/>
      <c r="I30" s="59"/>
      <c r="J30" s="59"/>
      <c r="K30" s="59"/>
      <c r="L30" s="58"/>
      <c r="M30" s="60">
        <f t="shared" si="45"/>
        <v>0</v>
      </c>
      <c r="N30" s="59"/>
      <c r="O30" s="59"/>
      <c r="P30" s="59"/>
      <c r="Q30" s="59"/>
      <c r="R30" s="58"/>
      <c r="S30" s="60">
        <f t="shared" si="46"/>
        <v>0</v>
      </c>
      <c r="T30" s="59"/>
      <c r="U30" s="59"/>
      <c r="V30" s="59"/>
      <c r="W30" s="59"/>
      <c r="X30" s="58"/>
      <c r="Y30" s="60">
        <f t="shared" si="47"/>
        <v>0</v>
      </c>
      <c r="Z30" s="59"/>
      <c r="AA30" s="59"/>
      <c r="AB30" s="59"/>
      <c r="AC30" s="59"/>
      <c r="AD30" s="58"/>
      <c r="AE30" s="60">
        <f t="shared" si="48"/>
        <v>0</v>
      </c>
      <c r="AF30" s="59"/>
      <c r="AG30" s="59"/>
      <c r="AH30" s="59"/>
      <c r="AI30" s="59"/>
      <c r="AJ30" s="58"/>
      <c r="AK30" s="113">
        <v>77</v>
      </c>
      <c r="AL30" s="58"/>
      <c r="AM30" s="58"/>
      <c r="AN30" s="58"/>
      <c r="AO30" s="58"/>
      <c r="AP30" s="58"/>
      <c r="AQ30" s="12">
        <f t="shared" si="49"/>
        <v>0</v>
      </c>
      <c r="AR30" s="59"/>
      <c r="AS30" s="59"/>
      <c r="AT30" s="59"/>
      <c r="AU30" s="59"/>
      <c r="AV30" s="58"/>
      <c r="AW30" s="60">
        <f t="shared" si="50"/>
        <v>0</v>
      </c>
      <c r="AX30" s="59"/>
      <c r="AY30" s="59"/>
      <c r="AZ30" s="59"/>
      <c r="BA30" s="59"/>
      <c r="BB30" s="58"/>
      <c r="BC30" s="60">
        <f t="shared" si="51"/>
        <v>0</v>
      </c>
      <c r="BD30" s="59"/>
      <c r="BE30" s="59"/>
      <c r="BF30" s="59"/>
      <c r="BG30" s="59"/>
      <c r="BH30" s="58"/>
      <c r="BI30" s="60">
        <f t="shared" si="52"/>
        <v>0</v>
      </c>
      <c r="BJ30" s="59"/>
      <c r="BK30" s="59"/>
      <c r="BL30" s="59"/>
      <c r="BM30" s="59"/>
      <c r="BN30" s="58"/>
      <c r="BO30" s="60">
        <f t="shared" si="53"/>
        <v>0</v>
      </c>
    </row>
    <row r="31" spans="1:67" ht="22.5" customHeight="1">
      <c r="A31" s="185" t="s">
        <v>167</v>
      </c>
      <c r="B31" s="58"/>
      <c r="C31" s="58"/>
      <c r="D31" s="58"/>
      <c r="E31" s="58"/>
      <c r="F31" s="58"/>
      <c r="G31" s="12">
        <f t="shared" si="44"/>
        <v>0</v>
      </c>
      <c r="H31" s="59"/>
      <c r="I31" s="59"/>
      <c r="J31" s="59"/>
      <c r="K31" s="59"/>
      <c r="L31" s="58"/>
      <c r="M31" s="60">
        <f t="shared" si="45"/>
        <v>0</v>
      </c>
      <c r="N31" s="59"/>
      <c r="O31" s="59"/>
      <c r="P31" s="59"/>
      <c r="Q31" s="59"/>
      <c r="R31" s="58"/>
      <c r="S31" s="60">
        <f t="shared" si="46"/>
        <v>0</v>
      </c>
      <c r="T31" s="59"/>
      <c r="U31" s="59"/>
      <c r="V31" s="59"/>
      <c r="W31" s="59"/>
      <c r="X31" s="58"/>
      <c r="Y31" s="60">
        <f t="shared" si="47"/>
        <v>0</v>
      </c>
      <c r="Z31" s="59"/>
      <c r="AA31" s="59"/>
      <c r="AB31" s="59"/>
      <c r="AC31" s="59"/>
      <c r="AD31" s="58"/>
      <c r="AE31" s="60">
        <f t="shared" si="48"/>
        <v>0</v>
      </c>
      <c r="AF31" s="59"/>
      <c r="AG31" s="59"/>
      <c r="AH31" s="59"/>
      <c r="AI31" s="59"/>
      <c r="AJ31" s="58"/>
      <c r="AK31" s="113">
        <v>32</v>
      </c>
      <c r="AL31" s="58"/>
      <c r="AM31" s="58"/>
      <c r="AN31" s="58"/>
      <c r="AO31" s="58"/>
      <c r="AP31" s="58"/>
      <c r="AQ31" s="12">
        <f t="shared" si="49"/>
        <v>0</v>
      </c>
      <c r="AR31" s="59"/>
      <c r="AS31" s="59"/>
      <c r="AT31" s="59"/>
      <c r="AU31" s="59"/>
      <c r="AV31" s="58"/>
      <c r="AW31" s="60">
        <f t="shared" si="50"/>
        <v>0</v>
      </c>
      <c r="AX31" s="59"/>
      <c r="AY31" s="59"/>
      <c r="AZ31" s="59"/>
      <c r="BA31" s="59"/>
      <c r="BB31" s="58"/>
      <c r="BC31" s="60">
        <f t="shared" si="51"/>
        <v>0</v>
      </c>
      <c r="BD31" s="59"/>
      <c r="BE31" s="59"/>
      <c r="BF31" s="59"/>
      <c r="BG31" s="59"/>
      <c r="BH31" s="58"/>
      <c r="BI31" s="60">
        <f t="shared" si="52"/>
        <v>0</v>
      </c>
      <c r="BJ31" s="59"/>
      <c r="BK31" s="59"/>
      <c r="BL31" s="59"/>
      <c r="BM31" s="59"/>
      <c r="BN31" s="58"/>
      <c r="BO31" s="60">
        <f t="shared" si="53"/>
        <v>0</v>
      </c>
    </row>
    <row r="32" spans="1:67" ht="22.5" customHeight="1">
      <c r="A32" s="185" t="s">
        <v>168</v>
      </c>
      <c r="B32" s="58"/>
      <c r="C32" s="58"/>
      <c r="D32" s="58"/>
      <c r="E32" s="58"/>
      <c r="F32" s="58"/>
      <c r="G32" s="12">
        <f t="shared" si="44"/>
        <v>0</v>
      </c>
      <c r="H32" s="59"/>
      <c r="I32" s="59"/>
      <c r="J32" s="59"/>
      <c r="K32" s="59"/>
      <c r="L32" s="58"/>
      <c r="M32" s="60">
        <f t="shared" si="45"/>
        <v>0</v>
      </c>
      <c r="N32" s="59"/>
      <c r="O32" s="59"/>
      <c r="P32" s="59"/>
      <c r="Q32" s="59"/>
      <c r="R32" s="58"/>
      <c r="S32" s="60">
        <f t="shared" si="46"/>
        <v>0</v>
      </c>
      <c r="T32" s="59"/>
      <c r="U32" s="59"/>
      <c r="V32" s="59"/>
      <c r="W32" s="59"/>
      <c r="X32" s="58"/>
      <c r="Y32" s="60">
        <f t="shared" si="47"/>
        <v>0</v>
      </c>
      <c r="Z32" s="59"/>
      <c r="AA32" s="59"/>
      <c r="AB32" s="59"/>
      <c r="AC32" s="59"/>
      <c r="AD32" s="58"/>
      <c r="AE32" s="60">
        <f t="shared" si="48"/>
        <v>0</v>
      </c>
      <c r="AF32" s="59"/>
      <c r="AG32" s="59"/>
      <c r="AH32" s="59"/>
      <c r="AI32" s="59"/>
      <c r="AJ32" s="58"/>
      <c r="AK32" s="113">
        <v>39</v>
      </c>
      <c r="AL32" s="58"/>
      <c r="AM32" s="58"/>
      <c r="AN32" s="58"/>
      <c r="AO32" s="58"/>
      <c r="AP32" s="58"/>
      <c r="AQ32" s="12">
        <f t="shared" si="49"/>
        <v>0</v>
      </c>
      <c r="AR32" s="59"/>
      <c r="AS32" s="59"/>
      <c r="AT32" s="59"/>
      <c r="AU32" s="59"/>
      <c r="AV32" s="58"/>
      <c r="AW32" s="60">
        <f t="shared" si="50"/>
        <v>0</v>
      </c>
      <c r="AX32" s="59"/>
      <c r="AY32" s="59"/>
      <c r="AZ32" s="59"/>
      <c r="BA32" s="59"/>
      <c r="BB32" s="58"/>
      <c r="BC32" s="60">
        <f t="shared" si="51"/>
        <v>0</v>
      </c>
      <c r="BD32" s="59"/>
      <c r="BE32" s="59"/>
      <c r="BF32" s="59"/>
      <c r="BG32" s="59"/>
      <c r="BH32" s="58"/>
      <c r="BI32" s="60">
        <f t="shared" si="52"/>
        <v>0</v>
      </c>
      <c r="BJ32" s="59"/>
      <c r="BK32" s="59"/>
      <c r="BL32" s="59"/>
      <c r="BM32" s="59"/>
      <c r="BN32" s="58"/>
      <c r="BO32" s="60">
        <f t="shared" si="53"/>
        <v>0</v>
      </c>
    </row>
    <row r="33" spans="1:67" ht="22.5" customHeight="1">
      <c r="A33" s="185" t="s">
        <v>59</v>
      </c>
      <c r="B33" s="58"/>
      <c r="C33" s="58"/>
      <c r="D33" s="58"/>
      <c r="E33" s="58"/>
      <c r="F33" s="58"/>
      <c r="G33" s="12">
        <f t="shared" si="44"/>
        <v>0</v>
      </c>
      <c r="H33" s="59"/>
      <c r="I33" s="59"/>
      <c r="J33" s="59"/>
      <c r="K33" s="59"/>
      <c r="L33" s="58"/>
      <c r="M33" s="60">
        <f t="shared" si="45"/>
        <v>0</v>
      </c>
      <c r="N33" s="59"/>
      <c r="O33" s="59"/>
      <c r="P33" s="59"/>
      <c r="Q33" s="59"/>
      <c r="R33" s="58"/>
      <c r="S33" s="60">
        <f t="shared" si="46"/>
        <v>0</v>
      </c>
      <c r="T33" s="59"/>
      <c r="U33" s="59"/>
      <c r="V33" s="59"/>
      <c r="W33" s="59"/>
      <c r="X33" s="58"/>
      <c r="Y33" s="60">
        <f t="shared" si="47"/>
        <v>0</v>
      </c>
      <c r="Z33" s="59"/>
      <c r="AA33" s="59"/>
      <c r="AB33" s="59"/>
      <c r="AC33" s="59"/>
      <c r="AD33" s="58"/>
      <c r="AE33" s="60">
        <f t="shared" si="48"/>
        <v>0</v>
      </c>
      <c r="AF33" s="59"/>
      <c r="AG33" s="59"/>
      <c r="AH33" s="59"/>
      <c r="AI33" s="59"/>
      <c r="AJ33" s="58"/>
      <c r="AK33" s="113">
        <v>27</v>
      </c>
      <c r="AL33" s="58"/>
      <c r="AM33" s="58"/>
      <c r="AN33" s="58"/>
      <c r="AO33" s="58"/>
      <c r="AP33" s="58"/>
      <c r="AQ33" s="12">
        <f t="shared" si="49"/>
        <v>0</v>
      </c>
      <c r="AR33" s="59"/>
      <c r="AS33" s="59"/>
      <c r="AT33" s="59"/>
      <c r="AU33" s="59"/>
      <c r="AV33" s="58"/>
      <c r="AW33" s="60">
        <f t="shared" si="50"/>
        <v>0</v>
      </c>
      <c r="AX33" s="59"/>
      <c r="AY33" s="59"/>
      <c r="AZ33" s="59"/>
      <c r="BA33" s="59"/>
      <c r="BB33" s="58"/>
      <c r="BC33" s="60">
        <f t="shared" si="51"/>
        <v>0</v>
      </c>
      <c r="BD33" s="59"/>
      <c r="BE33" s="59"/>
      <c r="BF33" s="59"/>
      <c r="BG33" s="59"/>
      <c r="BH33" s="58"/>
      <c r="BI33" s="60">
        <f t="shared" si="52"/>
        <v>0</v>
      </c>
      <c r="BJ33" s="59"/>
      <c r="BK33" s="59"/>
      <c r="BL33" s="59"/>
      <c r="BM33" s="59"/>
      <c r="BN33" s="58"/>
      <c r="BO33" s="60">
        <f t="shared" si="53"/>
        <v>0</v>
      </c>
    </row>
    <row r="34" spans="1:67" ht="22.5" customHeight="1" thickBot="1">
      <c r="A34" s="186" t="s">
        <v>12</v>
      </c>
      <c r="B34" s="62" t="e">
        <f>AVERAGE(B27:B33)</f>
        <v>#DIV/0!</v>
      </c>
      <c r="C34" s="62">
        <f>SUM(C27:C33)</f>
        <v>0</v>
      </c>
      <c r="D34" s="62">
        <f>SUM(D27:D33)</f>
        <v>0</v>
      </c>
      <c r="E34" s="62">
        <f>SUM(E27:E33)</f>
        <v>0</v>
      </c>
      <c r="F34" s="62">
        <f>SUM(F27:F33)</f>
        <v>0</v>
      </c>
      <c r="G34" s="63">
        <f>SUM(G27:G33)</f>
        <v>0</v>
      </c>
      <c r="H34" s="62" t="e">
        <f>AVERAGE(H27:H33)</f>
        <v>#DIV/0!</v>
      </c>
      <c r="I34" s="62" t="e">
        <f t="shared" ref="I34:K34" si="54">AVERAGE(I27:I33)</f>
        <v>#DIV/0!</v>
      </c>
      <c r="J34" s="62" t="e">
        <f t="shared" si="54"/>
        <v>#DIV/0!</v>
      </c>
      <c r="K34" s="62" t="e">
        <f t="shared" si="54"/>
        <v>#DIV/0!</v>
      </c>
      <c r="L34" s="62">
        <f>SUM(L27:L33)</f>
        <v>0</v>
      </c>
      <c r="M34" s="63">
        <f>SUM(M27:M33)</f>
        <v>0</v>
      </c>
      <c r="N34" s="62" t="e">
        <f>AVERAGE(N27:N33)</f>
        <v>#DIV/0!</v>
      </c>
      <c r="O34" s="62" t="e">
        <f t="shared" ref="O34:Q34" si="55">AVERAGE(O27:O33)</f>
        <v>#DIV/0!</v>
      </c>
      <c r="P34" s="62" t="e">
        <f t="shared" si="55"/>
        <v>#DIV/0!</v>
      </c>
      <c r="Q34" s="62" t="e">
        <f t="shared" si="55"/>
        <v>#DIV/0!</v>
      </c>
      <c r="R34" s="62">
        <v>352</v>
      </c>
      <c r="S34" s="63">
        <f>SUM(S27:S33)</f>
        <v>0</v>
      </c>
      <c r="T34" s="62" t="e">
        <f>AVERAGE(T27:T33)</f>
        <v>#DIV/0!</v>
      </c>
      <c r="U34" s="62" t="e">
        <f t="shared" ref="U34:X34" si="56">AVERAGE(U27:U33)</f>
        <v>#DIV/0!</v>
      </c>
      <c r="V34" s="62" t="e">
        <f t="shared" si="56"/>
        <v>#DIV/0!</v>
      </c>
      <c r="W34" s="62" t="e">
        <f t="shared" si="56"/>
        <v>#DIV/0!</v>
      </c>
      <c r="X34" s="62" t="e">
        <f t="shared" si="56"/>
        <v>#DIV/0!</v>
      </c>
      <c r="Y34" s="63">
        <f>SUM(Y27:Y33)</f>
        <v>0</v>
      </c>
      <c r="Z34" s="62" t="e">
        <f>AVERAGE(Z27:Z33)</f>
        <v>#DIV/0!</v>
      </c>
      <c r="AA34" s="62" t="e">
        <f t="shared" ref="AA34:AD34" si="57">AVERAGE(AA27:AA33)</f>
        <v>#DIV/0!</v>
      </c>
      <c r="AB34" s="62" t="e">
        <f t="shared" si="57"/>
        <v>#DIV/0!</v>
      </c>
      <c r="AC34" s="62" t="e">
        <f t="shared" si="57"/>
        <v>#DIV/0!</v>
      </c>
      <c r="AD34" s="62" t="e">
        <f t="shared" si="57"/>
        <v>#DIV/0!</v>
      </c>
      <c r="AE34" s="63">
        <f>SUM(AE27:AE33)</f>
        <v>0</v>
      </c>
      <c r="AF34" s="62" t="e">
        <f>AVERAGE(AF27:AF33)</f>
        <v>#DIV/0!</v>
      </c>
      <c r="AG34" s="62" t="e">
        <f t="shared" ref="AG34:AJ34" si="58">AVERAGE(AG27:AG33)</f>
        <v>#DIV/0!</v>
      </c>
      <c r="AH34" s="62" t="e">
        <f t="shared" si="58"/>
        <v>#DIV/0!</v>
      </c>
      <c r="AI34" s="62" t="e">
        <f t="shared" si="58"/>
        <v>#DIV/0!</v>
      </c>
      <c r="AJ34" s="62" t="e">
        <f t="shared" si="58"/>
        <v>#DIV/0!</v>
      </c>
      <c r="AK34" s="114">
        <f>SUM(AK27:AK33)</f>
        <v>355</v>
      </c>
      <c r="AL34" s="62" t="e">
        <f>AVERAGE(AL27:AL33)</f>
        <v>#DIV/0!</v>
      </c>
      <c r="AM34" s="62">
        <f>SUM(AM27:AM33)</f>
        <v>0</v>
      </c>
      <c r="AN34" s="62">
        <f>SUM(AN27:AN33)</f>
        <v>0</v>
      </c>
      <c r="AO34" s="62">
        <f>SUM(AO27:AO33)</f>
        <v>0</v>
      </c>
      <c r="AP34" s="62">
        <f>SUM(AP27:AP33)</f>
        <v>0</v>
      </c>
      <c r="AQ34" s="63">
        <f>SUM(AQ27:AQ33)</f>
        <v>0</v>
      </c>
      <c r="AR34" s="62" t="e">
        <f>AVERAGE(AR27:AR33)</f>
        <v>#DIV/0!</v>
      </c>
      <c r="AS34" s="62" t="e">
        <f t="shared" ref="AS34:AU34" si="59">AVERAGE(AS27:AS33)</f>
        <v>#DIV/0!</v>
      </c>
      <c r="AT34" s="62" t="e">
        <f t="shared" si="59"/>
        <v>#DIV/0!</v>
      </c>
      <c r="AU34" s="62" t="e">
        <f t="shared" si="59"/>
        <v>#DIV/0!</v>
      </c>
      <c r="AV34" s="62"/>
      <c r="AW34" s="63">
        <f>SUM(AW27:AW33)</f>
        <v>0</v>
      </c>
      <c r="AX34" s="62" t="e">
        <f>AVERAGE(AX27:AX33)</f>
        <v>#DIV/0!</v>
      </c>
      <c r="AY34" s="62" t="e">
        <f t="shared" ref="AY34:BA34" si="60">AVERAGE(AY27:AY33)</f>
        <v>#DIV/0!</v>
      </c>
      <c r="AZ34" s="62" t="e">
        <f t="shared" si="60"/>
        <v>#DIV/0!</v>
      </c>
      <c r="BA34" s="62" t="e">
        <f t="shared" si="60"/>
        <v>#DIV/0!</v>
      </c>
      <c r="BB34" s="62">
        <v>352</v>
      </c>
      <c r="BC34" s="63">
        <f>SUM(BC27:BC33)</f>
        <v>0</v>
      </c>
      <c r="BD34" s="62" t="e">
        <f>AVERAGE(BD27:BD33)</f>
        <v>#DIV/0!</v>
      </c>
      <c r="BE34" s="62" t="e">
        <f t="shared" ref="BE34:BH34" si="61">AVERAGE(BE27:BE33)</f>
        <v>#DIV/0!</v>
      </c>
      <c r="BF34" s="62" t="e">
        <f t="shared" si="61"/>
        <v>#DIV/0!</v>
      </c>
      <c r="BG34" s="62" t="e">
        <f t="shared" si="61"/>
        <v>#DIV/0!</v>
      </c>
      <c r="BH34" s="62" t="e">
        <f t="shared" si="61"/>
        <v>#DIV/0!</v>
      </c>
      <c r="BI34" s="63">
        <f>SUM(BI27:BI33)</f>
        <v>0</v>
      </c>
      <c r="BJ34" s="62" t="e">
        <f>AVERAGE(BJ27:BJ33)</f>
        <v>#DIV/0!</v>
      </c>
      <c r="BK34" s="62" t="e">
        <f t="shared" ref="BK34:BN34" si="62">AVERAGE(BK27:BK33)</f>
        <v>#DIV/0!</v>
      </c>
      <c r="BL34" s="62" t="e">
        <f t="shared" si="62"/>
        <v>#DIV/0!</v>
      </c>
      <c r="BM34" s="62" t="e">
        <f t="shared" si="62"/>
        <v>#DIV/0!</v>
      </c>
      <c r="BN34" s="62" t="e">
        <f t="shared" si="62"/>
        <v>#DIV/0!</v>
      </c>
      <c r="BO34" s="63">
        <f>SUM(BO27:BO33)</f>
        <v>0</v>
      </c>
    </row>
    <row r="35" spans="1:67" ht="22.5" customHeight="1">
      <c r="A35" s="112" t="s">
        <v>33</v>
      </c>
      <c r="B35" s="59"/>
      <c r="C35" s="59"/>
      <c r="D35" s="59"/>
      <c r="E35" s="59"/>
      <c r="F35" s="58"/>
      <c r="G35" s="60">
        <f>SUM(B35:F35)</f>
        <v>0</v>
      </c>
      <c r="H35" s="59"/>
      <c r="I35" s="59"/>
      <c r="J35" s="59"/>
      <c r="K35" s="59"/>
      <c r="L35" s="58"/>
      <c r="M35" s="60">
        <f>SUM(H35:L35)</f>
        <v>0</v>
      </c>
      <c r="N35" s="59"/>
      <c r="O35" s="59"/>
      <c r="P35" s="59"/>
      <c r="Q35" s="59"/>
      <c r="R35" s="58"/>
      <c r="S35" s="60">
        <f>SUM(N35:R35)</f>
        <v>0</v>
      </c>
      <c r="T35" s="59"/>
      <c r="U35" s="59"/>
      <c r="V35" s="59"/>
      <c r="W35" s="59"/>
      <c r="X35" s="58"/>
      <c r="Y35" s="60">
        <f>SUM(T35:X35)</f>
        <v>0</v>
      </c>
      <c r="Z35" s="59"/>
      <c r="AA35" s="59"/>
      <c r="AB35" s="59"/>
      <c r="AC35" s="59"/>
      <c r="AD35" s="58"/>
      <c r="AE35" s="60">
        <f>SUM(Z35:AD35)</f>
        <v>0</v>
      </c>
      <c r="AF35" s="59"/>
      <c r="AG35" s="59"/>
      <c r="AH35" s="59"/>
      <c r="AI35" s="59"/>
      <c r="AJ35" s="58"/>
      <c r="AK35" s="113">
        <f>SUM(AF35:AJ35)</f>
        <v>0</v>
      </c>
      <c r="AL35" s="59"/>
      <c r="AM35" s="59"/>
      <c r="AN35" s="59"/>
      <c r="AO35" s="59"/>
      <c r="AP35" s="58"/>
      <c r="AQ35" s="60">
        <f>SUM(AL35:AP35)</f>
        <v>0</v>
      </c>
      <c r="AR35" s="59"/>
      <c r="AS35" s="59"/>
      <c r="AT35" s="59"/>
      <c r="AU35" s="59"/>
      <c r="AV35" s="58"/>
      <c r="AW35" s="60">
        <f>SUM(AR35:AV35)</f>
        <v>0</v>
      </c>
      <c r="AX35" s="59"/>
      <c r="AY35" s="59"/>
      <c r="AZ35" s="59"/>
      <c r="BA35" s="59"/>
      <c r="BB35" s="58"/>
      <c r="BC35" s="60">
        <f>SUM(AX35:BB35)</f>
        <v>0</v>
      </c>
      <c r="BD35" s="59"/>
      <c r="BE35" s="59"/>
      <c r="BF35" s="59"/>
      <c r="BG35" s="59"/>
      <c r="BH35" s="58"/>
      <c r="BI35" s="60">
        <f>SUM(BD35:BH35)</f>
        <v>0</v>
      </c>
      <c r="BJ35" s="59"/>
      <c r="BK35" s="59"/>
      <c r="BL35" s="59"/>
      <c r="BM35" s="59"/>
      <c r="BN35" s="58"/>
      <c r="BO35" s="60">
        <f>SUM(BJ35:BN35)</f>
        <v>0</v>
      </c>
    </row>
    <row r="36" spans="1:67" ht="22.5" customHeight="1" thickBot="1">
      <c r="A36" s="116" t="s">
        <v>34</v>
      </c>
      <c r="B36" s="117"/>
      <c r="C36" s="117"/>
      <c r="D36" s="117"/>
      <c r="E36" s="117"/>
      <c r="F36" s="117"/>
      <c r="G36" s="118">
        <f>F36</f>
        <v>0</v>
      </c>
      <c r="H36" s="117"/>
      <c r="I36" s="117"/>
      <c r="J36" s="117"/>
      <c r="K36" s="117"/>
      <c r="L36" s="117"/>
      <c r="M36" s="118">
        <f>SUM(H36:L36)</f>
        <v>0</v>
      </c>
      <c r="N36" s="117"/>
      <c r="O36" s="117"/>
      <c r="P36" s="117"/>
      <c r="Q36" s="117"/>
      <c r="R36" s="117"/>
      <c r="S36" s="118">
        <f>SUM(N36:R36)</f>
        <v>0</v>
      </c>
      <c r="T36" s="117"/>
      <c r="U36" s="117"/>
      <c r="V36" s="117"/>
      <c r="W36" s="117"/>
      <c r="X36" s="117"/>
      <c r="Y36" s="118">
        <f>SUM(T36:X36)</f>
        <v>0</v>
      </c>
      <c r="Z36" s="117"/>
      <c r="AA36" s="117"/>
      <c r="AB36" s="117"/>
      <c r="AC36" s="117"/>
      <c r="AD36" s="117"/>
      <c r="AE36" s="118">
        <f>SUM(Z36:AD36)</f>
        <v>0</v>
      </c>
      <c r="AF36" s="117"/>
      <c r="AG36" s="117"/>
      <c r="AH36" s="117"/>
      <c r="AI36" s="117"/>
      <c r="AJ36" s="117"/>
      <c r="AK36" s="119"/>
      <c r="AL36" s="117"/>
      <c r="AM36" s="117"/>
      <c r="AN36" s="117"/>
      <c r="AO36" s="117"/>
      <c r="AP36" s="117"/>
      <c r="AQ36" s="118">
        <f>AP36</f>
        <v>0</v>
      </c>
      <c r="AR36" s="117"/>
      <c r="AS36" s="117"/>
      <c r="AT36" s="117"/>
      <c r="AU36" s="117"/>
      <c r="AV36" s="117"/>
      <c r="AW36" s="118">
        <f>SUM(AR36:AV36)</f>
        <v>0</v>
      </c>
      <c r="AX36" s="117"/>
      <c r="AY36" s="117"/>
      <c r="AZ36" s="117"/>
      <c r="BA36" s="117"/>
      <c r="BB36" s="117"/>
      <c r="BC36" s="118">
        <f>SUM(AX36:BB36)</f>
        <v>0</v>
      </c>
      <c r="BD36" s="117"/>
      <c r="BE36" s="117"/>
      <c r="BF36" s="117"/>
      <c r="BG36" s="117"/>
      <c r="BH36" s="117"/>
      <c r="BI36" s="118">
        <f>SUM(BD36:BH36)</f>
        <v>0</v>
      </c>
      <c r="BJ36" s="117"/>
      <c r="BK36" s="117"/>
      <c r="BL36" s="117"/>
      <c r="BM36" s="117"/>
      <c r="BN36" s="117"/>
      <c r="BO36" s="118">
        <f>SUM(BJ36:BN36)</f>
        <v>0</v>
      </c>
    </row>
    <row r="37" spans="1:67" ht="22.5" customHeight="1"/>
    <row r="38" spans="1:67" ht="22.5" customHeight="1"/>
  </sheetData>
  <mergeCells count="56">
    <mergeCell ref="BD2:BH2"/>
    <mergeCell ref="BJ2:BN2"/>
    <mergeCell ref="A1:M1"/>
    <mergeCell ref="B2:F2"/>
    <mergeCell ref="H2:L2"/>
    <mergeCell ref="N2:R2"/>
    <mergeCell ref="T2:X2"/>
    <mergeCell ref="Z2:AD2"/>
    <mergeCell ref="AF4:AJ4"/>
    <mergeCell ref="AF2:AJ2"/>
    <mergeCell ref="AL2:AP2"/>
    <mergeCell ref="AR2:AV2"/>
    <mergeCell ref="AX2:BB2"/>
    <mergeCell ref="B4:F4"/>
    <mergeCell ref="H4:L4"/>
    <mergeCell ref="N4:R4"/>
    <mergeCell ref="T4:X4"/>
    <mergeCell ref="Z4:AD4"/>
    <mergeCell ref="B5:G5"/>
    <mergeCell ref="H5:M5"/>
    <mergeCell ref="N5:S5"/>
    <mergeCell ref="T5:Y5"/>
    <mergeCell ref="Z5:AE5"/>
    <mergeCell ref="BD5:BI5"/>
    <mergeCell ref="BJ5:BO5"/>
    <mergeCell ref="AL4:AP4"/>
    <mergeCell ref="AR4:AV4"/>
    <mergeCell ref="AX4:BB4"/>
    <mergeCell ref="BD4:BH4"/>
    <mergeCell ref="BJ4:BN4"/>
    <mergeCell ref="AF16:AK16"/>
    <mergeCell ref="AF5:AK5"/>
    <mergeCell ref="AL5:AQ5"/>
    <mergeCell ref="AR5:AW5"/>
    <mergeCell ref="AX5:BC5"/>
    <mergeCell ref="B16:G16"/>
    <mergeCell ref="H16:M16"/>
    <mergeCell ref="N16:S16"/>
    <mergeCell ref="T16:Y16"/>
    <mergeCell ref="Z16:AE16"/>
    <mergeCell ref="B26:G26"/>
    <mergeCell ref="H26:M26"/>
    <mergeCell ref="N26:S26"/>
    <mergeCell ref="T26:Y26"/>
    <mergeCell ref="Z26:AE26"/>
    <mergeCell ref="BJ26:BO26"/>
    <mergeCell ref="AL16:AQ16"/>
    <mergeCell ref="AR16:AW16"/>
    <mergeCell ref="AX16:BC16"/>
    <mergeCell ref="BD16:BI16"/>
    <mergeCell ref="BJ16:BO16"/>
    <mergeCell ref="AF26:AK26"/>
    <mergeCell ref="AL26:AQ26"/>
    <mergeCell ref="AR26:AW26"/>
    <mergeCell ref="AX26:BC26"/>
    <mergeCell ref="BD26:BI26"/>
  </mergeCells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600C-F2D3-472E-8D7D-A37E6A08B987}">
  <dimension ref="A1:BO38"/>
  <sheetViews>
    <sheetView showGridLines="0" zoomScale="89" zoomScaleNormal="89" workbookViewId="0">
      <pane xSplit="1" topLeftCell="B1" activePane="topRight" state="frozen"/>
      <selection pane="topRight" activeCell="A6" sqref="A6:A14"/>
    </sheetView>
  </sheetViews>
  <sheetFormatPr defaultColWidth="5.7109375" defaultRowHeight="15"/>
  <cols>
    <col min="1" max="1" width="32" style="10" bestFit="1" customWidth="1"/>
    <col min="2" max="4" width="14.7109375" style="9" bestFit="1" customWidth="1"/>
    <col min="5" max="6" width="14.42578125" style="9" bestFit="1" customWidth="1"/>
    <col min="7" max="7" width="18" style="9" customWidth="1"/>
    <col min="8" max="10" width="14.7109375" style="9" bestFit="1" customWidth="1"/>
    <col min="11" max="12" width="14.42578125" style="9" bestFit="1" customWidth="1"/>
    <col min="13" max="13" width="18" style="9" customWidth="1"/>
    <col min="14" max="16" width="14.7109375" style="9" bestFit="1" customWidth="1"/>
    <col min="17" max="18" width="14.42578125" style="9" bestFit="1" customWidth="1"/>
    <col min="19" max="19" width="18" style="9" customWidth="1"/>
    <col min="20" max="22" width="14.7109375" style="9" bestFit="1" customWidth="1"/>
    <col min="23" max="24" width="14.42578125" style="9" bestFit="1" customWidth="1"/>
    <col min="25" max="25" width="18" style="9" customWidth="1"/>
    <col min="26" max="28" width="14.7109375" style="9" bestFit="1" customWidth="1"/>
    <col min="29" max="30" width="14.42578125" style="9" bestFit="1" customWidth="1"/>
    <col min="31" max="31" width="18" style="9" customWidth="1"/>
    <col min="32" max="34" width="14.7109375" style="9" bestFit="1" customWidth="1"/>
    <col min="35" max="36" width="14.42578125" style="9" bestFit="1" customWidth="1"/>
    <col min="37" max="37" width="18" style="9" customWidth="1"/>
    <col min="38" max="38" width="11.85546875" style="1" customWidth="1"/>
    <col min="39" max="39" width="11.42578125" style="1" customWidth="1"/>
    <col min="40" max="40" width="11.85546875" style="1" customWidth="1"/>
    <col min="41" max="41" width="11.7109375" style="1" customWidth="1"/>
    <col min="42" max="42" width="11.28515625" style="1" customWidth="1"/>
    <col min="43" max="44" width="11.7109375" style="1" customWidth="1"/>
    <col min="45" max="45" width="11.42578125" style="1" customWidth="1"/>
    <col min="46" max="46" width="11.85546875" style="1" customWidth="1"/>
    <col min="47" max="47" width="11.7109375" style="1" customWidth="1"/>
    <col min="48" max="48" width="10.85546875" style="1" customWidth="1"/>
    <col min="49" max="49" width="11.42578125" style="1" customWidth="1"/>
    <col min="50" max="50" width="11.85546875" style="1" customWidth="1"/>
    <col min="51" max="51" width="11.42578125" style="1" customWidth="1"/>
    <col min="52" max="52" width="11.85546875" style="1" customWidth="1"/>
    <col min="53" max="53" width="11.28515625" style="1" customWidth="1"/>
    <col min="54" max="54" width="12.42578125" style="1" customWidth="1"/>
    <col min="55" max="58" width="11.7109375" style="1" customWidth="1"/>
    <col min="59" max="59" width="11.85546875" style="1" customWidth="1"/>
    <col min="60" max="60" width="10.85546875" style="1" customWidth="1"/>
    <col min="61" max="61" width="13.140625" style="1" customWidth="1"/>
    <col min="62" max="63" width="11.7109375" style="1" customWidth="1"/>
    <col min="64" max="64" width="11.42578125" style="1" customWidth="1"/>
    <col min="65" max="65" width="11.7109375" style="1" customWidth="1"/>
    <col min="66" max="66" width="11.42578125" style="1" customWidth="1"/>
    <col min="67" max="67" width="11.7109375" style="1" customWidth="1"/>
    <col min="68" max="16384" width="5.7109375" style="1"/>
  </cols>
  <sheetData>
    <row r="1" spans="1:67" ht="40.5" customHeight="1" thickBot="1">
      <c r="A1" s="523"/>
      <c r="B1" s="523"/>
      <c r="C1" s="523"/>
      <c r="D1" s="523"/>
      <c r="E1" s="523"/>
      <c r="F1" s="523"/>
      <c r="G1" s="523"/>
      <c r="H1" s="523"/>
      <c r="I1" s="523"/>
      <c r="J1" s="523"/>
      <c r="K1" s="523"/>
      <c r="L1" s="523"/>
      <c r="M1" s="52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67" ht="40.5" customHeight="1" thickBot="1">
      <c r="A2" s="87"/>
      <c r="B2" s="534" t="s">
        <v>35</v>
      </c>
      <c r="C2" s="535"/>
      <c r="D2" s="535"/>
      <c r="E2" s="535"/>
      <c r="F2" s="535"/>
      <c r="G2" s="88"/>
      <c r="H2" s="534" t="s">
        <v>36</v>
      </c>
      <c r="I2" s="535"/>
      <c r="J2" s="535"/>
      <c r="K2" s="535"/>
      <c r="L2" s="535"/>
      <c r="M2" s="88"/>
      <c r="N2" s="534" t="s">
        <v>37</v>
      </c>
      <c r="O2" s="535"/>
      <c r="P2" s="535"/>
      <c r="Q2" s="535"/>
      <c r="R2" s="535"/>
      <c r="S2" s="88"/>
      <c r="T2" s="534" t="s">
        <v>38</v>
      </c>
      <c r="U2" s="535"/>
      <c r="V2" s="535"/>
      <c r="W2" s="535"/>
      <c r="X2" s="535"/>
      <c r="Y2" s="88"/>
      <c r="Z2" s="534" t="s">
        <v>39</v>
      </c>
      <c r="AA2" s="535"/>
      <c r="AB2" s="535"/>
      <c r="AC2" s="535"/>
      <c r="AD2" s="535"/>
      <c r="AE2" s="88"/>
      <c r="AF2" s="534" t="s">
        <v>0</v>
      </c>
      <c r="AG2" s="535"/>
      <c r="AH2" s="535"/>
      <c r="AI2" s="535"/>
      <c r="AJ2" s="535"/>
      <c r="AK2" s="89"/>
      <c r="AL2" s="556" t="s">
        <v>1</v>
      </c>
      <c r="AM2" s="535"/>
      <c r="AN2" s="535"/>
      <c r="AO2" s="535"/>
      <c r="AP2" s="535"/>
      <c r="AQ2" s="88"/>
      <c r="AR2" s="534" t="s">
        <v>2</v>
      </c>
      <c r="AS2" s="535"/>
      <c r="AT2" s="535"/>
      <c r="AU2" s="535"/>
      <c r="AV2" s="535"/>
      <c r="AW2" s="88"/>
      <c r="AX2" s="534" t="s">
        <v>3</v>
      </c>
      <c r="AY2" s="535"/>
      <c r="AZ2" s="535"/>
      <c r="BA2" s="535"/>
      <c r="BB2" s="535"/>
      <c r="BC2" s="88"/>
      <c r="BD2" s="534" t="s">
        <v>4</v>
      </c>
      <c r="BE2" s="535"/>
      <c r="BF2" s="535"/>
      <c r="BG2" s="535"/>
      <c r="BH2" s="535"/>
      <c r="BI2" s="88"/>
      <c r="BJ2" s="534" t="s">
        <v>5</v>
      </c>
      <c r="BK2" s="535"/>
      <c r="BL2" s="535"/>
      <c r="BM2" s="535"/>
      <c r="BN2" s="535"/>
      <c r="BO2" s="88"/>
    </row>
    <row r="3" spans="1:67" ht="39" customHeight="1" thickBot="1">
      <c r="A3" s="90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4" t="s">
        <v>12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4" t="s">
        <v>12</v>
      </c>
      <c r="N3" s="13" t="s">
        <v>7</v>
      </c>
      <c r="O3" s="13" t="s">
        <v>8</v>
      </c>
      <c r="P3" s="13" t="s">
        <v>9</v>
      </c>
      <c r="Q3" s="13" t="s">
        <v>10</v>
      </c>
      <c r="R3" s="13" t="s">
        <v>11</v>
      </c>
      <c r="S3" s="14" t="s">
        <v>12</v>
      </c>
      <c r="T3" s="13" t="s">
        <v>7</v>
      </c>
      <c r="U3" s="13" t="s">
        <v>8</v>
      </c>
      <c r="V3" s="13" t="s">
        <v>9</v>
      </c>
      <c r="W3" s="13" t="s">
        <v>10</v>
      </c>
      <c r="X3" s="13" t="s">
        <v>11</v>
      </c>
      <c r="Y3" s="14" t="s">
        <v>12</v>
      </c>
      <c r="Z3" s="13" t="s">
        <v>7</v>
      </c>
      <c r="AA3" s="13" t="s">
        <v>8</v>
      </c>
      <c r="AB3" s="13" t="s">
        <v>9</v>
      </c>
      <c r="AC3" s="13" t="s">
        <v>10</v>
      </c>
      <c r="AD3" s="13" t="s">
        <v>11</v>
      </c>
      <c r="AE3" s="14" t="s">
        <v>12</v>
      </c>
      <c r="AF3" s="13" t="s">
        <v>7</v>
      </c>
      <c r="AG3" s="13" t="s">
        <v>8</v>
      </c>
      <c r="AH3" s="13" t="s">
        <v>9</v>
      </c>
      <c r="AI3" s="13" t="s">
        <v>10</v>
      </c>
      <c r="AJ3" s="13" t="s">
        <v>11</v>
      </c>
      <c r="AK3" s="91" t="s">
        <v>12</v>
      </c>
      <c r="AL3" s="13" t="s">
        <v>7</v>
      </c>
      <c r="AM3" s="13" t="s">
        <v>8</v>
      </c>
      <c r="AN3" s="13" t="s">
        <v>9</v>
      </c>
      <c r="AO3" s="13" t="s">
        <v>10</v>
      </c>
      <c r="AP3" s="13" t="s">
        <v>11</v>
      </c>
      <c r="AQ3" s="14" t="s">
        <v>12</v>
      </c>
      <c r="AR3" s="13" t="s">
        <v>7</v>
      </c>
      <c r="AS3" s="13" t="s">
        <v>8</v>
      </c>
      <c r="AT3" s="13" t="s">
        <v>9</v>
      </c>
      <c r="AU3" s="13" t="s">
        <v>10</v>
      </c>
      <c r="AV3" s="13" t="s">
        <v>11</v>
      </c>
      <c r="AW3" s="14" t="s">
        <v>12</v>
      </c>
      <c r="AX3" s="13" t="s">
        <v>7</v>
      </c>
      <c r="AY3" s="13" t="s">
        <v>8</v>
      </c>
      <c r="AZ3" s="13" t="s">
        <v>9</v>
      </c>
      <c r="BA3" s="13" t="s">
        <v>10</v>
      </c>
      <c r="BB3" s="13" t="s">
        <v>11</v>
      </c>
      <c r="BC3" s="14" t="s">
        <v>12</v>
      </c>
      <c r="BD3" s="13" t="s">
        <v>7</v>
      </c>
      <c r="BE3" s="13" t="s">
        <v>8</v>
      </c>
      <c r="BF3" s="13" t="s">
        <v>9</v>
      </c>
      <c r="BG3" s="13" t="s">
        <v>10</v>
      </c>
      <c r="BH3" s="13" t="s">
        <v>11</v>
      </c>
      <c r="BI3" s="14" t="s">
        <v>12</v>
      </c>
      <c r="BJ3" s="13" t="s">
        <v>7</v>
      </c>
      <c r="BK3" s="13" t="s">
        <v>8</v>
      </c>
      <c r="BL3" s="13" t="s">
        <v>9</v>
      </c>
      <c r="BM3" s="13" t="s">
        <v>10</v>
      </c>
      <c r="BN3" s="13" t="s">
        <v>11</v>
      </c>
      <c r="BO3" s="14" t="s">
        <v>12</v>
      </c>
    </row>
    <row r="4" spans="1:67" ht="22.5" customHeight="1" thickBot="1">
      <c r="A4" s="92"/>
      <c r="B4" s="516" t="s">
        <v>13</v>
      </c>
      <c r="C4" s="516"/>
      <c r="D4" s="516"/>
      <c r="E4" s="516"/>
      <c r="F4" s="516"/>
      <c r="G4" s="85"/>
      <c r="H4" s="516" t="s">
        <v>13</v>
      </c>
      <c r="I4" s="516"/>
      <c r="J4" s="516"/>
      <c r="K4" s="516"/>
      <c r="L4" s="516"/>
      <c r="M4" s="85"/>
      <c r="N4" s="516" t="s">
        <v>13</v>
      </c>
      <c r="O4" s="516"/>
      <c r="P4" s="516"/>
      <c r="Q4" s="516"/>
      <c r="R4" s="516"/>
      <c r="S4" s="85"/>
      <c r="T4" s="516" t="s">
        <v>13</v>
      </c>
      <c r="U4" s="516"/>
      <c r="V4" s="516"/>
      <c r="W4" s="516"/>
      <c r="X4" s="516"/>
      <c r="Y4" s="85"/>
      <c r="Z4" s="516" t="s">
        <v>13</v>
      </c>
      <c r="AA4" s="516"/>
      <c r="AB4" s="516"/>
      <c r="AC4" s="516"/>
      <c r="AD4" s="516"/>
      <c r="AE4" s="85"/>
      <c r="AF4" s="516" t="s">
        <v>13</v>
      </c>
      <c r="AG4" s="516"/>
      <c r="AH4" s="516"/>
      <c r="AI4" s="516"/>
      <c r="AJ4" s="516"/>
      <c r="AK4" s="111"/>
      <c r="AL4" s="515" t="s">
        <v>13</v>
      </c>
      <c r="AM4" s="516"/>
      <c r="AN4" s="516"/>
      <c r="AO4" s="516"/>
      <c r="AP4" s="516"/>
      <c r="AQ4" s="85"/>
      <c r="AR4" s="516" t="s">
        <v>13</v>
      </c>
      <c r="AS4" s="516"/>
      <c r="AT4" s="516"/>
      <c r="AU4" s="516"/>
      <c r="AV4" s="516"/>
      <c r="AW4" s="85"/>
      <c r="AX4" s="516" t="s">
        <v>13</v>
      </c>
      <c r="AY4" s="516"/>
      <c r="AZ4" s="516"/>
      <c r="BA4" s="516"/>
      <c r="BB4" s="516"/>
      <c r="BC4" s="85"/>
      <c r="BD4" s="516" t="s">
        <v>13</v>
      </c>
      <c r="BE4" s="516"/>
      <c r="BF4" s="516"/>
      <c r="BG4" s="516"/>
      <c r="BH4" s="516"/>
      <c r="BI4" s="85"/>
      <c r="BJ4" s="516" t="s">
        <v>13</v>
      </c>
      <c r="BK4" s="516"/>
      <c r="BL4" s="516"/>
      <c r="BM4" s="516"/>
      <c r="BN4" s="516"/>
      <c r="BO4" s="85"/>
    </row>
    <row r="5" spans="1:67" ht="22.5" customHeight="1" thickBot="1">
      <c r="A5" s="187" t="s">
        <v>169</v>
      </c>
      <c r="B5" s="550" t="s">
        <v>15</v>
      </c>
      <c r="C5" s="551"/>
      <c r="D5" s="551"/>
      <c r="E5" s="551"/>
      <c r="F5" s="551"/>
      <c r="G5" s="552"/>
      <c r="H5" s="550" t="s">
        <v>15</v>
      </c>
      <c r="I5" s="551"/>
      <c r="J5" s="551"/>
      <c r="K5" s="551"/>
      <c r="L5" s="551"/>
      <c r="M5" s="552"/>
      <c r="N5" s="553" t="s">
        <v>15</v>
      </c>
      <c r="O5" s="554"/>
      <c r="P5" s="554"/>
      <c r="Q5" s="554"/>
      <c r="R5" s="554"/>
      <c r="S5" s="555"/>
      <c r="T5" s="553" t="s">
        <v>15</v>
      </c>
      <c r="U5" s="554"/>
      <c r="V5" s="554"/>
      <c r="W5" s="554"/>
      <c r="X5" s="554"/>
      <c r="Y5" s="555"/>
      <c r="Z5" s="553" t="s">
        <v>15</v>
      </c>
      <c r="AA5" s="554"/>
      <c r="AB5" s="554"/>
      <c r="AC5" s="554"/>
      <c r="AD5" s="554"/>
      <c r="AE5" s="555"/>
      <c r="AF5" s="553" t="s">
        <v>15</v>
      </c>
      <c r="AG5" s="554"/>
      <c r="AH5" s="554"/>
      <c r="AI5" s="554"/>
      <c r="AJ5" s="554"/>
      <c r="AK5" s="555"/>
      <c r="AL5" s="550" t="s">
        <v>15</v>
      </c>
      <c r="AM5" s="551"/>
      <c r="AN5" s="551"/>
      <c r="AO5" s="551"/>
      <c r="AP5" s="551"/>
      <c r="AQ5" s="552"/>
      <c r="AR5" s="550" t="s">
        <v>15</v>
      </c>
      <c r="AS5" s="551"/>
      <c r="AT5" s="551"/>
      <c r="AU5" s="551"/>
      <c r="AV5" s="551"/>
      <c r="AW5" s="552"/>
      <c r="AX5" s="553" t="s">
        <v>15</v>
      </c>
      <c r="AY5" s="554"/>
      <c r="AZ5" s="554"/>
      <c r="BA5" s="554"/>
      <c r="BB5" s="554"/>
      <c r="BC5" s="555"/>
      <c r="BD5" s="553" t="s">
        <v>15</v>
      </c>
      <c r="BE5" s="554"/>
      <c r="BF5" s="554"/>
      <c r="BG5" s="554"/>
      <c r="BH5" s="554"/>
      <c r="BI5" s="555"/>
      <c r="BJ5" s="553" t="s">
        <v>15</v>
      </c>
      <c r="BK5" s="554"/>
      <c r="BL5" s="554"/>
      <c r="BM5" s="554"/>
      <c r="BN5" s="554"/>
      <c r="BO5" s="555"/>
    </row>
    <row r="6" spans="1:67" ht="22.5" customHeight="1">
      <c r="A6" s="185" t="s">
        <v>162</v>
      </c>
      <c r="B6" s="86"/>
      <c r="C6" s="86"/>
      <c r="D6" s="86"/>
      <c r="E6" s="86"/>
      <c r="F6" s="86"/>
      <c r="G6" s="132" t="e">
        <f>AVERAGE(B6:F6)</f>
        <v>#DIV/0!</v>
      </c>
      <c r="H6" s="86"/>
      <c r="I6" s="86"/>
      <c r="J6" s="64"/>
      <c r="K6" s="64"/>
      <c r="L6" s="64"/>
      <c r="M6" s="60" t="e">
        <f>AVERAGE(H6:I6)</f>
        <v>#DIV/0!</v>
      </c>
      <c r="N6" s="58"/>
      <c r="O6" s="58"/>
      <c r="P6" s="58"/>
      <c r="Q6" s="58"/>
      <c r="R6" s="58"/>
      <c r="S6" s="60" t="e">
        <f>AVERAGE(N6:R6)</f>
        <v>#DIV/0!</v>
      </c>
      <c r="T6" s="58"/>
      <c r="U6" s="58"/>
      <c r="V6" s="58"/>
      <c r="W6" s="58"/>
      <c r="X6" s="58"/>
      <c r="Y6" s="60" t="e">
        <f>AVERAGE(T6:X6)</f>
        <v>#DIV/0!</v>
      </c>
      <c r="Z6" s="58"/>
      <c r="AA6" s="58"/>
      <c r="AB6" s="58"/>
      <c r="AC6" s="58"/>
      <c r="AD6" s="58"/>
      <c r="AE6" s="60" t="e">
        <f>AVERAGE(Z6:AD6)</f>
        <v>#DIV/0!</v>
      </c>
      <c r="AF6" s="58"/>
      <c r="AG6" s="58"/>
      <c r="AH6" s="58">
        <v>87.7</v>
      </c>
      <c r="AI6" s="58"/>
      <c r="AJ6" s="58"/>
      <c r="AK6" s="113">
        <v>88</v>
      </c>
      <c r="AL6" s="86"/>
      <c r="AM6" s="86"/>
      <c r="AN6" s="86"/>
      <c r="AO6" s="86"/>
      <c r="AP6" s="86"/>
      <c r="AQ6" s="132" t="e">
        <f>AVERAGE(AL6:AP6)</f>
        <v>#DIV/0!</v>
      </c>
      <c r="AR6" s="86"/>
      <c r="AS6" s="86"/>
      <c r="AT6" s="64"/>
      <c r="AU6" s="64"/>
      <c r="AV6" s="64"/>
      <c r="AW6" s="60" t="e">
        <f>AVERAGE(AR6:AS6)</f>
        <v>#DIV/0!</v>
      </c>
      <c r="AX6" s="58"/>
      <c r="AY6" s="58"/>
      <c r="AZ6" s="58"/>
      <c r="BA6" s="58"/>
      <c r="BB6" s="58"/>
      <c r="BC6" s="60" t="e">
        <f>AVERAGE(AX6:BB6)</f>
        <v>#DIV/0!</v>
      </c>
      <c r="BD6" s="58"/>
      <c r="BE6" s="58"/>
      <c r="BF6" s="58"/>
      <c r="BG6" s="58"/>
      <c r="BH6" s="58"/>
      <c r="BI6" s="60" t="e">
        <f>AVERAGE(BD6:BH6)</f>
        <v>#DIV/0!</v>
      </c>
      <c r="BJ6" s="58"/>
      <c r="BK6" s="58"/>
      <c r="BL6" s="58"/>
      <c r="BM6" s="58"/>
      <c r="BN6" s="58"/>
      <c r="BO6" s="60" t="e">
        <f>AVERAGE(BJ6:BN6)</f>
        <v>#DIV/0!</v>
      </c>
    </row>
    <row r="7" spans="1:67" ht="22.5" customHeight="1">
      <c r="A7" s="185" t="s">
        <v>162</v>
      </c>
      <c r="B7" s="59"/>
      <c r="C7" s="59"/>
      <c r="D7" s="59"/>
      <c r="E7" s="59"/>
      <c r="F7" s="59"/>
      <c r="G7" s="132" t="e">
        <f>AVERAGE(B7:F7)</f>
        <v>#DIV/0!</v>
      </c>
      <c r="H7" s="59"/>
      <c r="I7" s="59"/>
      <c r="J7" s="58"/>
      <c r="K7" s="58"/>
      <c r="L7" s="58"/>
      <c r="M7" s="60" t="e">
        <f t="shared" ref="M7:M14" si="0">AVERAGE(H7:I7)</f>
        <v>#DIV/0!</v>
      </c>
      <c r="N7" s="58"/>
      <c r="O7" s="59"/>
      <c r="P7" s="58"/>
      <c r="Q7" s="58"/>
      <c r="R7" s="58"/>
      <c r="S7" s="60" t="e">
        <f>AVERAGE(N7:R7)</f>
        <v>#DIV/0!</v>
      </c>
      <c r="T7" s="58"/>
      <c r="U7" s="58"/>
      <c r="V7" s="58"/>
      <c r="W7" s="58"/>
      <c r="X7" s="58"/>
      <c r="Y7" s="60" t="e">
        <f>AVERAGE(T7:X7)</f>
        <v>#DIV/0!</v>
      </c>
      <c r="Z7" s="58"/>
      <c r="AA7" s="58"/>
      <c r="AB7" s="58"/>
      <c r="AC7" s="58"/>
      <c r="AD7" s="58"/>
      <c r="AE7" s="60" t="e">
        <f>AVERAGE(Z7:AD7)</f>
        <v>#DIV/0!</v>
      </c>
      <c r="AF7" s="58">
        <v>88.9</v>
      </c>
      <c r="AG7" s="58"/>
      <c r="AH7" s="58"/>
      <c r="AI7" s="58"/>
      <c r="AJ7" s="58"/>
      <c r="AK7" s="113">
        <f>AVERAGE(AF7:AJ7)</f>
        <v>88.9</v>
      </c>
      <c r="AL7" s="59"/>
      <c r="AM7" s="59"/>
      <c r="AN7" s="59"/>
      <c r="AO7" s="59"/>
      <c r="AP7" s="59"/>
      <c r="AQ7" s="132" t="e">
        <f>AVERAGE(AL7:AP7)</f>
        <v>#DIV/0!</v>
      </c>
      <c r="AR7" s="59"/>
      <c r="AS7" s="59"/>
      <c r="AT7" s="58"/>
      <c r="AU7" s="58"/>
      <c r="AV7" s="58"/>
      <c r="AW7" s="60" t="e">
        <f t="shared" ref="AW7:AW14" si="1">AVERAGE(AR7:AS7)</f>
        <v>#DIV/0!</v>
      </c>
      <c r="AX7" s="58"/>
      <c r="AY7" s="59"/>
      <c r="AZ7" s="58"/>
      <c r="BA7" s="58"/>
      <c r="BB7" s="58"/>
      <c r="BC7" s="60" t="e">
        <f>AVERAGE(AX7:BB7)</f>
        <v>#DIV/0!</v>
      </c>
      <c r="BD7" s="58"/>
      <c r="BE7" s="58"/>
      <c r="BF7" s="58"/>
      <c r="BG7" s="58"/>
      <c r="BH7" s="58"/>
      <c r="BI7" s="60" t="e">
        <f>AVERAGE(BD7:BH7)</f>
        <v>#DIV/0!</v>
      </c>
      <c r="BJ7" s="58"/>
      <c r="BK7" s="58"/>
      <c r="BL7" s="58"/>
      <c r="BM7" s="58"/>
      <c r="BN7" s="58"/>
      <c r="BO7" s="60" t="e">
        <f>AVERAGE(BJ7:BN7)</f>
        <v>#DIV/0!</v>
      </c>
    </row>
    <row r="8" spans="1:67" ht="22.5" customHeight="1">
      <c r="A8" s="185" t="s">
        <v>162</v>
      </c>
      <c r="B8" s="59"/>
      <c r="C8" s="59"/>
      <c r="D8" s="59"/>
      <c r="E8" s="59"/>
      <c r="F8" s="59"/>
      <c r="G8" s="132" t="e">
        <f t="shared" ref="G8:G11" si="2">AVERAGE(B8:F8)</f>
        <v>#DIV/0!</v>
      </c>
      <c r="H8" s="59"/>
      <c r="I8" s="59"/>
      <c r="J8" s="58"/>
      <c r="K8" s="58"/>
      <c r="L8" s="58"/>
      <c r="M8" s="60" t="e">
        <f t="shared" si="0"/>
        <v>#DIV/0!</v>
      </c>
      <c r="N8" s="59"/>
      <c r="O8" s="59"/>
      <c r="P8" s="58"/>
      <c r="Q8" s="58"/>
      <c r="R8" s="58"/>
      <c r="S8" s="60" t="e">
        <f t="shared" ref="S8:S14" si="3">AVERAGE(N8:R8)</f>
        <v>#DIV/0!</v>
      </c>
      <c r="T8" s="58"/>
      <c r="U8" s="58"/>
      <c r="V8" s="58"/>
      <c r="W8" s="58"/>
      <c r="X8" s="58"/>
      <c r="Y8" s="60" t="e">
        <f t="shared" ref="Y8:Y12" si="4">AVERAGE(T8:X8)</f>
        <v>#DIV/0!</v>
      </c>
      <c r="Z8" s="58"/>
      <c r="AA8" s="58"/>
      <c r="AB8" s="58"/>
      <c r="AC8" s="58"/>
      <c r="AD8" s="58"/>
      <c r="AE8" s="60" t="e">
        <f t="shared" ref="AE8:AE14" si="5">AVERAGE(Z8:AD8)</f>
        <v>#DIV/0!</v>
      </c>
      <c r="AF8" s="58"/>
      <c r="AG8" s="58"/>
      <c r="AH8" s="58">
        <v>80</v>
      </c>
      <c r="AI8" s="58"/>
      <c r="AJ8" s="58"/>
      <c r="AK8" s="113">
        <v>80</v>
      </c>
      <c r="AL8" s="59"/>
      <c r="AM8" s="59"/>
      <c r="AN8" s="59"/>
      <c r="AO8" s="59"/>
      <c r="AP8" s="59"/>
      <c r="AQ8" s="132" t="e">
        <f t="shared" ref="AQ8:AQ11" si="6">AVERAGE(AL8:AP8)</f>
        <v>#DIV/0!</v>
      </c>
      <c r="AR8" s="59"/>
      <c r="AS8" s="59"/>
      <c r="AT8" s="58"/>
      <c r="AU8" s="58"/>
      <c r="AV8" s="58"/>
      <c r="AW8" s="60" t="e">
        <f t="shared" si="1"/>
        <v>#DIV/0!</v>
      </c>
      <c r="AX8" s="59"/>
      <c r="AY8" s="59"/>
      <c r="AZ8" s="58"/>
      <c r="BA8" s="58"/>
      <c r="BB8" s="58"/>
      <c r="BC8" s="60" t="e">
        <f t="shared" ref="BC8:BC14" si="7">AVERAGE(AX8:BB8)</f>
        <v>#DIV/0!</v>
      </c>
      <c r="BD8" s="58"/>
      <c r="BE8" s="58"/>
      <c r="BF8" s="58"/>
      <c r="BG8" s="58"/>
      <c r="BH8" s="58"/>
      <c r="BI8" s="60" t="e">
        <f t="shared" ref="BI8:BI12" si="8">AVERAGE(BD8:BH8)</f>
        <v>#DIV/0!</v>
      </c>
      <c r="BJ8" s="58"/>
      <c r="BK8" s="58"/>
      <c r="BL8" s="58"/>
      <c r="BM8" s="58"/>
      <c r="BN8" s="58"/>
      <c r="BO8" s="60" t="e">
        <f t="shared" ref="BO8:BO14" si="9">AVERAGE(BJ8:BN8)</f>
        <v>#DIV/0!</v>
      </c>
    </row>
    <row r="9" spans="1:67" ht="22.5" customHeight="1">
      <c r="A9" s="185" t="s">
        <v>162</v>
      </c>
      <c r="B9" s="59"/>
      <c r="C9" s="59"/>
      <c r="D9" s="59"/>
      <c r="E9" s="59"/>
      <c r="F9" s="59"/>
      <c r="G9" s="132"/>
      <c r="H9" s="59"/>
      <c r="I9" s="59"/>
      <c r="J9" s="58"/>
      <c r="K9" s="58"/>
      <c r="L9" s="58"/>
      <c r="M9" s="60"/>
      <c r="N9" s="59"/>
      <c r="O9" s="59"/>
      <c r="P9" s="58"/>
      <c r="Q9" s="58"/>
      <c r="R9" s="58"/>
      <c r="S9" s="60"/>
      <c r="T9" s="58"/>
      <c r="U9" s="58"/>
      <c r="V9" s="58"/>
      <c r="W9" s="58"/>
      <c r="X9" s="58"/>
      <c r="Y9" s="60"/>
      <c r="Z9" s="58"/>
      <c r="AA9" s="58"/>
      <c r="AB9" s="58"/>
      <c r="AC9" s="58"/>
      <c r="AD9" s="58"/>
      <c r="AE9" s="60"/>
      <c r="AF9" s="58"/>
      <c r="AG9" s="58"/>
      <c r="AH9" s="58"/>
      <c r="AI9" s="58"/>
      <c r="AJ9" s="58"/>
      <c r="AK9" s="113"/>
      <c r="AL9" s="59"/>
      <c r="AM9" s="59"/>
      <c r="AN9" s="59"/>
      <c r="AO9" s="59"/>
      <c r="AP9" s="59"/>
      <c r="AQ9" s="132"/>
      <c r="AR9" s="59"/>
      <c r="AS9" s="59"/>
      <c r="AT9" s="58"/>
      <c r="AU9" s="58"/>
      <c r="AV9" s="58"/>
      <c r="AW9" s="60"/>
      <c r="AX9" s="59"/>
      <c r="AY9" s="59"/>
      <c r="AZ9" s="58"/>
      <c r="BA9" s="58"/>
      <c r="BB9" s="58"/>
      <c r="BC9" s="60"/>
      <c r="BD9" s="58"/>
      <c r="BE9" s="58"/>
      <c r="BF9" s="58"/>
      <c r="BG9" s="58"/>
      <c r="BH9" s="58"/>
      <c r="BI9" s="60"/>
      <c r="BJ9" s="58"/>
      <c r="BK9" s="58"/>
      <c r="BL9" s="58"/>
      <c r="BM9" s="58"/>
      <c r="BN9" s="58"/>
      <c r="BO9" s="60"/>
    </row>
    <row r="10" spans="1:67" ht="22.5" customHeight="1">
      <c r="A10" s="185" t="s">
        <v>162</v>
      </c>
      <c r="B10" s="59"/>
      <c r="C10" s="59"/>
      <c r="D10" s="59"/>
      <c r="E10" s="59"/>
      <c r="F10" s="59"/>
      <c r="G10" s="132" t="e">
        <f t="shared" si="2"/>
        <v>#DIV/0!</v>
      </c>
      <c r="H10" s="59"/>
      <c r="I10" s="59"/>
      <c r="J10" s="58"/>
      <c r="K10" s="58"/>
      <c r="L10" s="58"/>
      <c r="M10" s="60" t="e">
        <f t="shared" si="0"/>
        <v>#DIV/0!</v>
      </c>
      <c r="N10" s="59"/>
      <c r="O10" s="59"/>
      <c r="P10" s="58"/>
      <c r="Q10" s="58"/>
      <c r="R10" s="58"/>
      <c r="S10" s="60" t="e">
        <f t="shared" si="3"/>
        <v>#DIV/0!</v>
      </c>
      <c r="T10" s="58"/>
      <c r="U10" s="58"/>
      <c r="V10" s="58"/>
      <c r="W10" s="58"/>
      <c r="X10" s="58"/>
      <c r="Y10" s="60" t="e">
        <f t="shared" si="4"/>
        <v>#DIV/0!</v>
      </c>
      <c r="Z10" s="58"/>
      <c r="AA10" s="58"/>
      <c r="AB10" s="58"/>
      <c r="AC10" s="58"/>
      <c r="AD10" s="58"/>
      <c r="AE10" s="60" t="e">
        <f t="shared" si="5"/>
        <v>#DIV/0!</v>
      </c>
      <c r="AF10" s="58">
        <v>90</v>
      </c>
      <c r="AG10" s="58"/>
      <c r="AH10" s="58"/>
      <c r="AI10" s="58"/>
      <c r="AJ10" s="58"/>
      <c r="AK10" s="113">
        <f t="shared" ref="AK10:AK14" si="10">AVERAGE(AF10:AJ10)</f>
        <v>90</v>
      </c>
      <c r="AL10" s="59"/>
      <c r="AM10" s="59"/>
      <c r="AN10" s="59"/>
      <c r="AO10" s="59"/>
      <c r="AP10" s="59"/>
      <c r="AQ10" s="132" t="e">
        <f t="shared" si="6"/>
        <v>#DIV/0!</v>
      </c>
      <c r="AR10" s="59"/>
      <c r="AS10" s="59"/>
      <c r="AT10" s="58"/>
      <c r="AU10" s="58"/>
      <c r="AV10" s="58"/>
      <c r="AW10" s="60" t="e">
        <f t="shared" si="1"/>
        <v>#DIV/0!</v>
      </c>
      <c r="AX10" s="59"/>
      <c r="AY10" s="59"/>
      <c r="AZ10" s="58"/>
      <c r="BA10" s="58"/>
      <c r="BB10" s="58"/>
      <c r="BC10" s="60" t="e">
        <f t="shared" si="7"/>
        <v>#DIV/0!</v>
      </c>
      <c r="BD10" s="58"/>
      <c r="BE10" s="58"/>
      <c r="BF10" s="58"/>
      <c r="BG10" s="58"/>
      <c r="BH10" s="58"/>
      <c r="BI10" s="60" t="e">
        <f t="shared" si="8"/>
        <v>#DIV/0!</v>
      </c>
      <c r="BJ10" s="58"/>
      <c r="BK10" s="58"/>
      <c r="BL10" s="58"/>
      <c r="BM10" s="58"/>
      <c r="BN10" s="58"/>
      <c r="BO10" s="60" t="e">
        <f t="shared" si="9"/>
        <v>#DIV/0!</v>
      </c>
    </row>
    <row r="11" spans="1:67" ht="22.5" customHeight="1">
      <c r="A11" s="185" t="s">
        <v>162</v>
      </c>
      <c r="B11" s="59"/>
      <c r="C11" s="59"/>
      <c r="D11" s="59"/>
      <c r="E11" s="59"/>
      <c r="F11" s="59"/>
      <c r="G11" s="132" t="e">
        <f t="shared" si="2"/>
        <v>#DIV/0!</v>
      </c>
      <c r="H11" s="59"/>
      <c r="I11" s="59"/>
      <c r="J11" s="58"/>
      <c r="K11" s="58"/>
      <c r="L11" s="58"/>
      <c r="M11" s="60" t="e">
        <f t="shared" si="0"/>
        <v>#DIV/0!</v>
      </c>
      <c r="N11" s="58"/>
      <c r="O11" s="59"/>
      <c r="P11" s="58"/>
      <c r="Q11" s="58"/>
      <c r="R11" s="58"/>
      <c r="S11" s="60" t="e">
        <f t="shared" si="3"/>
        <v>#DIV/0!</v>
      </c>
      <c r="T11" s="58"/>
      <c r="U11" s="58"/>
      <c r="V11" s="58"/>
      <c r="W11" s="58"/>
      <c r="X11" s="58"/>
      <c r="Y11" s="60" t="e">
        <f t="shared" si="4"/>
        <v>#DIV/0!</v>
      </c>
      <c r="Z11" s="58"/>
      <c r="AA11" s="58"/>
      <c r="AB11" s="58"/>
      <c r="AC11" s="58"/>
      <c r="AD11" s="58"/>
      <c r="AE11" s="60" t="e">
        <f t="shared" si="5"/>
        <v>#DIV/0!</v>
      </c>
      <c r="AF11" s="58"/>
      <c r="AG11" s="58"/>
      <c r="AH11" s="58">
        <v>85.2</v>
      </c>
      <c r="AI11" s="58"/>
      <c r="AJ11" s="58"/>
      <c r="AK11" s="113">
        <v>85</v>
      </c>
      <c r="AL11" s="59"/>
      <c r="AM11" s="59"/>
      <c r="AN11" s="59"/>
      <c r="AO11" s="59"/>
      <c r="AP11" s="59"/>
      <c r="AQ11" s="132" t="e">
        <f t="shared" si="6"/>
        <v>#DIV/0!</v>
      </c>
      <c r="AR11" s="59"/>
      <c r="AS11" s="59"/>
      <c r="AT11" s="58"/>
      <c r="AU11" s="58"/>
      <c r="AV11" s="58"/>
      <c r="AW11" s="60" t="e">
        <f t="shared" si="1"/>
        <v>#DIV/0!</v>
      </c>
      <c r="AX11" s="58"/>
      <c r="AY11" s="59"/>
      <c r="AZ11" s="58"/>
      <c r="BA11" s="58"/>
      <c r="BB11" s="58"/>
      <c r="BC11" s="60" t="e">
        <f t="shared" si="7"/>
        <v>#DIV/0!</v>
      </c>
      <c r="BD11" s="58"/>
      <c r="BE11" s="58"/>
      <c r="BF11" s="58"/>
      <c r="BG11" s="58"/>
      <c r="BH11" s="58"/>
      <c r="BI11" s="60" t="e">
        <f t="shared" si="8"/>
        <v>#DIV/0!</v>
      </c>
      <c r="BJ11" s="58"/>
      <c r="BK11" s="58"/>
      <c r="BL11" s="58"/>
      <c r="BM11" s="58"/>
      <c r="BN11" s="58"/>
      <c r="BO11" s="60" t="e">
        <f t="shared" si="9"/>
        <v>#DIV/0!</v>
      </c>
    </row>
    <row r="12" spans="1:67" ht="22.5" customHeight="1">
      <c r="A12" s="185" t="s">
        <v>162</v>
      </c>
      <c r="B12" s="59"/>
      <c r="C12" s="59"/>
      <c r="D12" s="59"/>
      <c r="E12" s="59"/>
      <c r="F12" s="59"/>
      <c r="G12" s="132" t="e">
        <f>AVERAGE(B12:F12)</f>
        <v>#DIV/0!</v>
      </c>
      <c r="H12" s="59"/>
      <c r="I12" s="59"/>
      <c r="J12" s="58"/>
      <c r="K12" s="58"/>
      <c r="L12" s="58"/>
      <c r="M12" s="60" t="e">
        <f t="shared" si="0"/>
        <v>#DIV/0!</v>
      </c>
      <c r="N12" s="58"/>
      <c r="O12" s="59"/>
      <c r="P12" s="58"/>
      <c r="Q12" s="58"/>
      <c r="R12" s="58"/>
      <c r="S12" s="60" t="e">
        <f t="shared" si="3"/>
        <v>#DIV/0!</v>
      </c>
      <c r="T12" s="58"/>
      <c r="U12" s="58"/>
      <c r="V12" s="58"/>
      <c r="W12" s="58"/>
      <c r="X12" s="58"/>
      <c r="Y12" s="60" t="e">
        <f t="shared" si="4"/>
        <v>#DIV/0!</v>
      </c>
      <c r="Z12" s="58"/>
      <c r="AA12" s="58"/>
      <c r="AB12" s="58"/>
      <c r="AC12" s="58"/>
      <c r="AD12" s="58"/>
      <c r="AE12" s="60" t="e">
        <f t="shared" si="5"/>
        <v>#DIV/0!</v>
      </c>
      <c r="AF12" s="58">
        <v>87.5</v>
      </c>
      <c r="AG12" s="58"/>
      <c r="AH12" s="58"/>
      <c r="AI12" s="58"/>
      <c r="AJ12" s="58"/>
      <c r="AK12" s="113">
        <f t="shared" si="10"/>
        <v>87.5</v>
      </c>
      <c r="AL12" s="59"/>
      <c r="AM12" s="59"/>
      <c r="AN12" s="59"/>
      <c r="AO12" s="59"/>
      <c r="AP12" s="59"/>
      <c r="AQ12" s="132" t="e">
        <f>AVERAGE(AL12:AP12)</f>
        <v>#DIV/0!</v>
      </c>
      <c r="AR12" s="59"/>
      <c r="AS12" s="59"/>
      <c r="AT12" s="58"/>
      <c r="AU12" s="58"/>
      <c r="AV12" s="58"/>
      <c r="AW12" s="60" t="e">
        <f t="shared" si="1"/>
        <v>#DIV/0!</v>
      </c>
      <c r="AX12" s="58"/>
      <c r="AY12" s="59"/>
      <c r="AZ12" s="58"/>
      <c r="BA12" s="58"/>
      <c r="BB12" s="58"/>
      <c r="BC12" s="60" t="e">
        <f t="shared" si="7"/>
        <v>#DIV/0!</v>
      </c>
      <c r="BD12" s="58"/>
      <c r="BE12" s="58"/>
      <c r="BF12" s="58"/>
      <c r="BG12" s="58"/>
      <c r="BH12" s="58"/>
      <c r="BI12" s="60" t="e">
        <f t="shared" si="8"/>
        <v>#DIV/0!</v>
      </c>
      <c r="BJ12" s="58"/>
      <c r="BK12" s="58"/>
      <c r="BL12" s="58"/>
      <c r="BM12" s="58"/>
      <c r="BN12" s="58"/>
      <c r="BO12" s="60" t="e">
        <f t="shared" si="9"/>
        <v>#DIV/0!</v>
      </c>
    </row>
    <row r="13" spans="1:67" ht="22.5" customHeight="1">
      <c r="A13" s="185" t="s">
        <v>162</v>
      </c>
      <c r="B13" s="59"/>
      <c r="C13" s="59"/>
      <c r="D13" s="59"/>
      <c r="E13" s="59"/>
      <c r="F13" s="59"/>
      <c r="G13" s="132"/>
      <c r="H13" s="59"/>
      <c r="I13" s="59"/>
      <c r="J13" s="58"/>
      <c r="K13" s="58"/>
      <c r="L13" s="58"/>
      <c r="M13" s="60"/>
      <c r="N13" s="58"/>
      <c r="O13" s="59"/>
      <c r="P13" s="58"/>
      <c r="Q13" s="58"/>
      <c r="R13" s="58"/>
      <c r="S13" s="60"/>
      <c r="T13" s="58"/>
      <c r="U13" s="58"/>
      <c r="V13" s="58"/>
      <c r="W13" s="58"/>
      <c r="X13" s="58"/>
      <c r="Y13" s="60"/>
      <c r="Z13" s="58"/>
      <c r="AA13" s="58"/>
      <c r="AB13" s="58"/>
      <c r="AC13" s="58"/>
      <c r="AD13" s="58"/>
      <c r="AE13" s="60"/>
      <c r="AF13" s="58"/>
      <c r="AG13" s="58"/>
      <c r="AH13" s="58"/>
      <c r="AI13" s="58"/>
      <c r="AJ13" s="58"/>
      <c r="AK13" s="113"/>
      <c r="AL13" s="59"/>
      <c r="AM13" s="59"/>
      <c r="AN13" s="59"/>
      <c r="AO13" s="59"/>
      <c r="AP13" s="59"/>
      <c r="AQ13" s="132"/>
      <c r="AR13" s="59"/>
      <c r="AS13" s="59"/>
      <c r="AT13" s="58"/>
      <c r="AU13" s="58"/>
      <c r="AV13" s="58"/>
      <c r="AW13" s="60"/>
      <c r="AX13" s="58"/>
      <c r="AY13" s="59"/>
      <c r="AZ13" s="58"/>
      <c r="BA13" s="58"/>
      <c r="BB13" s="58"/>
      <c r="BC13" s="60"/>
      <c r="BD13" s="58"/>
      <c r="BE13" s="58"/>
      <c r="BF13" s="58"/>
      <c r="BG13" s="58"/>
      <c r="BH13" s="58"/>
      <c r="BI13" s="60"/>
      <c r="BJ13" s="58"/>
      <c r="BK13" s="58"/>
      <c r="BL13" s="58"/>
      <c r="BM13" s="58"/>
      <c r="BN13" s="58"/>
      <c r="BO13" s="60"/>
    </row>
    <row r="14" spans="1:67" ht="22.5" customHeight="1">
      <c r="A14" s="185" t="s">
        <v>162</v>
      </c>
      <c r="B14" s="59"/>
      <c r="C14" s="59"/>
      <c r="D14" s="59"/>
      <c r="E14" s="59"/>
      <c r="F14" s="59"/>
      <c r="G14" s="132" t="e">
        <f>AVERAGE(B14:F14)</f>
        <v>#DIV/0!</v>
      </c>
      <c r="H14" s="59"/>
      <c r="I14" s="59"/>
      <c r="J14" s="58"/>
      <c r="K14" s="58"/>
      <c r="L14" s="58"/>
      <c r="M14" s="60" t="e">
        <f t="shared" si="0"/>
        <v>#DIV/0!</v>
      </c>
      <c r="N14" s="58"/>
      <c r="O14" s="59"/>
      <c r="P14" s="58"/>
      <c r="Q14" s="58"/>
      <c r="R14" s="58"/>
      <c r="S14" s="60" t="e">
        <f t="shared" si="3"/>
        <v>#DIV/0!</v>
      </c>
      <c r="T14" s="58"/>
      <c r="U14" s="58"/>
      <c r="V14" s="58"/>
      <c r="W14" s="58"/>
      <c r="X14" s="58"/>
      <c r="Y14" s="60" t="e">
        <f>AVERAGE(T14:X14)</f>
        <v>#DIV/0!</v>
      </c>
      <c r="Z14" s="58"/>
      <c r="AA14" s="58"/>
      <c r="AB14" s="58"/>
      <c r="AC14" s="58"/>
      <c r="AD14" s="58"/>
      <c r="AE14" s="60" t="e">
        <f t="shared" si="5"/>
        <v>#DIV/0!</v>
      </c>
      <c r="AF14" s="58"/>
      <c r="AG14" s="58">
        <v>100</v>
      </c>
      <c r="AH14" s="58">
        <v>90</v>
      </c>
      <c r="AI14" s="58"/>
      <c r="AJ14" s="58"/>
      <c r="AK14" s="113">
        <f t="shared" si="10"/>
        <v>95</v>
      </c>
      <c r="AL14" s="59"/>
      <c r="AM14" s="59"/>
      <c r="AN14" s="59"/>
      <c r="AO14" s="59"/>
      <c r="AP14" s="59"/>
      <c r="AQ14" s="132" t="e">
        <f>AVERAGE(AL14:AP14)</f>
        <v>#DIV/0!</v>
      </c>
      <c r="AR14" s="59"/>
      <c r="AS14" s="59"/>
      <c r="AT14" s="58"/>
      <c r="AU14" s="58"/>
      <c r="AV14" s="58"/>
      <c r="AW14" s="60" t="e">
        <f t="shared" si="1"/>
        <v>#DIV/0!</v>
      </c>
      <c r="AX14" s="58"/>
      <c r="AY14" s="59"/>
      <c r="AZ14" s="58"/>
      <c r="BA14" s="58"/>
      <c r="BB14" s="58"/>
      <c r="BC14" s="60" t="e">
        <f t="shared" si="7"/>
        <v>#DIV/0!</v>
      </c>
      <c r="BD14" s="58"/>
      <c r="BE14" s="58"/>
      <c r="BF14" s="58"/>
      <c r="BG14" s="58"/>
      <c r="BH14" s="58"/>
      <c r="BI14" s="60" t="e">
        <f>AVERAGE(BD14:BH14)</f>
        <v>#DIV/0!</v>
      </c>
      <c r="BJ14" s="58"/>
      <c r="BK14" s="58"/>
      <c r="BL14" s="58"/>
      <c r="BM14" s="58"/>
      <c r="BN14" s="58"/>
      <c r="BO14" s="60" t="e">
        <f t="shared" si="9"/>
        <v>#DIV/0!</v>
      </c>
    </row>
    <row r="15" spans="1:67" ht="22.5" customHeight="1" thickBot="1">
      <c r="A15" s="185" t="s">
        <v>12</v>
      </c>
      <c r="B15" s="133" t="e">
        <f>AVERAGE(B6:B14)</f>
        <v>#DIV/0!</v>
      </c>
      <c r="C15" s="133" t="e">
        <f>AVERAGE(C6:C14)</f>
        <v>#DIV/0!</v>
      </c>
      <c r="D15" s="133" t="e">
        <f t="shared" ref="D15:E15" si="11">AVERAGE(D6:D14)</f>
        <v>#DIV/0!</v>
      </c>
      <c r="E15" s="133" t="e">
        <f t="shared" si="11"/>
        <v>#DIV/0!</v>
      </c>
      <c r="F15" s="133" t="e">
        <f>AVERAGE(F6:F14)</f>
        <v>#DIV/0!</v>
      </c>
      <c r="G15" s="134" t="e">
        <f>AVERAGE(G6:G14)</f>
        <v>#DIV/0!</v>
      </c>
      <c r="H15" s="134" t="e">
        <f>AVERAGE(H6:H14)</f>
        <v>#DIV/0!</v>
      </c>
      <c r="I15" s="63" t="e">
        <f t="shared" ref="I15:L15" si="12">AVERAGE(I6:I14)</f>
        <v>#DIV/0!</v>
      </c>
      <c r="J15" s="63" t="e">
        <f t="shared" si="12"/>
        <v>#DIV/0!</v>
      </c>
      <c r="K15" s="63" t="e">
        <f t="shared" si="12"/>
        <v>#DIV/0!</v>
      </c>
      <c r="L15" s="63" t="e">
        <f t="shared" si="12"/>
        <v>#DIV/0!</v>
      </c>
      <c r="M15" s="63" t="e">
        <f>AVERAGE(M6:M14)</f>
        <v>#DIV/0!</v>
      </c>
      <c r="N15" s="62" t="e">
        <f>AVERAGE(N6:N14)</f>
        <v>#DIV/0!</v>
      </c>
      <c r="O15" s="62" t="e">
        <f t="shared" ref="O15:R15" si="13">AVERAGE(O6:O14)</f>
        <v>#DIV/0!</v>
      </c>
      <c r="P15" s="62" t="e">
        <f t="shared" si="13"/>
        <v>#DIV/0!</v>
      </c>
      <c r="Q15" s="62" t="e">
        <f t="shared" si="13"/>
        <v>#DIV/0!</v>
      </c>
      <c r="R15" s="62" t="e">
        <f t="shared" si="13"/>
        <v>#DIV/0!</v>
      </c>
      <c r="S15" s="63" t="e">
        <f>AVERAGE(S6:S14)</f>
        <v>#DIV/0!</v>
      </c>
      <c r="T15" s="133" t="e">
        <f>AVERAGE(T6:T14)</f>
        <v>#DIV/0!</v>
      </c>
      <c r="U15" s="133" t="e">
        <f t="shared" ref="U15:X15" si="14">AVERAGE(U6:U14)</f>
        <v>#DIV/0!</v>
      </c>
      <c r="V15" s="62" t="e">
        <f t="shared" si="14"/>
        <v>#DIV/0!</v>
      </c>
      <c r="W15" s="62" t="e">
        <f t="shared" si="14"/>
        <v>#DIV/0!</v>
      </c>
      <c r="X15" s="62" t="e">
        <f t="shared" si="14"/>
        <v>#DIV/0!</v>
      </c>
      <c r="Y15" s="134" t="e">
        <f>AVERAGE(Y6:Y14)</f>
        <v>#DIV/0!</v>
      </c>
      <c r="Z15" s="62" t="e">
        <f>AVERAGE(Z6:Z14)</f>
        <v>#DIV/0!</v>
      </c>
      <c r="AA15" s="62" t="e">
        <f t="shared" ref="AA15:AD15" si="15">AVERAGE(AA6:AA14)</f>
        <v>#DIV/0!</v>
      </c>
      <c r="AB15" s="62" t="e">
        <f t="shared" si="15"/>
        <v>#DIV/0!</v>
      </c>
      <c r="AC15" s="62" t="e">
        <f t="shared" si="15"/>
        <v>#DIV/0!</v>
      </c>
      <c r="AD15" s="62" t="e">
        <f t="shared" si="15"/>
        <v>#DIV/0!</v>
      </c>
      <c r="AE15" s="134" t="e">
        <f>AVERAGE(AE6:AE14)</f>
        <v>#DIV/0!</v>
      </c>
      <c r="AF15" s="62">
        <f>AVERAGE(AF6:AF14)</f>
        <v>88.8</v>
      </c>
      <c r="AG15" s="62">
        <f t="shared" ref="AG15:AJ15" si="16">AVERAGE(AG6:AG14)</f>
        <v>100</v>
      </c>
      <c r="AH15" s="62">
        <f t="shared" si="16"/>
        <v>85.724999999999994</v>
      </c>
      <c r="AI15" s="62" t="e">
        <f t="shared" si="16"/>
        <v>#DIV/0!</v>
      </c>
      <c r="AJ15" s="62" t="e">
        <f t="shared" si="16"/>
        <v>#DIV/0!</v>
      </c>
      <c r="AK15" s="114">
        <f>AVERAGE(AK6:AK14)</f>
        <v>87.771428571428572</v>
      </c>
      <c r="AL15" s="133" t="e">
        <f>AVERAGE(AL6:AL14)</f>
        <v>#DIV/0!</v>
      </c>
      <c r="AM15" s="133" t="e">
        <f>AVERAGE(AM6:AM14)</f>
        <v>#DIV/0!</v>
      </c>
      <c r="AN15" s="133" t="e">
        <f t="shared" ref="AN15:AO15" si="17">AVERAGE(AN6:AN14)</f>
        <v>#DIV/0!</v>
      </c>
      <c r="AO15" s="133" t="e">
        <f t="shared" si="17"/>
        <v>#DIV/0!</v>
      </c>
      <c r="AP15" s="133" t="e">
        <f>AVERAGE(AP6:AP14)</f>
        <v>#DIV/0!</v>
      </c>
      <c r="AQ15" s="134" t="e">
        <f>AVERAGE(AQ6:AQ14)</f>
        <v>#DIV/0!</v>
      </c>
      <c r="AR15" s="134" t="e">
        <f>AVERAGE(AR6:AR14)</f>
        <v>#DIV/0!</v>
      </c>
      <c r="AS15" s="63" t="e">
        <f t="shared" ref="AS15:AV15" si="18">AVERAGE(AS6:AS14)</f>
        <v>#DIV/0!</v>
      </c>
      <c r="AT15" s="63" t="e">
        <f t="shared" si="18"/>
        <v>#DIV/0!</v>
      </c>
      <c r="AU15" s="63" t="e">
        <f t="shared" si="18"/>
        <v>#DIV/0!</v>
      </c>
      <c r="AV15" s="63" t="e">
        <f t="shared" si="18"/>
        <v>#DIV/0!</v>
      </c>
      <c r="AW15" s="63" t="e">
        <f>AVERAGE(AW6:AW14)</f>
        <v>#DIV/0!</v>
      </c>
      <c r="AX15" s="62" t="e">
        <f>AVERAGE(AX6:AX14)</f>
        <v>#DIV/0!</v>
      </c>
      <c r="AY15" s="62" t="e">
        <f t="shared" ref="AY15:BB15" si="19">AVERAGE(AY6:AY14)</f>
        <v>#DIV/0!</v>
      </c>
      <c r="AZ15" s="62" t="e">
        <f t="shared" si="19"/>
        <v>#DIV/0!</v>
      </c>
      <c r="BA15" s="62" t="e">
        <f t="shared" si="19"/>
        <v>#DIV/0!</v>
      </c>
      <c r="BB15" s="62" t="e">
        <f t="shared" si="19"/>
        <v>#DIV/0!</v>
      </c>
      <c r="BC15" s="63" t="e">
        <f>AVERAGE(BC6:BC14)</f>
        <v>#DIV/0!</v>
      </c>
      <c r="BD15" s="133" t="e">
        <f>AVERAGE(BD6:BD14)</f>
        <v>#DIV/0!</v>
      </c>
      <c r="BE15" s="133" t="e">
        <f t="shared" ref="BE15:BH15" si="20">AVERAGE(BE6:BE14)</f>
        <v>#DIV/0!</v>
      </c>
      <c r="BF15" s="62" t="e">
        <f t="shared" si="20"/>
        <v>#DIV/0!</v>
      </c>
      <c r="BG15" s="62" t="e">
        <f t="shared" si="20"/>
        <v>#DIV/0!</v>
      </c>
      <c r="BH15" s="62" t="e">
        <f t="shared" si="20"/>
        <v>#DIV/0!</v>
      </c>
      <c r="BI15" s="134" t="e">
        <f>AVERAGE(BI6:BI14)</f>
        <v>#DIV/0!</v>
      </c>
      <c r="BJ15" s="62" t="e">
        <f>AVERAGE(BJ6:BJ14)</f>
        <v>#DIV/0!</v>
      </c>
      <c r="BK15" s="62" t="e">
        <f t="shared" ref="BK15:BN15" si="21">AVERAGE(BK6:BK14)</f>
        <v>#DIV/0!</v>
      </c>
      <c r="BL15" s="62" t="e">
        <f t="shared" si="21"/>
        <v>#DIV/0!</v>
      </c>
      <c r="BM15" s="62" t="e">
        <f t="shared" si="21"/>
        <v>#DIV/0!</v>
      </c>
      <c r="BN15" s="62" t="e">
        <f t="shared" si="21"/>
        <v>#DIV/0!</v>
      </c>
      <c r="BO15" s="134" t="e">
        <f>AVERAGE(BO6:BO14)</f>
        <v>#DIV/0!</v>
      </c>
    </row>
    <row r="16" spans="1:67" ht="22.5" customHeight="1" thickBot="1">
      <c r="A16" s="189" t="s">
        <v>27</v>
      </c>
      <c r="B16" s="551" t="s">
        <v>28</v>
      </c>
      <c r="C16" s="551"/>
      <c r="D16" s="551"/>
      <c r="E16" s="551"/>
      <c r="F16" s="551"/>
      <c r="G16" s="552"/>
      <c r="H16" s="550" t="s">
        <v>28</v>
      </c>
      <c r="I16" s="551"/>
      <c r="J16" s="551"/>
      <c r="K16" s="551"/>
      <c r="L16" s="551"/>
      <c r="M16" s="552"/>
      <c r="N16" s="553" t="s">
        <v>28</v>
      </c>
      <c r="O16" s="554"/>
      <c r="P16" s="554"/>
      <c r="Q16" s="554"/>
      <c r="R16" s="554"/>
      <c r="S16" s="555"/>
      <c r="T16" s="553" t="s">
        <v>28</v>
      </c>
      <c r="U16" s="554"/>
      <c r="V16" s="554"/>
      <c r="W16" s="554"/>
      <c r="X16" s="554"/>
      <c r="Y16" s="555"/>
      <c r="Z16" s="553" t="s">
        <v>28</v>
      </c>
      <c r="AA16" s="554"/>
      <c r="AB16" s="554"/>
      <c r="AC16" s="554"/>
      <c r="AD16" s="554"/>
      <c r="AE16" s="555"/>
      <c r="AF16" s="553" t="s">
        <v>28</v>
      </c>
      <c r="AG16" s="554"/>
      <c r="AH16" s="554"/>
      <c r="AI16" s="554"/>
      <c r="AJ16" s="554"/>
      <c r="AK16" s="555"/>
      <c r="AL16" s="550" t="s">
        <v>28</v>
      </c>
      <c r="AM16" s="551"/>
      <c r="AN16" s="551"/>
      <c r="AO16" s="551"/>
      <c r="AP16" s="551"/>
      <c r="AQ16" s="552"/>
      <c r="AR16" s="550" t="s">
        <v>28</v>
      </c>
      <c r="AS16" s="551"/>
      <c r="AT16" s="551"/>
      <c r="AU16" s="551"/>
      <c r="AV16" s="551"/>
      <c r="AW16" s="552"/>
      <c r="AX16" s="553" t="s">
        <v>28</v>
      </c>
      <c r="AY16" s="554"/>
      <c r="AZ16" s="554"/>
      <c r="BA16" s="554"/>
      <c r="BB16" s="554"/>
      <c r="BC16" s="555"/>
      <c r="BD16" s="553" t="s">
        <v>28</v>
      </c>
      <c r="BE16" s="554"/>
      <c r="BF16" s="554"/>
      <c r="BG16" s="554"/>
      <c r="BH16" s="554"/>
      <c r="BI16" s="555"/>
      <c r="BJ16" s="553" t="s">
        <v>28</v>
      </c>
      <c r="BK16" s="554"/>
      <c r="BL16" s="554"/>
      <c r="BM16" s="554"/>
      <c r="BN16" s="554"/>
      <c r="BO16" s="555"/>
    </row>
    <row r="17" spans="1:67" ht="22.5" customHeight="1">
      <c r="A17" s="185" t="s">
        <v>163</v>
      </c>
      <c r="B17" s="86"/>
      <c r="C17" s="59"/>
      <c r="D17" s="59"/>
      <c r="E17" s="59"/>
      <c r="F17" s="64"/>
      <c r="G17" s="60">
        <f>SUM(B17:F17)</f>
        <v>0</v>
      </c>
      <c r="H17" s="59"/>
      <c r="I17" s="59"/>
      <c r="J17" s="59"/>
      <c r="K17" s="59"/>
      <c r="L17" s="58"/>
      <c r="M17" s="60">
        <f>SUM(H17:L17)</f>
        <v>0</v>
      </c>
      <c r="N17" s="59"/>
      <c r="O17" s="59"/>
      <c r="P17" s="59"/>
      <c r="Q17" s="59"/>
      <c r="R17" s="58"/>
      <c r="S17" s="60">
        <f>SUM(N17:R17)</f>
        <v>0</v>
      </c>
      <c r="T17" s="59"/>
      <c r="U17" s="59"/>
      <c r="V17" s="59"/>
      <c r="W17" s="59"/>
      <c r="X17" s="58"/>
      <c r="Y17" s="60">
        <f>SUM(T17:X17)</f>
        <v>0</v>
      </c>
      <c r="Z17" s="59"/>
      <c r="AA17" s="59"/>
      <c r="AB17" s="59"/>
      <c r="AC17" s="59"/>
      <c r="AD17" s="58"/>
      <c r="AE17" s="60">
        <f>SUM(Z17:AD17)</f>
        <v>0</v>
      </c>
      <c r="AF17" s="59"/>
      <c r="AG17" s="59"/>
      <c r="AH17" s="59"/>
      <c r="AI17" s="59"/>
      <c r="AJ17" s="58"/>
      <c r="AK17" s="113">
        <f>SUM(AF17:AJ17)</f>
        <v>0</v>
      </c>
      <c r="AL17" s="86"/>
      <c r="AM17" s="59"/>
      <c r="AN17" s="59"/>
      <c r="AO17" s="59"/>
      <c r="AP17" s="64"/>
      <c r="AQ17" s="60">
        <f>SUM(AL17:AP17)</f>
        <v>0</v>
      </c>
      <c r="AR17" s="59"/>
      <c r="AS17" s="59"/>
      <c r="AT17" s="59"/>
      <c r="AU17" s="59"/>
      <c r="AV17" s="58"/>
      <c r="AW17" s="60">
        <f>SUM(AR17:AV17)</f>
        <v>0</v>
      </c>
      <c r="AX17" s="59"/>
      <c r="AY17" s="59"/>
      <c r="AZ17" s="59"/>
      <c r="BA17" s="59"/>
      <c r="BB17" s="58"/>
      <c r="BC17" s="60">
        <f>SUM(AX17:BB17)</f>
        <v>0</v>
      </c>
      <c r="BD17" s="59"/>
      <c r="BE17" s="59"/>
      <c r="BF17" s="59"/>
      <c r="BG17" s="59"/>
      <c r="BH17" s="58"/>
      <c r="BI17" s="60">
        <f>SUM(BD17:BH17)</f>
        <v>0</v>
      </c>
      <c r="BJ17" s="59"/>
      <c r="BK17" s="59"/>
      <c r="BL17" s="59"/>
      <c r="BM17" s="59"/>
      <c r="BN17" s="58"/>
      <c r="BO17" s="60">
        <f>SUM(BJ17:BN17)</f>
        <v>0</v>
      </c>
    </row>
    <row r="18" spans="1:67" ht="22.5" customHeight="1">
      <c r="A18" s="185" t="s">
        <v>164</v>
      </c>
      <c r="B18" s="59"/>
      <c r="C18" s="59"/>
      <c r="D18" s="59"/>
      <c r="E18" s="59"/>
      <c r="F18" s="58"/>
      <c r="G18" s="60">
        <f t="shared" ref="G18:G23" si="22">SUM(B18:F18)</f>
        <v>0</v>
      </c>
      <c r="H18" s="59"/>
      <c r="I18" s="59"/>
      <c r="J18" s="59"/>
      <c r="K18" s="59"/>
      <c r="L18" s="58"/>
      <c r="M18" s="60">
        <f t="shared" ref="M18:M23" si="23">SUM(H18:L18)</f>
        <v>0</v>
      </c>
      <c r="N18" s="59"/>
      <c r="O18" s="59"/>
      <c r="P18" s="59"/>
      <c r="Q18" s="59"/>
      <c r="R18" s="58"/>
      <c r="S18" s="60">
        <f t="shared" ref="S18:S23" si="24">SUM(N18:R18)</f>
        <v>0</v>
      </c>
      <c r="T18" s="59"/>
      <c r="U18" s="59"/>
      <c r="V18" s="59"/>
      <c r="W18" s="59"/>
      <c r="X18" s="58"/>
      <c r="Y18" s="60">
        <f t="shared" ref="Y18:Y23" si="25">SUM(T18:X18)</f>
        <v>0</v>
      </c>
      <c r="Z18" s="59"/>
      <c r="AA18" s="59"/>
      <c r="AB18" s="59"/>
      <c r="AC18" s="59"/>
      <c r="AD18" s="58"/>
      <c r="AE18" s="60">
        <f t="shared" ref="AE18:AE23" si="26">SUM(Z18:AD18)</f>
        <v>0</v>
      </c>
      <c r="AF18" s="59"/>
      <c r="AG18" s="59"/>
      <c r="AH18" s="59"/>
      <c r="AI18" s="59"/>
      <c r="AJ18" s="58"/>
      <c r="AK18" s="113">
        <f t="shared" ref="AK18:AK23" si="27">SUM(AF18:AJ18)</f>
        <v>0</v>
      </c>
      <c r="AL18" s="59"/>
      <c r="AM18" s="59"/>
      <c r="AN18" s="59"/>
      <c r="AO18" s="59"/>
      <c r="AP18" s="58"/>
      <c r="AQ18" s="60">
        <f t="shared" ref="AQ18:AQ23" si="28">SUM(AL18:AP18)</f>
        <v>0</v>
      </c>
      <c r="AR18" s="59"/>
      <c r="AS18" s="59"/>
      <c r="AT18" s="59"/>
      <c r="AU18" s="59"/>
      <c r="AV18" s="58"/>
      <c r="AW18" s="60">
        <f t="shared" ref="AW18:AW23" si="29">SUM(AR18:AV18)</f>
        <v>0</v>
      </c>
      <c r="AX18" s="59"/>
      <c r="AY18" s="59"/>
      <c r="AZ18" s="59"/>
      <c r="BA18" s="59"/>
      <c r="BB18" s="58"/>
      <c r="BC18" s="60">
        <f t="shared" ref="BC18:BC23" si="30">SUM(AX18:BB18)</f>
        <v>0</v>
      </c>
      <c r="BD18" s="59"/>
      <c r="BE18" s="59"/>
      <c r="BF18" s="59"/>
      <c r="BG18" s="59"/>
      <c r="BH18" s="58"/>
      <c r="BI18" s="60">
        <f t="shared" ref="BI18:BI23" si="31">SUM(BD18:BH18)</f>
        <v>0</v>
      </c>
      <c r="BJ18" s="59"/>
      <c r="BK18" s="59"/>
      <c r="BL18" s="59"/>
      <c r="BM18" s="59"/>
      <c r="BN18" s="58"/>
      <c r="BO18" s="60">
        <f t="shared" ref="BO18:BO23" si="32">SUM(BJ18:BN18)</f>
        <v>0</v>
      </c>
    </row>
    <row r="19" spans="1:67" ht="22.5" customHeight="1">
      <c r="A19" s="185" t="s">
        <v>165</v>
      </c>
      <c r="B19" s="59"/>
      <c r="C19" s="59"/>
      <c r="D19" s="59"/>
      <c r="E19" s="59"/>
      <c r="F19" s="58"/>
      <c r="G19" s="60">
        <f t="shared" si="22"/>
        <v>0</v>
      </c>
      <c r="H19" s="59"/>
      <c r="I19" s="59"/>
      <c r="J19" s="59"/>
      <c r="K19" s="59"/>
      <c r="L19" s="58"/>
      <c r="M19" s="60">
        <f t="shared" si="23"/>
        <v>0</v>
      </c>
      <c r="N19" s="59"/>
      <c r="O19" s="59"/>
      <c r="P19" s="59"/>
      <c r="Q19" s="59"/>
      <c r="R19" s="58"/>
      <c r="S19" s="60">
        <f t="shared" si="24"/>
        <v>0</v>
      </c>
      <c r="T19" s="59"/>
      <c r="U19" s="59"/>
      <c r="V19" s="59"/>
      <c r="W19" s="59"/>
      <c r="X19" s="58"/>
      <c r="Y19" s="60">
        <f t="shared" si="25"/>
        <v>0</v>
      </c>
      <c r="Z19" s="59"/>
      <c r="AA19" s="59"/>
      <c r="AB19" s="59"/>
      <c r="AC19" s="59"/>
      <c r="AD19" s="58"/>
      <c r="AE19" s="60">
        <f t="shared" si="26"/>
        <v>0</v>
      </c>
      <c r="AF19" s="59"/>
      <c r="AG19" s="59"/>
      <c r="AH19" s="59"/>
      <c r="AI19" s="59"/>
      <c r="AJ19" s="58"/>
      <c r="AK19" s="113">
        <f t="shared" si="27"/>
        <v>0</v>
      </c>
      <c r="AL19" s="59"/>
      <c r="AM19" s="59"/>
      <c r="AN19" s="59"/>
      <c r="AO19" s="59"/>
      <c r="AP19" s="58"/>
      <c r="AQ19" s="60">
        <f t="shared" si="28"/>
        <v>0</v>
      </c>
      <c r="AR19" s="59"/>
      <c r="AS19" s="59"/>
      <c r="AT19" s="59"/>
      <c r="AU19" s="59"/>
      <c r="AV19" s="58"/>
      <c r="AW19" s="60">
        <f t="shared" si="29"/>
        <v>0</v>
      </c>
      <c r="AX19" s="59"/>
      <c r="AY19" s="59"/>
      <c r="AZ19" s="59"/>
      <c r="BA19" s="59"/>
      <c r="BB19" s="58"/>
      <c r="BC19" s="60">
        <f t="shared" si="30"/>
        <v>0</v>
      </c>
      <c r="BD19" s="59"/>
      <c r="BE19" s="59"/>
      <c r="BF19" s="59"/>
      <c r="BG19" s="59"/>
      <c r="BH19" s="58"/>
      <c r="BI19" s="60">
        <f t="shared" si="31"/>
        <v>0</v>
      </c>
      <c r="BJ19" s="59"/>
      <c r="BK19" s="59"/>
      <c r="BL19" s="59"/>
      <c r="BM19" s="59"/>
      <c r="BN19" s="58"/>
      <c r="BO19" s="60">
        <f t="shared" si="32"/>
        <v>0</v>
      </c>
    </row>
    <row r="20" spans="1:67" ht="22.5" customHeight="1">
      <c r="A20" s="185" t="s">
        <v>166</v>
      </c>
      <c r="B20" s="59"/>
      <c r="C20" s="59"/>
      <c r="D20" s="59"/>
      <c r="E20" s="59"/>
      <c r="F20" s="58"/>
      <c r="G20" s="60">
        <f t="shared" si="22"/>
        <v>0</v>
      </c>
      <c r="H20" s="59"/>
      <c r="I20" s="59"/>
      <c r="J20" s="59"/>
      <c r="K20" s="59"/>
      <c r="L20" s="58"/>
      <c r="M20" s="60">
        <f t="shared" si="23"/>
        <v>0</v>
      </c>
      <c r="N20" s="59"/>
      <c r="O20" s="59"/>
      <c r="P20" s="59"/>
      <c r="Q20" s="59"/>
      <c r="R20" s="58"/>
      <c r="S20" s="60">
        <f t="shared" si="24"/>
        <v>0</v>
      </c>
      <c r="T20" s="59"/>
      <c r="U20" s="59"/>
      <c r="V20" s="59"/>
      <c r="W20" s="59"/>
      <c r="X20" s="58"/>
      <c r="Y20" s="60">
        <f t="shared" si="25"/>
        <v>0</v>
      </c>
      <c r="Z20" s="59"/>
      <c r="AA20" s="59"/>
      <c r="AB20" s="59"/>
      <c r="AC20" s="59"/>
      <c r="AD20" s="58"/>
      <c r="AE20" s="60">
        <f t="shared" si="26"/>
        <v>0</v>
      </c>
      <c r="AF20" s="59"/>
      <c r="AG20" s="59"/>
      <c r="AH20" s="59"/>
      <c r="AI20" s="59"/>
      <c r="AJ20" s="58"/>
      <c r="AK20" s="113">
        <f t="shared" si="27"/>
        <v>0</v>
      </c>
      <c r="AL20" s="59"/>
      <c r="AM20" s="59"/>
      <c r="AN20" s="59"/>
      <c r="AO20" s="59"/>
      <c r="AP20" s="58"/>
      <c r="AQ20" s="60">
        <f t="shared" si="28"/>
        <v>0</v>
      </c>
      <c r="AR20" s="59"/>
      <c r="AS20" s="59"/>
      <c r="AT20" s="59"/>
      <c r="AU20" s="59"/>
      <c r="AV20" s="58"/>
      <c r="AW20" s="60">
        <f t="shared" si="29"/>
        <v>0</v>
      </c>
      <c r="AX20" s="59"/>
      <c r="AY20" s="59"/>
      <c r="AZ20" s="59"/>
      <c r="BA20" s="59"/>
      <c r="BB20" s="58"/>
      <c r="BC20" s="60">
        <f t="shared" si="30"/>
        <v>0</v>
      </c>
      <c r="BD20" s="59"/>
      <c r="BE20" s="59"/>
      <c r="BF20" s="59"/>
      <c r="BG20" s="59"/>
      <c r="BH20" s="58"/>
      <c r="BI20" s="60">
        <f t="shared" si="31"/>
        <v>0</v>
      </c>
      <c r="BJ20" s="59"/>
      <c r="BK20" s="59"/>
      <c r="BL20" s="59"/>
      <c r="BM20" s="59"/>
      <c r="BN20" s="58"/>
      <c r="BO20" s="60">
        <f t="shared" si="32"/>
        <v>0</v>
      </c>
    </row>
    <row r="21" spans="1:67" ht="22.5" customHeight="1">
      <c r="A21" s="185" t="s">
        <v>167</v>
      </c>
      <c r="B21" s="59"/>
      <c r="C21" s="59"/>
      <c r="D21" s="59"/>
      <c r="E21" s="59"/>
      <c r="F21" s="58"/>
      <c r="G21" s="60">
        <f t="shared" si="22"/>
        <v>0</v>
      </c>
      <c r="H21" s="59"/>
      <c r="I21" s="59"/>
      <c r="J21" s="59"/>
      <c r="K21" s="59"/>
      <c r="L21" s="58"/>
      <c r="M21" s="60">
        <f t="shared" si="23"/>
        <v>0</v>
      </c>
      <c r="N21" s="59"/>
      <c r="O21" s="59"/>
      <c r="P21" s="59"/>
      <c r="Q21" s="59"/>
      <c r="R21" s="58"/>
      <c r="S21" s="60">
        <f t="shared" si="24"/>
        <v>0</v>
      </c>
      <c r="T21" s="59"/>
      <c r="U21" s="59"/>
      <c r="V21" s="59"/>
      <c r="W21" s="59"/>
      <c r="X21" s="58"/>
      <c r="Y21" s="60">
        <f t="shared" si="25"/>
        <v>0</v>
      </c>
      <c r="Z21" s="59"/>
      <c r="AA21" s="59"/>
      <c r="AB21" s="59"/>
      <c r="AC21" s="59"/>
      <c r="AD21" s="58"/>
      <c r="AE21" s="60">
        <f t="shared" si="26"/>
        <v>0</v>
      </c>
      <c r="AF21" s="59"/>
      <c r="AG21" s="59"/>
      <c r="AH21" s="59"/>
      <c r="AI21" s="59"/>
      <c r="AJ21" s="58"/>
      <c r="AK21" s="113">
        <f t="shared" si="27"/>
        <v>0</v>
      </c>
      <c r="AL21" s="59"/>
      <c r="AM21" s="59"/>
      <c r="AN21" s="59"/>
      <c r="AO21" s="59"/>
      <c r="AP21" s="58"/>
      <c r="AQ21" s="60">
        <f t="shared" si="28"/>
        <v>0</v>
      </c>
      <c r="AR21" s="59"/>
      <c r="AS21" s="59"/>
      <c r="AT21" s="59"/>
      <c r="AU21" s="59"/>
      <c r="AV21" s="58"/>
      <c r="AW21" s="60">
        <f t="shared" si="29"/>
        <v>0</v>
      </c>
      <c r="AX21" s="59"/>
      <c r="AY21" s="59"/>
      <c r="AZ21" s="59"/>
      <c r="BA21" s="59"/>
      <c r="BB21" s="58"/>
      <c r="BC21" s="60">
        <f t="shared" si="30"/>
        <v>0</v>
      </c>
      <c r="BD21" s="59"/>
      <c r="BE21" s="59"/>
      <c r="BF21" s="59"/>
      <c r="BG21" s="59"/>
      <c r="BH21" s="58"/>
      <c r="BI21" s="60">
        <f t="shared" si="31"/>
        <v>0</v>
      </c>
      <c r="BJ21" s="59"/>
      <c r="BK21" s="59"/>
      <c r="BL21" s="59"/>
      <c r="BM21" s="59"/>
      <c r="BN21" s="58"/>
      <c r="BO21" s="60">
        <f t="shared" si="32"/>
        <v>0</v>
      </c>
    </row>
    <row r="22" spans="1:67" ht="22.5" customHeight="1">
      <c r="A22" s="185" t="s">
        <v>168</v>
      </c>
      <c r="B22" s="59"/>
      <c r="C22" s="59"/>
      <c r="D22" s="59"/>
      <c r="E22" s="59"/>
      <c r="F22" s="58"/>
      <c r="G22" s="60">
        <f t="shared" si="22"/>
        <v>0</v>
      </c>
      <c r="H22" s="59"/>
      <c r="I22" s="59"/>
      <c r="J22" s="59"/>
      <c r="K22" s="59"/>
      <c r="L22" s="58"/>
      <c r="M22" s="60">
        <f t="shared" si="23"/>
        <v>0</v>
      </c>
      <c r="N22" s="59"/>
      <c r="O22" s="59"/>
      <c r="P22" s="59"/>
      <c r="Q22" s="59"/>
      <c r="R22" s="58"/>
      <c r="S22" s="60">
        <f t="shared" si="24"/>
        <v>0</v>
      </c>
      <c r="T22" s="59"/>
      <c r="U22" s="59"/>
      <c r="V22" s="59"/>
      <c r="W22" s="59"/>
      <c r="X22" s="58"/>
      <c r="Y22" s="60">
        <f t="shared" si="25"/>
        <v>0</v>
      </c>
      <c r="Z22" s="59"/>
      <c r="AA22" s="59"/>
      <c r="AB22" s="59"/>
      <c r="AC22" s="59"/>
      <c r="AD22" s="58"/>
      <c r="AE22" s="60">
        <f t="shared" si="26"/>
        <v>0</v>
      </c>
      <c r="AF22" s="59"/>
      <c r="AG22" s="59"/>
      <c r="AH22" s="59"/>
      <c r="AI22" s="59"/>
      <c r="AJ22" s="58"/>
      <c r="AK22" s="113">
        <f t="shared" si="27"/>
        <v>0</v>
      </c>
      <c r="AL22" s="59"/>
      <c r="AM22" s="59"/>
      <c r="AN22" s="59"/>
      <c r="AO22" s="59"/>
      <c r="AP22" s="58"/>
      <c r="AQ22" s="60">
        <f t="shared" si="28"/>
        <v>0</v>
      </c>
      <c r="AR22" s="59"/>
      <c r="AS22" s="59"/>
      <c r="AT22" s="59"/>
      <c r="AU22" s="59"/>
      <c r="AV22" s="58"/>
      <c r="AW22" s="60">
        <f t="shared" si="29"/>
        <v>0</v>
      </c>
      <c r="AX22" s="59"/>
      <c r="AY22" s="59"/>
      <c r="AZ22" s="59"/>
      <c r="BA22" s="59"/>
      <c r="BB22" s="58"/>
      <c r="BC22" s="60">
        <f t="shared" si="30"/>
        <v>0</v>
      </c>
      <c r="BD22" s="59"/>
      <c r="BE22" s="59"/>
      <c r="BF22" s="59"/>
      <c r="BG22" s="59"/>
      <c r="BH22" s="58"/>
      <c r="BI22" s="60">
        <f t="shared" si="31"/>
        <v>0</v>
      </c>
      <c r="BJ22" s="59"/>
      <c r="BK22" s="59"/>
      <c r="BL22" s="59"/>
      <c r="BM22" s="59"/>
      <c r="BN22" s="58"/>
      <c r="BO22" s="60">
        <f t="shared" si="32"/>
        <v>0</v>
      </c>
    </row>
    <row r="23" spans="1:67" ht="22.5" customHeight="1">
      <c r="A23" s="185" t="s">
        <v>59</v>
      </c>
      <c r="B23" s="59"/>
      <c r="C23" s="59"/>
      <c r="D23" s="59"/>
      <c r="E23" s="59"/>
      <c r="F23" s="58"/>
      <c r="G23" s="60">
        <f t="shared" si="22"/>
        <v>0</v>
      </c>
      <c r="H23" s="59"/>
      <c r="I23" s="59"/>
      <c r="J23" s="59"/>
      <c r="K23" s="59"/>
      <c r="L23" s="58"/>
      <c r="M23" s="60">
        <f t="shared" si="23"/>
        <v>0</v>
      </c>
      <c r="N23" s="59"/>
      <c r="O23" s="59"/>
      <c r="P23" s="59"/>
      <c r="Q23" s="59"/>
      <c r="R23" s="58"/>
      <c r="S23" s="60">
        <f t="shared" si="24"/>
        <v>0</v>
      </c>
      <c r="T23" s="59"/>
      <c r="U23" s="59"/>
      <c r="V23" s="59"/>
      <c r="W23" s="59"/>
      <c r="X23" s="58"/>
      <c r="Y23" s="60">
        <f t="shared" si="25"/>
        <v>0</v>
      </c>
      <c r="Z23" s="59"/>
      <c r="AA23" s="59"/>
      <c r="AB23" s="59"/>
      <c r="AC23" s="59"/>
      <c r="AD23" s="58"/>
      <c r="AE23" s="60">
        <f t="shared" si="26"/>
        <v>0</v>
      </c>
      <c r="AF23" s="59"/>
      <c r="AG23" s="59"/>
      <c r="AH23" s="59"/>
      <c r="AI23" s="59"/>
      <c r="AJ23" s="58"/>
      <c r="AK23" s="113">
        <f t="shared" si="27"/>
        <v>0</v>
      </c>
      <c r="AL23" s="59"/>
      <c r="AM23" s="59"/>
      <c r="AN23" s="59"/>
      <c r="AO23" s="59"/>
      <c r="AP23" s="58"/>
      <c r="AQ23" s="60">
        <f t="shared" si="28"/>
        <v>0</v>
      </c>
      <c r="AR23" s="59"/>
      <c r="AS23" s="59"/>
      <c r="AT23" s="59"/>
      <c r="AU23" s="59"/>
      <c r="AV23" s="58"/>
      <c r="AW23" s="60">
        <f t="shared" si="29"/>
        <v>0</v>
      </c>
      <c r="AX23" s="59"/>
      <c r="AY23" s="59"/>
      <c r="AZ23" s="59"/>
      <c r="BA23" s="59"/>
      <c r="BB23" s="58"/>
      <c r="BC23" s="60">
        <f t="shared" si="30"/>
        <v>0</v>
      </c>
      <c r="BD23" s="59"/>
      <c r="BE23" s="59"/>
      <c r="BF23" s="59"/>
      <c r="BG23" s="59"/>
      <c r="BH23" s="58"/>
      <c r="BI23" s="60">
        <f t="shared" si="31"/>
        <v>0</v>
      </c>
      <c r="BJ23" s="59"/>
      <c r="BK23" s="59"/>
      <c r="BL23" s="59"/>
      <c r="BM23" s="59"/>
      <c r="BN23" s="58"/>
      <c r="BO23" s="60">
        <f t="shared" si="32"/>
        <v>0</v>
      </c>
    </row>
    <row r="24" spans="1:67" ht="22.5" customHeight="1" thickBot="1">
      <c r="A24" s="186" t="s">
        <v>12</v>
      </c>
      <c r="B24" s="62" t="e">
        <f>AVERAGE(B17:B23)</f>
        <v>#DIV/0!</v>
      </c>
      <c r="C24" s="62" t="e">
        <f t="shared" ref="C24:F24" si="33">AVERAGE(C17:C23)</f>
        <v>#DIV/0!</v>
      </c>
      <c r="D24" s="62" t="e">
        <f t="shared" si="33"/>
        <v>#DIV/0!</v>
      </c>
      <c r="E24" s="62" t="e">
        <f t="shared" si="33"/>
        <v>#DIV/0!</v>
      </c>
      <c r="F24" s="62" t="e">
        <f t="shared" si="33"/>
        <v>#DIV/0!</v>
      </c>
      <c r="G24" s="63">
        <f>SUM(G17:G23)</f>
        <v>0</v>
      </c>
      <c r="H24" s="62" t="e">
        <f>AVERAGE(H17:H23)</f>
        <v>#DIV/0!</v>
      </c>
      <c r="I24" s="62" t="e">
        <f t="shared" ref="I24:L24" si="34">AVERAGE(I17:I23)</f>
        <v>#DIV/0!</v>
      </c>
      <c r="J24" s="62" t="e">
        <f t="shared" si="34"/>
        <v>#DIV/0!</v>
      </c>
      <c r="K24" s="62" t="e">
        <f t="shared" si="34"/>
        <v>#DIV/0!</v>
      </c>
      <c r="L24" s="62" t="e">
        <f t="shared" si="34"/>
        <v>#DIV/0!</v>
      </c>
      <c r="M24" s="63">
        <f>SUM(M17:M23)</f>
        <v>0</v>
      </c>
      <c r="N24" s="62" t="e">
        <f>AVERAGE(N17:N23)</f>
        <v>#DIV/0!</v>
      </c>
      <c r="O24" s="62" t="e">
        <f t="shared" ref="O24:R24" si="35">AVERAGE(O17:O23)</f>
        <v>#DIV/0!</v>
      </c>
      <c r="P24" s="62" t="e">
        <f t="shared" si="35"/>
        <v>#DIV/0!</v>
      </c>
      <c r="Q24" s="62" t="e">
        <f t="shared" si="35"/>
        <v>#DIV/0!</v>
      </c>
      <c r="R24" s="62" t="e">
        <f t="shared" si="35"/>
        <v>#DIV/0!</v>
      </c>
      <c r="S24" s="63">
        <f>SUM(S17:S23)</f>
        <v>0</v>
      </c>
      <c r="T24" s="62" t="e">
        <f>AVERAGE(T17:T23)</f>
        <v>#DIV/0!</v>
      </c>
      <c r="U24" s="62" t="e">
        <f t="shared" ref="U24:X24" si="36">AVERAGE(U17:U23)</f>
        <v>#DIV/0!</v>
      </c>
      <c r="V24" s="62" t="e">
        <f t="shared" si="36"/>
        <v>#DIV/0!</v>
      </c>
      <c r="W24" s="62" t="e">
        <f t="shared" si="36"/>
        <v>#DIV/0!</v>
      </c>
      <c r="X24" s="62" t="e">
        <f t="shared" si="36"/>
        <v>#DIV/0!</v>
      </c>
      <c r="Y24" s="63">
        <v>5</v>
      </c>
      <c r="Z24" s="62" t="e">
        <f>AVERAGE(Z17:Z23)</f>
        <v>#DIV/0!</v>
      </c>
      <c r="AA24" s="62" t="e">
        <f t="shared" ref="AA24:AD24" si="37">AVERAGE(AA17:AA23)</f>
        <v>#DIV/0!</v>
      </c>
      <c r="AB24" s="62" t="e">
        <f t="shared" si="37"/>
        <v>#DIV/0!</v>
      </c>
      <c r="AC24" s="62" t="e">
        <f t="shared" si="37"/>
        <v>#DIV/0!</v>
      </c>
      <c r="AD24" s="62" t="e">
        <f t="shared" si="37"/>
        <v>#DIV/0!</v>
      </c>
      <c r="AE24" s="63">
        <f>SUM(AE17:AE23)</f>
        <v>0</v>
      </c>
      <c r="AF24" s="62" t="e">
        <f>AVERAGE(AF17:AF23)</f>
        <v>#DIV/0!</v>
      </c>
      <c r="AG24" s="62" t="e">
        <f t="shared" ref="AG24:AJ24" si="38">AVERAGE(AG17:AG23)</f>
        <v>#DIV/0!</v>
      </c>
      <c r="AH24" s="62" t="e">
        <f t="shared" si="38"/>
        <v>#DIV/0!</v>
      </c>
      <c r="AI24" s="62" t="e">
        <f t="shared" si="38"/>
        <v>#DIV/0!</v>
      </c>
      <c r="AJ24" s="62" t="e">
        <f t="shared" si="38"/>
        <v>#DIV/0!</v>
      </c>
      <c r="AK24" s="114">
        <f>SUM(AK17:AK23)</f>
        <v>0</v>
      </c>
      <c r="AL24" s="62" t="e">
        <f>AVERAGE(AL17:AL23)</f>
        <v>#DIV/0!</v>
      </c>
      <c r="AM24" s="62" t="e">
        <f t="shared" ref="AM24:AP24" si="39">AVERAGE(AM17:AM23)</f>
        <v>#DIV/0!</v>
      </c>
      <c r="AN24" s="62" t="e">
        <f t="shared" si="39"/>
        <v>#DIV/0!</v>
      </c>
      <c r="AO24" s="62" t="e">
        <f t="shared" si="39"/>
        <v>#DIV/0!</v>
      </c>
      <c r="AP24" s="62" t="e">
        <f t="shared" si="39"/>
        <v>#DIV/0!</v>
      </c>
      <c r="AQ24" s="63">
        <f>SUM(AQ17:AQ23)</f>
        <v>0</v>
      </c>
      <c r="AR24" s="62" t="e">
        <f>AVERAGE(AR17:AR23)</f>
        <v>#DIV/0!</v>
      </c>
      <c r="AS24" s="62" t="e">
        <f t="shared" ref="AS24:AV24" si="40">AVERAGE(AS17:AS23)</f>
        <v>#DIV/0!</v>
      </c>
      <c r="AT24" s="62" t="e">
        <f t="shared" si="40"/>
        <v>#DIV/0!</v>
      </c>
      <c r="AU24" s="62" t="e">
        <f t="shared" si="40"/>
        <v>#DIV/0!</v>
      </c>
      <c r="AV24" s="62" t="e">
        <f t="shared" si="40"/>
        <v>#DIV/0!</v>
      </c>
      <c r="AW24" s="63">
        <f>SUM(AW17:AW23)</f>
        <v>0</v>
      </c>
      <c r="AX24" s="62" t="e">
        <f>AVERAGE(AX17:AX23)</f>
        <v>#DIV/0!</v>
      </c>
      <c r="AY24" s="62" t="e">
        <f t="shared" ref="AY24:BB24" si="41">AVERAGE(AY17:AY23)</f>
        <v>#DIV/0!</v>
      </c>
      <c r="AZ24" s="62" t="e">
        <f t="shared" si="41"/>
        <v>#DIV/0!</v>
      </c>
      <c r="BA24" s="62" t="e">
        <f t="shared" si="41"/>
        <v>#DIV/0!</v>
      </c>
      <c r="BB24" s="62" t="e">
        <f t="shared" si="41"/>
        <v>#DIV/0!</v>
      </c>
      <c r="BC24" s="63">
        <f>SUM(BC17:BC23)</f>
        <v>0</v>
      </c>
      <c r="BD24" s="62" t="e">
        <f>AVERAGE(BD17:BD23)</f>
        <v>#DIV/0!</v>
      </c>
      <c r="BE24" s="62" t="e">
        <f t="shared" ref="BE24:BH24" si="42">AVERAGE(BE17:BE23)</f>
        <v>#DIV/0!</v>
      </c>
      <c r="BF24" s="62" t="e">
        <f t="shared" si="42"/>
        <v>#DIV/0!</v>
      </c>
      <c r="BG24" s="62" t="e">
        <f t="shared" si="42"/>
        <v>#DIV/0!</v>
      </c>
      <c r="BH24" s="62" t="e">
        <f t="shared" si="42"/>
        <v>#DIV/0!</v>
      </c>
      <c r="BI24" s="63"/>
      <c r="BJ24" s="62" t="e">
        <f>AVERAGE(BJ17:BJ23)</f>
        <v>#DIV/0!</v>
      </c>
      <c r="BK24" s="62" t="e">
        <f t="shared" ref="BK24:BN24" si="43">AVERAGE(BK17:BK23)</f>
        <v>#DIV/0!</v>
      </c>
      <c r="BL24" s="62" t="e">
        <f t="shared" si="43"/>
        <v>#DIV/0!</v>
      </c>
      <c r="BM24" s="62" t="e">
        <f t="shared" si="43"/>
        <v>#DIV/0!</v>
      </c>
      <c r="BN24" s="62" t="e">
        <f t="shared" si="43"/>
        <v>#DIV/0!</v>
      </c>
      <c r="BO24" s="63">
        <f>SUM(BO17:BO23)</f>
        <v>0</v>
      </c>
    </row>
    <row r="25" spans="1:67" ht="22.5" customHeight="1" thickBot="1">
      <c r="A25" s="112"/>
      <c r="B25" s="58"/>
      <c r="C25" s="58"/>
      <c r="D25" s="58"/>
      <c r="E25" s="58"/>
      <c r="F25" s="58"/>
      <c r="G25" s="12"/>
      <c r="H25" s="58"/>
      <c r="I25" s="58"/>
      <c r="J25" s="58"/>
      <c r="K25" s="58"/>
      <c r="L25" s="58"/>
      <c r="M25" s="12"/>
      <c r="N25" s="58"/>
      <c r="O25" s="58"/>
      <c r="P25" s="58"/>
      <c r="Q25" s="58"/>
      <c r="R25" s="58"/>
      <c r="S25" s="12"/>
      <c r="T25" s="58"/>
      <c r="U25" s="58"/>
      <c r="V25" s="58"/>
      <c r="W25" s="58"/>
      <c r="X25" s="58"/>
      <c r="Y25" s="12"/>
      <c r="Z25" s="58"/>
      <c r="AA25" s="58"/>
      <c r="AB25" s="58"/>
      <c r="AC25" s="58"/>
      <c r="AD25" s="58"/>
      <c r="AE25" s="12"/>
      <c r="AF25" s="58"/>
      <c r="AG25" s="58"/>
      <c r="AH25" s="58"/>
      <c r="AI25" s="58"/>
      <c r="AJ25" s="58"/>
      <c r="AK25" s="115"/>
      <c r="AL25" s="58"/>
      <c r="AM25" s="58"/>
      <c r="AN25" s="58"/>
      <c r="AO25" s="58"/>
      <c r="AP25" s="58"/>
      <c r="AQ25" s="12"/>
      <c r="AR25" s="58"/>
      <c r="AS25" s="58"/>
      <c r="AT25" s="58"/>
      <c r="AU25" s="58"/>
      <c r="AV25" s="58"/>
      <c r="AW25" s="12"/>
      <c r="AX25" s="58"/>
      <c r="AY25" s="58"/>
      <c r="AZ25" s="58"/>
      <c r="BA25" s="58"/>
      <c r="BB25" s="58"/>
      <c r="BC25" s="12"/>
      <c r="BD25" s="58"/>
      <c r="BE25" s="58"/>
      <c r="BF25" s="58"/>
      <c r="BG25" s="58"/>
      <c r="BH25" s="58"/>
      <c r="BI25" s="12"/>
      <c r="BJ25" s="58"/>
      <c r="BK25" s="58"/>
      <c r="BL25" s="58"/>
      <c r="BM25" s="58"/>
      <c r="BN25" s="58"/>
      <c r="BO25" s="12"/>
    </row>
    <row r="26" spans="1:67" s="188" customFormat="1" ht="22.5" customHeight="1">
      <c r="A26" s="190" t="s">
        <v>29</v>
      </c>
      <c r="B26" s="546" t="s">
        <v>30</v>
      </c>
      <c r="C26" s="546"/>
      <c r="D26" s="546"/>
      <c r="E26" s="546"/>
      <c r="F26" s="546"/>
      <c r="G26" s="549"/>
      <c r="H26" s="545" t="s">
        <v>30</v>
      </c>
      <c r="I26" s="546"/>
      <c r="J26" s="546"/>
      <c r="K26" s="546"/>
      <c r="L26" s="546"/>
      <c r="M26" s="549"/>
      <c r="N26" s="545" t="s">
        <v>30</v>
      </c>
      <c r="O26" s="546"/>
      <c r="P26" s="546"/>
      <c r="Q26" s="546"/>
      <c r="R26" s="546"/>
      <c r="S26" s="549"/>
      <c r="T26" s="545" t="s">
        <v>30</v>
      </c>
      <c r="U26" s="546"/>
      <c r="V26" s="546"/>
      <c r="W26" s="546"/>
      <c r="X26" s="546"/>
      <c r="Y26" s="549"/>
      <c r="Z26" s="545" t="s">
        <v>30</v>
      </c>
      <c r="AA26" s="546"/>
      <c r="AB26" s="546"/>
      <c r="AC26" s="546"/>
      <c r="AD26" s="546"/>
      <c r="AE26" s="549"/>
      <c r="AF26" s="545" t="s">
        <v>30</v>
      </c>
      <c r="AG26" s="546"/>
      <c r="AH26" s="546"/>
      <c r="AI26" s="546"/>
      <c r="AJ26" s="546"/>
      <c r="AK26" s="547"/>
      <c r="AL26" s="548" t="s">
        <v>30</v>
      </c>
      <c r="AM26" s="546"/>
      <c r="AN26" s="546"/>
      <c r="AO26" s="546"/>
      <c r="AP26" s="546"/>
      <c r="AQ26" s="549"/>
      <c r="AR26" s="545" t="s">
        <v>30</v>
      </c>
      <c r="AS26" s="546"/>
      <c r="AT26" s="546"/>
      <c r="AU26" s="546"/>
      <c r="AV26" s="546"/>
      <c r="AW26" s="549"/>
      <c r="AX26" s="545" t="s">
        <v>30</v>
      </c>
      <c r="AY26" s="546"/>
      <c r="AZ26" s="546"/>
      <c r="BA26" s="546"/>
      <c r="BB26" s="546"/>
      <c r="BC26" s="549"/>
      <c r="BD26" s="545" t="s">
        <v>30</v>
      </c>
      <c r="BE26" s="546"/>
      <c r="BF26" s="546"/>
      <c r="BG26" s="546"/>
      <c r="BH26" s="546"/>
      <c r="BI26" s="549"/>
      <c r="BJ26" s="545" t="s">
        <v>30</v>
      </c>
      <c r="BK26" s="546"/>
      <c r="BL26" s="546"/>
      <c r="BM26" s="546"/>
      <c r="BN26" s="546"/>
      <c r="BO26" s="549"/>
    </row>
    <row r="27" spans="1:67" ht="22.5" customHeight="1">
      <c r="A27" s="185" t="s">
        <v>163</v>
      </c>
      <c r="B27" s="58"/>
      <c r="C27" s="58"/>
      <c r="D27" s="58"/>
      <c r="E27" s="58"/>
      <c r="F27" s="58"/>
      <c r="G27" s="12">
        <f>SUM(F27)</f>
        <v>0</v>
      </c>
      <c r="H27" s="59"/>
      <c r="I27" s="59"/>
      <c r="J27" s="59"/>
      <c r="K27" s="59"/>
      <c r="L27" s="58"/>
      <c r="M27" s="60">
        <f>SUM(H27:L27)</f>
        <v>0</v>
      </c>
      <c r="N27" s="59"/>
      <c r="O27" s="59"/>
      <c r="P27" s="59"/>
      <c r="Q27" s="59"/>
      <c r="R27" s="58"/>
      <c r="S27" s="60">
        <f>SUM(N27:R27)</f>
        <v>0</v>
      </c>
      <c r="T27" s="59"/>
      <c r="U27" s="59"/>
      <c r="V27" s="59"/>
      <c r="W27" s="59"/>
      <c r="X27" s="58"/>
      <c r="Y27" s="60">
        <f>SUM(T27:X27)</f>
        <v>0</v>
      </c>
      <c r="Z27" s="59"/>
      <c r="AA27" s="59"/>
      <c r="AB27" s="59"/>
      <c r="AC27" s="59"/>
      <c r="AD27" s="58"/>
      <c r="AE27" s="60">
        <f>SUM(Z27:AD27)</f>
        <v>0</v>
      </c>
      <c r="AF27" s="59"/>
      <c r="AG27" s="59"/>
      <c r="AH27" s="59"/>
      <c r="AI27" s="59"/>
      <c r="AJ27" s="58"/>
      <c r="AK27" s="113">
        <v>86</v>
      </c>
      <c r="AL27" s="58"/>
      <c r="AM27" s="58"/>
      <c r="AN27" s="58"/>
      <c r="AO27" s="58"/>
      <c r="AP27" s="58"/>
      <c r="AQ27" s="12">
        <f>SUM(AP27)</f>
        <v>0</v>
      </c>
      <c r="AR27" s="59"/>
      <c r="AS27" s="59"/>
      <c r="AT27" s="59"/>
      <c r="AU27" s="59"/>
      <c r="AV27" s="58"/>
      <c r="AW27" s="60">
        <f>SUM(AR27:AV27)</f>
        <v>0</v>
      </c>
      <c r="AX27" s="59"/>
      <c r="AY27" s="59"/>
      <c r="AZ27" s="59"/>
      <c r="BA27" s="59"/>
      <c r="BB27" s="58"/>
      <c r="BC27" s="60">
        <f>SUM(AX27:BB27)</f>
        <v>0</v>
      </c>
      <c r="BD27" s="59"/>
      <c r="BE27" s="59"/>
      <c r="BF27" s="59"/>
      <c r="BG27" s="59"/>
      <c r="BH27" s="58"/>
      <c r="BI27" s="60">
        <f>SUM(BD27:BH27)</f>
        <v>0</v>
      </c>
      <c r="BJ27" s="59"/>
      <c r="BK27" s="59"/>
      <c r="BL27" s="59"/>
      <c r="BM27" s="59"/>
      <c r="BN27" s="58"/>
      <c r="BO27" s="60">
        <f>SUM(BJ27:BN27)</f>
        <v>0</v>
      </c>
    </row>
    <row r="28" spans="1:67" ht="22.5" customHeight="1">
      <c r="A28" s="185" t="s">
        <v>164</v>
      </c>
      <c r="B28" s="58"/>
      <c r="C28" s="58"/>
      <c r="D28" s="58"/>
      <c r="E28" s="58"/>
      <c r="F28" s="58"/>
      <c r="G28" s="12">
        <f t="shared" ref="G28:G33" si="44">SUM(F28)</f>
        <v>0</v>
      </c>
      <c r="H28" s="59"/>
      <c r="I28" s="59"/>
      <c r="J28" s="59"/>
      <c r="K28" s="59"/>
      <c r="L28" s="58"/>
      <c r="M28" s="60">
        <f t="shared" ref="M28:M33" si="45">SUM(H28:L28)</f>
        <v>0</v>
      </c>
      <c r="N28" s="59"/>
      <c r="O28" s="59"/>
      <c r="P28" s="59"/>
      <c r="Q28" s="59"/>
      <c r="R28" s="58"/>
      <c r="S28" s="60">
        <f t="shared" ref="S28:S33" si="46">SUM(N28:R28)</f>
        <v>0</v>
      </c>
      <c r="T28" s="59"/>
      <c r="U28" s="59"/>
      <c r="V28" s="59"/>
      <c r="W28" s="59"/>
      <c r="X28" s="58"/>
      <c r="Y28" s="60">
        <f t="shared" ref="Y28:Y33" si="47">SUM(T28:X28)</f>
        <v>0</v>
      </c>
      <c r="Z28" s="59"/>
      <c r="AA28" s="59"/>
      <c r="AB28" s="59"/>
      <c r="AC28" s="59"/>
      <c r="AD28" s="58"/>
      <c r="AE28" s="60">
        <f t="shared" ref="AE28:AE33" si="48">SUM(Z28:AD28)</f>
        <v>0</v>
      </c>
      <c r="AF28" s="59"/>
      <c r="AG28" s="59"/>
      <c r="AH28" s="59"/>
      <c r="AI28" s="59"/>
      <c r="AJ28" s="58"/>
      <c r="AK28" s="113">
        <v>55</v>
      </c>
      <c r="AL28" s="58"/>
      <c r="AM28" s="58"/>
      <c r="AN28" s="58"/>
      <c r="AO28" s="58"/>
      <c r="AP28" s="58"/>
      <c r="AQ28" s="12">
        <f t="shared" ref="AQ28:AQ33" si="49">SUM(AP28)</f>
        <v>0</v>
      </c>
      <c r="AR28" s="59"/>
      <c r="AS28" s="59"/>
      <c r="AT28" s="59"/>
      <c r="AU28" s="59"/>
      <c r="AV28" s="58"/>
      <c r="AW28" s="60">
        <f t="shared" ref="AW28:AW33" si="50">SUM(AR28:AV28)</f>
        <v>0</v>
      </c>
      <c r="AX28" s="59"/>
      <c r="AY28" s="59"/>
      <c r="AZ28" s="59"/>
      <c r="BA28" s="59"/>
      <c r="BB28" s="58"/>
      <c r="BC28" s="60">
        <f t="shared" ref="BC28:BC33" si="51">SUM(AX28:BB28)</f>
        <v>0</v>
      </c>
      <c r="BD28" s="59"/>
      <c r="BE28" s="59"/>
      <c r="BF28" s="59"/>
      <c r="BG28" s="59"/>
      <c r="BH28" s="58"/>
      <c r="BI28" s="60">
        <f t="shared" ref="BI28:BI33" si="52">SUM(BD28:BH28)</f>
        <v>0</v>
      </c>
      <c r="BJ28" s="59"/>
      <c r="BK28" s="59"/>
      <c r="BL28" s="59"/>
      <c r="BM28" s="59"/>
      <c r="BN28" s="58"/>
      <c r="BO28" s="60">
        <f t="shared" ref="BO28:BO33" si="53">SUM(BJ28:BN28)</f>
        <v>0</v>
      </c>
    </row>
    <row r="29" spans="1:67" ht="22.5" customHeight="1">
      <c r="A29" s="185" t="s">
        <v>165</v>
      </c>
      <c r="B29" s="58"/>
      <c r="C29" s="58"/>
      <c r="D29" s="58"/>
      <c r="E29" s="58"/>
      <c r="F29" s="58"/>
      <c r="G29" s="12">
        <f t="shared" si="44"/>
        <v>0</v>
      </c>
      <c r="H29" s="59"/>
      <c r="I29" s="59"/>
      <c r="J29" s="59"/>
      <c r="K29" s="59"/>
      <c r="L29" s="58"/>
      <c r="M29" s="60">
        <f t="shared" si="45"/>
        <v>0</v>
      </c>
      <c r="N29" s="59"/>
      <c r="O29" s="59"/>
      <c r="P29" s="59"/>
      <c r="Q29" s="59"/>
      <c r="R29" s="58"/>
      <c r="S29" s="60">
        <f t="shared" si="46"/>
        <v>0</v>
      </c>
      <c r="T29" s="59"/>
      <c r="U29" s="59"/>
      <c r="V29" s="59"/>
      <c r="W29" s="59"/>
      <c r="X29" s="58"/>
      <c r="Y29" s="60">
        <f t="shared" si="47"/>
        <v>0</v>
      </c>
      <c r="Z29" s="59"/>
      <c r="AA29" s="59"/>
      <c r="AB29" s="59"/>
      <c r="AC29" s="59"/>
      <c r="AD29" s="58"/>
      <c r="AE29" s="60">
        <f t="shared" si="48"/>
        <v>0</v>
      </c>
      <c r="AF29" s="59"/>
      <c r="AG29" s="59"/>
      <c r="AH29" s="59"/>
      <c r="AI29" s="59"/>
      <c r="AJ29" s="58"/>
      <c r="AK29" s="113">
        <v>39</v>
      </c>
      <c r="AL29" s="58"/>
      <c r="AM29" s="58"/>
      <c r="AN29" s="58"/>
      <c r="AO29" s="58"/>
      <c r="AP29" s="58"/>
      <c r="AQ29" s="12">
        <f t="shared" si="49"/>
        <v>0</v>
      </c>
      <c r="AR29" s="59"/>
      <c r="AS29" s="59"/>
      <c r="AT29" s="59"/>
      <c r="AU29" s="59"/>
      <c r="AV29" s="58"/>
      <c r="AW29" s="60">
        <f t="shared" si="50"/>
        <v>0</v>
      </c>
      <c r="AX29" s="59"/>
      <c r="AY29" s="59"/>
      <c r="AZ29" s="59"/>
      <c r="BA29" s="59"/>
      <c r="BB29" s="58"/>
      <c r="BC29" s="60">
        <f t="shared" si="51"/>
        <v>0</v>
      </c>
      <c r="BD29" s="59"/>
      <c r="BE29" s="59"/>
      <c r="BF29" s="59"/>
      <c r="BG29" s="59"/>
      <c r="BH29" s="58"/>
      <c r="BI29" s="60">
        <f t="shared" si="52"/>
        <v>0</v>
      </c>
      <c r="BJ29" s="59"/>
      <c r="BK29" s="59"/>
      <c r="BL29" s="59"/>
      <c r="BM29" s="59"/>
      <c r="BN29" s="58"/>
      <c r="BO29" s="60">
        <f t="shared" si="53"/>
        <v>0</v>
      </c>
    </row>
    <row r="30" spans="1:67" ht="22.5" customHeight="1">
      <c r="A30" s="185" t="s">
        <v>166</v>
      </c>
      <c r="B30" s="58"/>
      <c r="C30" s="58"/>
      <c r="D30" s="58"/>
      <c r="E30" s="58"/>
      <c r="F30" s="58"/>
      <c r="G30" s="12">
        <f t="shared" si="44"/>
        <v>0</v>
      </c>
      <c r="H30" s="59"/>
      <c r="I30" s="59"/>
      <c r="J30" s="59"/>
      <c r="K30" s="59"/>
      <c r="L30" s="58"/>
      <c r="M30" s="60">
        <f t="shared" si="45"/>
        <v>0</v>
      </c>
      <c r="N30" s="59"/>
      <c r="O30" s="59"/>
      <c r="P30" s="59"/>
      <c r="Q30" s="59"/>
      <c r="R30" s="58"/>
      <c r="S30" s="60">
        <f t="shared" si="46"/>
        <v>0</v>
      </c>
      <c r="T30" s="59"/>
      <c r="U30" s="59"/>
      <c r="V30" s="59"/>
      <c r="W30" s="59"/>
      <c r="X30" s="58"/>
      <c r="Y30" s="60">
        <f t="shared" si="47"/>
        <v>0</v>
      </c>
      <c r="Z30" s="59"/>
      <c r="AA30" s="59"/>
      <c r="AB30" s="59"/>
      <c r="AC30" s="59"/>
      <c r="AD30" s="58"/>
      <c r="AE30" s="60">
        <f t="shared" si="48"/>
        <v>0</v>
      </c>
      <c r="AF30" s="59"/>
      <c r="AG30" s="59"/>
      <c r="AH30" s="59"/>
      <c r="AI30" s="59"/>
      <c r="AJ30" s="58"/>
      <c r="AK30" s="113">
        <v>77</v>
      </c>
      <c r="AL30" s="58"/>
      <c r="AM30" s="58"/>
      <c r="AN30" s="58"/>
      <c r="AO30" s="58"/>
      <c r="AP30" s="58"/>
      <c r="AQ30" s="12">
        <f t="shared" si="49"/>
        <v>0</v>
      </c>
      <c r="AR30" s="59"/>
      <c r="AS30" s="59"/>
      <c r="AT30" s="59"/>
      <c r="AU30" s="59"/>
      <c r="AV30" s="58"/>
      <c r="AW30" s="60">
        <f t="shared" si="50"/>
        <v>0</v>
      </c>
      <c r="AX30" s="59"/>
      <c r="AY30" s="59"/>
      <c r="AZ30" s="59"/>
      <c r="BA30" s="59"/>
      <c r="BB30" s="58"/>
      <c r="BC30" s="60">
        <f t="shared" si="51"/>
        <v>0</v>
      </c>
      <c r="BD30" s="59"/>
      <c r="BE30" s="59"/>
      <c r="BF30" s="59"/>
      <c r="BG30" s="59"/>
      <c r="BH30" s="58"/>
      <c r="BI30" s="60">
        <f t="shared" si="52"/>
        <v>0</v>
      </c>
      <c r="BJ30" s="59"/>
      <c r="BK30" s="59"/>
      <c r="BL30" s="59"/>
      <c r="BM30" s="59"/>
      <c r="BN30" s="58"/>
      <c r="BO30" s="60">
        <f t="shared" si="53"/>
        <v>0</v>
      </c>
    </row>
    <row r="31" spans="1:67" ht="22.5" customHeight="1">
      <c r="A31" s="185" t="s">
        <v>167</v>
      </c>
      <c r="B31" s="58"/>
      <c r="C31" s="58"/>
      <c r="D31" s="58"/>
      <c r="E31" s="58"/>
      <c r="F31" s="58"/>
      <c r="G31" s="12">
        <f t="shared" si="44"/>
        <v>0</v>
      </c>
      <c r="H31" s="59"/>
      <c r="I31" s="59"/>
      <c r="J31" s="59"/>
      <c r="K31" s="59"/>
      <c r="L31" s="58"/>
      <c r="M31" s="60">
        <f t="shared" si="45"/>
        <v>0</v>
      </c>
      <c r="N31" s="59"/>
      <c r="O31" s="59"/>
      <c r="P31" s="59"/>
      <c r="Q31" s="59"/>
      <c r="R31" s="58"/>
      <c r="S31" s="60">
        <f t="shared" si="46"/>
        <v>0</v>
      </c>
      <c r="T31" s="59"/>
      <c r="U31" s="59"/>
      <c r="V31" s="59"/>
      <c r="W31" s="59"/>
      <c r="X31" s="58"/>
      <c r="Y31" s="60">
        <f t="shared" si="47"/>
        <v>0</v>
      </c>
      <c r="Z31" s="59"/>
      <c r="AA31" s="59"/>
      <c r="AB31" s="59"/>
      <c r="AC31" s="59"/>
      <c r="AD31" s="58"/>
      <c r="AE31" s="60">
        <f t="shared" si="48"/>
        <v>0</v>
      </c>
      <c r="AF31" s="59"/>
      <c r="AG31" s="59"/>
      <c r="AH31" s="59"/>
      <c r="AI31" s="59"/>
      <c r="AJ31" s="58"/>
      <c r="AK31" s="113">
        <v>32</v>
      </c>
      <c r="AL31" s="58"/>
      <c r="AM31" s="58"/>
      <c r="AN31" s="58"/>
      <c r="AO31" s="58"/>
      <c r="AP31" s="58"/>
      <c r="AQ31" s="12">
        <f t="shared" si="49"/>
        <v>0</v>
      </c>
      <c r="AR31" s="59"/>
      <c r="AS31" s="59"/>
      <c r="AT31" s="59"/>
      <c r="AU31" s="59"/>
      <c r="AV31" s="58"/>
      <c r="AW31" s="60">
        <f t="shared" si="50"/>
        <v>0</v>
      </c>
      <c r="AX31" s="59"/>
      <c r="AY31" s="59"/>
      <c r="AZ31" s="59"/>
      <c r="BA31" s="59"/>
      <c r="BB31" s="58"/>
      <c r="BC31" s="60">
        <f t="shared" si="51"/>
        <v>0</v>
      </c>
      <c r="BD31" s="59"/>
      <c r="BE31" s="59"/>
      <c r="BF31" s="59"/>
      <c r="BG31" s="59"/>
      <c r="BH31" s="58"/>
      <c r="BI31" s="60">
        <f t="shared" si="52"/>
        <v>0</v>
      </c>
      <c r="BJ31" s="59"/>
      <c r="BK31" s="59"/>
      <c r="BL31" s="59"/>
      <c r="BM31" s="59"/>
      <c r="BN31" s="58"/>
      <c r="BO31" s="60">
        <f t="shared" si="53"/>
        <v>0</v>
      </c>
    </row>
    <row r="32" spans="1:67" ht="22.5" customHeight="1">
      <c r="A32" s="185" t="s">
        <v>168</v>
      </c>
      <c r="B32" s="58"/>
      <c r="C32" s="58"/>
      <c r="D32" s="58"/>
      <c r="E32" s="58"/>
      <c r="F32" s="58"/>
      <c r="G32" s="12">
        <f t="shared" si="44"/>
        <v>0</v>
      </c>
      <c r="H32" s="59"/>
      <c r="I32" s="59"/>
      <c r="J32" s="59"/>
      <c r="K32" s="59"/>
      <c r="L32" s="58"/>
      <c r="M32" s="60">
        <f t="shared" si="45"/>
        <v>0</v>
      </c>
      <c r="N32" s="59"/>
      <c r="O32" s="59"/>
      <c r="P32" s="59"/>
      <c r="Q32" s="59"/>
      <c r="R32" s="58"/>
      <c r="S32" s="60">
        <f t="shared" si="46"/>
        <v>0</v>
      </c>
      <c r="T32" s="59"/>
      <c r="U32" s="59"/>
      <c r="V32" s="59"/>
      <c r="W32" s="59"/>
      <c r="X32" s="58"/>
      <c r="Y32" s="60">
        <f t="shared" si="47"/>
        <v>0</v>
      </c>
      <c r="Z32" s="59"/>
      <c r="AA32" s="59"/>
      <c r="AB32" s="59"/>
      <c r="AC32" s="59"/>
      <c r="AD32" s="58"/>
      <c r="AE32" s="60">
        <f t="shared" si="48"/>
        <v>0</v>
      </c>
      <c r="AF32" s="59"/>
      <c r="AG32" s="59"/>
      <c r="AH32" s="59"/>
      <c r="AI32" s="59"/>
      <c r="AJ32" s="58"/>
      <c r="AK32" s="113">
        <v>39</v>
      </c>
      <c r="AL32" s="58"/>
      <c r="AM32" s="58"/>
      <c r="AN32" s="58"/>
      <c r="AO32" s="58"/>
      <c r="AP32" s="58"/>
      <c r="AQ32" s="12">
        <f t="shared" si="49"/>
        <v>0</v>
      </c>
      <c r="AR32" s="59"/>
      <c r="AS32" s="59"/>
      <c r="AT32" s="59"/>
      <c r="AU32" s="59"/>
      <c r="AV32" s="58"/>
      <c r="AW32" s="60">
        <f t="shared" si="50"/>
        <v>0</v>
      </c>
      <c r="AX32" s="59"/>
      <c r="AY32" s="59"/>
      <c r="AZ32" s="59"/>
      <c r="BA32" s="59"/>
      <c r="BB32" s="58"/>
      <c r="BC32" s="60">
        <f t="shared" si="51"/>
        <v>0</v>
      </c>
      <c r="BD32" s="59"/>
      <c r="BE32" s="59"/>
      <c r="BF32" s="59"/>
      <c r="BG32" s="59"/>
      <c r="BH32" s="58"/>
      <c r="BI32" s="60">
        <f t="shared" si="52"/>
        <v>0</v>
      </c>
      <c r="BJ32" s="59"/>
      <c r="BK32" s="59"/>
      <c r="BL32" s="59"/>
      <c r="BM32" s="59"/>
      <c r="BN32" s="58"/>
      <c r="BO32" s="60">
        <f t="shared" si="53"/>
        <v>0</v>
      </c>
    </row>
    <row r="33" spans="1:67" ht="22.5" customHeight="1">
      <c r="A33" s="185" t="s">
        <v>59</v>
      </c>
      <c r="B33" s="58"/>
      <c r="C33" s="58"/>
      <c r="D33" s="58"/>
      <c r="E33" s="58"/>
      <c r="F33" s="58"/>
      <c r="G33" s="12">
        <f t="shared" si="44"/>
        <v>0</v>
      </c>
      <c r="H33" s="59"/>
      <c r="I33" s="59"/>
      <c r="J33" s="59"/>
      <c r="K33" s="59"/>
      <c r="L33" s="58"/>
      <c r="M33" s="60">
        <f t="shared" si="45"/>
        <v>0</v>
      </c>
      <c r="N33" s="59"/>
      <c r="O33" s="59"/>
      <c r="P33" s="59"/>
      <c r="Q33" s="59"/>
      <c r="R33" s="58"/>
      <c r="S33" s="60">
        <f t="shared" si="46"/>
        <v>0</v>
      </c>
      <c r="T33" s="59"/>
      <c r="U33" s="59"/>
      <c r="V33" s="59"/>
      <c r="W33" s="59"/>
      <c r="X33" s="58"/>
      <c r="Y33" s="60">
        <f t="shared" si="47"/>
        <v>0</v>
      </c>
      <c r="Z33" s="59"/>
      <c r="AA33" s="59"/>
      <c r="AB33" s="59"/>
      <c r="AC33" s="59"/>
      <c r="AD33" s="58"/>
      <c r="AE33" s="60">
        <f t="shared" si="48"/>
        <v>0</v>
      </c>
      <c r="AF33" s="59"/>
      <c r="AG33" s="59"/>
      <c r="AH33" s="59"/>
      <c r="AI33" s="59"/>
      <c r="AJ33" s="58"/>
      <c r="AK33" s="113">
        <v>27</v>
      </c>
      <c r="AL33" s="58"/>
      <c r="AM33" s="58"/>
      <c r="AN33" s="58"/>
      <c r="AO33" s="58"/>
      <c r="AP33" s="58"/>
      <c r="AQ33" s="12">
        <f t="shared" si="49"/>
        <v>0</v>
      </c>
      <c r="AR33" s="59"/>
      <c r="AS33" s="59"/>
      <c r="AT33" s="59"/>
      <c r="AU33" s="59"/>
      <c r="AV33" s="58"/>
      <c r="AW33" s="60">
        <f t="shared" si="50"/>
        <v>0</v>
      </c>
      <c r="AX33" s="59"/>
      <c r="AY33" s="59"/>
      <c r="AZ33" s="59"/>
      <c r="BA33" s="59"/>
      <c r="BB33" s="58"/>
      <c r="BC33" s="60">
        <f t="shared" si="51"/>
        <v>0</v>
      </c>
      <c r="BD33" s="59"/>
      <c r="BE33" s="59"/>
      <c r="BF33" s="59"/>
      <c r="BG33" s="59"/>
      <c r="BH33" s="58"/>
      <c r="BI33" s="60">
        <f t="shared" si="52"/>
        <v>0</v>
      </c>
      <c r="BJ33" s="59"/>
      <c r="BK33" s="59"/>
      <c r="BL33" s="59"/>
      <c r="BM33" s="59"/>
      <c r="BN33" s="58"/>
      <c r="BO33" s="60">
        <f t="shared" si="53"/>
        <v>0</v>
      </c>
    </row>
    <row r="34" spans="1:67" ht="22.5" customHeight="1" thickBot="1">
      <c r="A34" s="186" t="s">
        <v>12</v>
      </c>
      <c r="B34" s="62" t="e">
        <f>AVERAGE(B27:B33)</f>
        <v>#DIV/0!</v>
      </c>
      <c r="C34" s="62">
        <f>SUM(C27:C33)</f>
        <v>0</v>
      </c>
      <c r="D34" s="62">
        <f>SUM(D27:D33)</f>
        <v>0</v>
      </c>
      <c r="E34" s="62">
        <f>SUM(E27:E33)</f>
        <v>0</v>
      </c>
      <c r="F34" s="62">
        <f>SUM(F27:F33)</f>
        <v>0</v>
      </c>
      <c r="G34" s="63">
        <f>SUM(G27:G33)</f>
        <v>0</v>
      </c>
      <c r="H34" s="62" t="e">
        <f>AVERAGE(H27:H33)</f>
        <v>#DIV/0!</v>
      </c>
      <c r="I34" s="62" t="e">
        <f t="shared" ref="I34:K34" si="54">AVERAGE(I27:I33)</f>
        <v>#DIV/0!</v>
      </c>
      <c r="J34" s="62" t="e">
        <f t="shared" si="54"/>
        <v>#DIV/0!</v>
      </c>
      <c r="K34" s="62" t="e">
        <f t="shared" si="54"/>
        <v>#DIV/0!</v>
      </c>
      <c r="L34" s="62">
        <f>SUM(L27:L33)</f>
        <v>0</v>
      </c>
      <c r="M34" s="63">
        <f>SUM(M27:M33)</f>
        <v>0</v>
      </c>
      <c r="N34" s="62" t="e">
        <f>AVERAGE(N27:N33)</f>
        <v>#DIV/0!</v>
      </c>
      <c r="O34" s="62" t="e">
        <f t="shared" ref="O34:Q34" si="55">AVERAGE(O27:O33)</f>
        <v>#DIV/0!</v>
      </c>
      <c r="P34" s="62" t="e">
        <f t="shared" si="55"/>
        <v>#DIV/0!</v>
      </c>
      <c r="Q34" s="62" t="e">
        <f t="shared" si="55"/>
        <v>#DIV/0!</v>
      </c>
      <c r="R34" s="62">
        <v>352</v>
      </c>
      <c r="S34" s="63">
        <f>SUM(S27:S33)</f>
        <v>0</v>
      </c>
      <c r="T34" s="62" t="e">
        <f>AVERAGE(T27:T33)</f>
        <v>#DIV/0!</v>
      </c>
      <c r="U34" s="62" t="e">
        <f t="shared" ref="U34:X34" si="56">AVERAGE(U27:U33)</f>
        <v>#DIV/0!</v>
      </c>
      <c r="V34" s="62" t="e">
        <f t="shared" si="56"/>
        <v>#DIV/0!</v>
      </c>
      <c r="W34" s="62" t="e">
        <f t="shared" si="56"/>
        <v>#DIV/0!</v>
      </c>
      <c r="X34" s="62" t="e">
        <f t="shared" si="56"/>
        <v>#DIV/0!</v>
      </c>
      <c r="Y34" s="63">
        <f>SUM(Y27:Y33)</f>
        <v>0</v>
      </c>
      <c r="Z34" s="62" t="e">
        <f>AVERAGE(Z27:Z33)</f>
        <v>#DIV/0!</v>
      </c>
      <c r="AA34" s="62" t="e">
        <f t="shared" ref="AA34:AD34" si="57">AVERAGE(AA27:AA33)</f>
        <v>#DIV/0!</v>
      </c>
      <c r="AB34" s="62" t="e">
        <f t="shared" si="57"/>
        <v>#DIV/0!</v>
      </c>
      <c r="AC34" s="62" t="e">
        <f t="shared" si="57"/>
        <v>#DIV/0!</v>
      </c>
      <c r="AD34" s="62" t="e">
        <f t="shared" si="57"/>
        <v>#DIV/0!</v>
      </c>
      <c r="AE34" s="63">
        <f>SUM(AE27:AE33)</f>
        <v>0</v>
      </c>
      <c r="AF34" s="62" t="e">
        <f>AVERAGE(AF27:AF33)</f>
        <v>#DIV/0!</v>
      </c>
      <c r="AG34" s="62" t="e">
        <f t="shared" ref="AG34:AJ34" si="58">AVERAGE(AG27:AG33)</f>
        <v>#DIV/0!</v>
      </c>
      <c r="AH34" s="62" t="e">
        <f t="shared" si="58"/>
        <v>#DIV/0!</v>
      </c>
      <c r="AI34" s="62" t="e">
        <f t="shared" si="58"/>
        <v>#DIV/0!</v>
      </c>
      <c r="AJ34" s="62" t="e">
        <f t="shared" si="58"/>
        <v>#DIV/0!</v>
      </c>
      <c r="AK34" s="114">
        <f>SUM(AK27:AK33)</f>
        <v>355</v>
      </c>
      <c r="AL34" s="62" t="e">
        <f>AVERAGE(AL27:AL33)</f>
        <v>#DIV/0!</v>
      </c>
      <c r="AM34" s="62">
        <f>SUM(AM27:AM33)</f>
        <v>0</v>
      </c>
      <c r="AN34" s="62">
        <f>SUM(AN27:AN33)</f>
        <v>0</v>
      </c>
      <c r="AO34" s="62">
        <f>SUM(AO27:AO33)</f>
        <v>0</v>
      </c>
      <c r="AP34" s="62">
        <f>SUM(AP27:AP33)</f>
        <v>0</v>
      </c>
      <c r="AQ34" s="63">
        <f>SUM(AQ27:AQ33)</f>
        <v>0</v>
      </c>
      <c r="AR34" s="62" t="e">
        <f>AVERAGE(AR27:AR33)</f>
        <v>#DIV/0!</v>
      </c>
      <c r="AS34" s="62" t="e">
        <f t="shared" ref="AS34:AU34" si="59">AVERAGE(AS27:AS33)</f>
        <v>#DIV/0!</v>
      </c>
      <c r="AT34" s="62" t="e">
        <f t="shared" si="59"/>
        <v>#DIV/0!</v>
      </c>
      <c r="AU34" s="62" t="e">
        <f t="shared" si="59"/>
        <v>#DIV/0!</v>
      </c>
      <c r="AV34" s="62"/>
      <c r="AW34" s="63">
        <f>SUM(AW27:AW33)</f>
        <v>0</v>
      </c>
      <c r="AX34" s="62" t="e">
        <f>AVERAGE(AX27:AX33)</f>
        <v>#DIV/0!</v>
      </c>
      <c r="AY34" s="62" t="e">
        <f t="shared" ref="AY34:BA34" si="60">AVERAGE(AY27:AY33)</f>
        <v>#DIV/0!</v>
      </c>
      <c r="AZ34" s="62" t="e">
        <f t="shared" si="60"/>
        <v>#DIV/0!</v>
      </c>
      <c r="BA34" s="62" t="e">
        <f t="shared" si="60"/>
        <v>#DIV/0!</v>
      </c>
      <c r="BB34" s="62">
        <v>352</v>
      </c>
      <c r="BC34" s="63">
        <f>SUM(BC27:BC33)</f>
        <v>0</v>
      </c>
      <c r="BD34" s="62" t="e">
        <f>AVERAGE(BD27:BD33)</f>
        <v>#DIV/0!</v>
      </c>
      <c r="BE34" s="62" t="e">
        <f t="shared" ref="BE34:BH34" si="61">AVERAGE(BE27:BE33)</f>
        <v>#DIV/0!</v>
      </c>
      <c r="BF34" s="62" t="e">
        <f t="shared" si="61"/>
        <v>#DIV/0!</v>
      </c>
      <c r="BG34" s="62" t="e">
        <f t="shared" si="61"/>
        <v>#DIV/0!</v>
      </c>
      <c r="BH34" s="62" t="e">
        <f t="shared" si="61"/>
        <v>#DIV/0!</v>
      </c>
      <c r="BI34" s="63">
        <f>SUM(BI27:BI33)</f>
        <v>0</v>
      </c>
      <c r="BJ34" s="62" t="e">
        <f>AVERAGE(BJ27:BJ33)</f>
        <v>#DIV/0!</v>
      </c>
      <c r="BK34" s="62" t="e">
        <f t="shared" ref="BK34:BN34" si="62">AVERAGE(BK27:BK33)</f>
        <v>#DIV/0!</v>
      </c>
      <c r="BL34" s="62" t="e">
        <f t="shared" si="62"/>
        <v>#DIV/0!</v>
      </c>
      <c r="BM34" s="62" t="e">
        <f t="shared" si="62"/>
        <v>#DIV/0!</v>
      </c>
      <c r="BN34" s="62" t="e">
        <f t="shared" si="62"/>
        <v>#DIV/0!</v>
      </c>
      <c r="BO34" s="63">
        <f>SUM(BO27:BO33)</f>
        <v>0</v>
      </c>
    </row>
    <row r="35" spans="1:67" ht="22.5" customHeight="1">
      <c r="A35" s="112" t="s">
        <v>33</v>
      </c>
      <c r="B35" s="59"/>
      <c r="C35" s="59"/>
      <c r="D35" s="59"/>
      <c r="E35" s="59"/>
      <c r="F35" s="58"/>
      <c r="G35" s="60">
        <f>SUM(B35:F35)</f>
        <v>0</v>
      </c>
      <c r="H35" s="59"/>
      <c r="I35" s="59"/>
      <c r="J35" s="59"/>
      <c r="K35" s="59"/>
      <c r="L35" s="58"/>
      <c r="M35" s="60">
        <f>SUM(H35:L35)</f>
        <v>0</v>
      </c>
      <c r="N35" s="59"/>
      <c r="O35" s="59"/>
      <c r="P35" s="59"/>
      <c r="Q35" s="59"/>
      <c r="R35" s="58"/>
      <c r="S35" s="60">
        <f>SUM(N35:R35)</f>
        <v>0</v>
      </c>
      <c r="T35" s="59"/>
      <c r="U35" s="59"/>
      <c r="V35" s="59"/>
      <c r="W35" s="59"/>
      <c r="X35" s="58"/>
      <c r="Y35" s="60">
        <f>SUM(T35:X35)</f>
        <v>0</v>
      </c>
      <c r="Z35" s="59"/>
      <c r="AA35" s="59"/>
      <c r="AB35" s="59"/>
      <c r="AC35" s="59"/>
      <c r="AD35" s="58"/>
      <c r="AE35" s="60">
        <f>SUM(Z35:AD35)</f>
        <v>0</v>
      </c>
      <c r="AF35" s="59"/>
      <c r="AG35" s="59"/>
      <c r="AH35" s="59"/>
      <c r="AI35" s="59"/>
      <c r="AJ35" s="58"/>
      <c r="AK35" s="113">
        <f>SUM(AF35:AJ35)</f>
        <v>0</v>
      </c>
      <c r="AL35" s="59"/>
      <c r="AM35" s="59"/>
      <c r="AN35" s="59"/>
      <c r="AO35" s="59"/>
      <c r="AP35" s="58"/>
      <c r="AQ35" s="60">
        <f>SUM(AL35:AP35)</f>
        <v>0</v>
      </c>
      <c r="AR35" s="59"/>
      <c r="AS35" s="59"/>
      <c r="AT35" s="59"/>
      <c r="AU35" s="59"/>
      <c r="AV35" s="58"/>
      <c r="AW35" s="60">
        <f>SUM(AR35:AV35)</f>
        <v>0</v>
      </c>
      <c r="AX35" s="59"/>
      <c r="AY35" s="59"/>
      <c r="AZ35" s="59"/>
      <c r="BA35" s="59"/>
      <c r="BB35" s="58"/>
      <c r="BC35" s="60">
        <f>SUM(AX35:BB35)</f>
        <v>0</v>
      </c>
      <c r="BD35" s="59"/>
      <c r="BE35" s="59"/>
      <c r="BF35" s="59"/>
      <c r="BG35" s="59"/>
      <c r="BH35" s="58"/>
      <c r="BI35" s="60">
        <f>SUM(BD35:BH35)</f>
        <v>0</v>
      </c>
      <c r="BJ35" s="59"/>
      <c r="BK35" s="59"/>
      <c r="BL35" s="59"/>
      <c r="BM35" s="59"/>
      <c r="BN35" s="58"/>
      <c r="BO35" s="60">
        <f>SUM(BJ35:BN35)</f>
        <v>0</v>
      </c>
    </row>
    <row r="36" spans="1:67" ht="22.5" customHeight="1" thickBot="1">
      <c r="A36" s="116" t="s">
        <v>34</v>
      </c>
      <c r="B36" s="117"/>
      <c r="C36" s="117"/>
      <c r="D36" s="117"/>
      <c r="E36" s="117"/>
      <c r="F36" s="117"/>
      <c r="G36" s="118">
        <f>F36</f>
        <v>0</v>
      </c>
      <c r="H36" s="117"/>
      <c r="I36" s="117"/>
      <c r="J36" s="117"/>
      <c r="K36" s="117"/>
      <c r="L36" s="117"/>
      <c r="M36" s="118">
        <f>SUM(H36:L36)</f>
        <v>0</v>
      </c>
      <c r="N36" s="117"/>
      <c r="O36" s="117"/>
      <c r="P36" s="117"/>
      <c r="Q36" s="117"/>
      <c r="R36" s="117"/>
      <c r="S36" s="118">
        <f>SUM(N36:R36)</f>
        <v>0</v>
      </c>
      <c r="T36" s="117"/>
      <c r="U36" s="117"/>
      <c r="V36" s="117"/>
      <c r="W36" s="117"/>
      <c r="X36" s="117"/>
      <c r="Y36" s="118">
        <f>SUM(T36:X36)</f>
        <v>0</v>
      </c>
      <c r="Z36" s="117"/>
      <c r="AA36" s="117"/>
      <c r="AB36" s="117"/>
      <c r="AC36" s="117"/>
      <c r="AD36" s="117"/>
      <c r="AE36" s="118">
        <f>SUM(Z36:AD36)</f>
        <v>0</v>
      </c>
      <c r="AF36" s="117"/>
      <c r="AG36" s="117"/>
      <c r="AH36" s="117"/>
      <c r="AI36" s="117"/>
      <c r="AJ36" s="117"/>
      <c r="AK36" s="119"/>
      <c r="AL36" s="117"/>
      <c r="AM36" s="117"/>
      <c r="AN36" s="117"/>
      <c r="AO36" s="117"/>
      <c r="AP36" s="117"/>
      <c r="AQ36" s="118">
        <f>AP36</f>
        <v>0</v>
      </c>
      <c r="AR36" s="117"/>
      <c r="AS36" s="117"/>
      <c r="AT36" s="117"/>
      <c r="AU36" s="117"/>
      <c r="AV36" s="117"/>
      <c r="AW36" s="118">
        <f>SUM(AR36:AV36)</f>
        <v>0</v>
      </c>
      <c r="AX36" s="117"/>
      <c r="AY36" s="117"/>
      <c r="AZ36" s="117"/>
      <c r="BA36" s="117"/>
      <c r="BB36" s="117"/>
      <c r="BC36" s="118">
        <f>SUM(AX36:BB36)</f>
        <v>0</v>
      </c>
      <c r="BD36" s="117"/>
      <c r="BE36" s="117"/>
      <c r="BF36" s="117"/>
      <c r="BG36" s="117"/>
      <c r="BH36" s="117"/>
      <c r="BI36" s="118">
        <f>SUM(BD36:BH36)</f>
        <v>0</v>
      </c>
      <c r="BJ36" s="117"/>
      <c r="BK36" s="117"/>
      <c r="BL36" s="117"/>
      <c r="BM36" s="117"/>
      <c r="BN36" s="117"/>
      <c r="BO36" s="118">
        <f>SUM(BJ36:BN36)</f>
        <v>0</v>
      </c>
    </row>
    <row r="37" spans="1:67" ht="22.5" customHeight="1"/>
    <row r="38" spans="1:67" ht="22.5" customHeight="1"/>
  </sheetData>
  <mergeCells count="56">
    <mergeCell ref="BD2:BH2"/>
    <mergeCell ref="BJ2:BN2"/>
    <mergeCell ref="A1:M1"/>
    <mergeCell ref="B2:F2"/>
    <mergeCell ref="H2:L2"/>
    <mergeCell ref="N2:R2"/>
    <mergeCell ref="T2:X2"/>
    <mergeCell ref="Z2:AD2"/>
    <mergeCell ref="AF4:AJ4"/>
    <mergeCell ref="AF2:AJ2"/>
    <mergeCell ref="AL2:AP2"/>
    <mergeCell ref="AR2:AV2"/>
    <mergeCell ref="AX2:BB2"/>
    <mergeCell ref="B4:F4"/>
    <mergeCell ref="H4:L4"/>
    <mergeCell ref="N4:R4"/>
    <mergeCell ref="T4:X4"/>
    <mergeCell ref="Z4:AD4"/>
    <mergeCell ref="B5:G5"/>
    <mergeCell ref="H5:M5"/>
    <mergeCell ref="N5:S5"/>
    <mergeCell ref="T5:Y5"/>
    <mergeCell ref="Z5:AE5"/>
    <mergeCell ref="BD5:BI5"/>
    <mergeCell ref="BJ5:BO5"/>
    <mergeCell ref="AL4:AP4"/>
    <mergeCell ref="AR4:AV4"/>
    <mergeCell ref="AX4:BB4"/>
    <mergeCell ref="BD4:BH4"/>
    <mergeCell ref="BJ4:BN4"/>
    <mergeCell ref="AF16:AK16"/>
    <mergeCell ref="AF5:AK5"/>
    <mergeCell ref="AL5:AQ5"/>
    <mergeCell ref="AR5:AW5"/>
    <mergeCell ref="AX5:BC5"/>
    <mergeCell ref="B16:G16"/>
    <mergeCell ref="H16:M16"/>
    <mergeCell ref="N16:S16"/>
    <mergeCell ref="T16:Y16"/>
    <mergeCell ref="Z16:AE16"/>
    <mergeCell ref="B26:G26"/>
    <mergeCell ref="H26:M26"/>
    <mergeCell ref="N26:S26"/>
    <mergeCell ref="T26:Y26"/>
    <mergeCell ref="Z26:AE26"/>
    <mergeCell ref="BJ26:BO26"/>
    <mergeCell ref="AL16:AQ16"/>
    <mergeCell ref="AR16:AW16"/>
    <mergeCell ref="AX16:BC16"/>
    <mergeCell ref="BD16:BI16"/>
    <mergeCell ref="BJ16:BO16"/>
    <mergeCell ref="AF26:AK26"/>
    <mergeCell ref="AL26:AQ26"/>
    <mergeCell ref="AR26:AW26"/>
    <mergeCell ref="AX26:BC26"/>
    <mergeCell ref="BD26:BI26"/>
  </mergeCells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3266-8E85-4291-857D-520E5D40EEC5}">
  <dimension ref="A1:Q30"/>
  <sheetViews>
    <sheetView topLeftCell="A17" workbookViewId="0">
      <selection activeCell="F31" sqref="F31"/>
    </sheetView>
  </sheetViews>
  <sheetFormatPr defaultRowHeight="15"/>
  <cols>
    <col min="1" max="1" width="25.7109375" customWidth="1"/>
    <col min="2" max="16" width="11.7109375" customWidth="1"/>
    <col min="17" max="17" width="12.5703125" customWidth="1"/>
  </cols>
  <sheetData>
    <row r="1" spans="1:17" ht="26.25">
      <c r="A1" s="561" t="s">
        <v>170</v>
      </c>
      <c r="B1" s="561"/>
      <c r="C1" s="561"/>
      <c r="D1" s="561"/>
      <c r="E1" s="561"/>
      <c r="F1" s="561"/>
      <c r="G1" s="561"/>
      <c r="H1" s="561"/>
      <c r="I1" s="561"/>
      <c r="J1" s="561"/>
      <c r="K1" s="561"/>
      <c r="L1" s="561"/>
      <c r="M1" s="561"/>
      <c r="N1" s="561"/>
      <c r="O1" s="561"/>
      <c r="P1" s="561"/>
      <c r="Q1" s="21"/>
    </row>
    <row r="2" spans="1:17" ht="26.25">
      <c r="A2" s="559" t="s">
        <v>171</v>
      </c>
      <c r="B2" s="559"/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21"/>
    </row>
    <row r="3" spans="1:17" ht="18.75">
      <c r="A3" s="22"/>
      <c r="B3" s="560" t="s">
        <v>172</v>
      </c>
      <c r="C3" s="560"/>
      <c r="D3" s="560"/>
      <c r="E3" s="560" t="s">
        <v>36</v>
      </c>
      <c r="F3" s="560"/>
      <c r="G3" s="560"/>
      <c r="H3" s="560" t="s">
        <v>37</v>
      </c>
      <c r="I3" s="560"/>
      <c r="J3" s="560"/>
      <c r="K3" s="560" t="s">
        <v>38</v>
      </c>
      <c r="L3" s="560"/>
      <c r="M3" s="560"/>
      <c r="N3" s="560" t="s">
        <v>39</v>
      </c>
      <c r="O3" s="560"/>
      <c r="P3" s="560"/>
      <c r="Q3" s="21"/>
    </row>
    <row r="4" spans="1:17" ht="18.75">
      <c r="A4" s="23" t="s">
        <v>173</v>
      </c>
      <c r="B4" s="24" t="s">
        <v>174</v>
      </c>
      <c r="C4" s="25" t="s">
        <v>175</v>
      </c>
      <c r="D4" s="26" t="s">
        <v>176</v>
      </c>
      <c r="E4" s="24" t="s">
        <v>174</v>
      </c>
      <c r="F4" s="25" t="s">
        <v>175</v>
      </c>
      <c r="G4" s="27" t="s">
        <v>176</v>
      </c>
      <c r="H4" s="24" t="s">
        <v>174</v>
      </c>
      <c r="I4" s="25" t="s">
        <v>175</v>
      </c>
      <c r="J4" s="27" t="s">
        <v>176</v>
      </c>
      <c r="K4" s="24" t="s">
        <v>174</v>
      </c>
      <c r="L4" s="25" t="s">
        <v>175</v>
      </c>
      <c r="M4" s="27" t="s">
        <v>176</v>
      </c>
      <c r="N4" s="24" t="s">
        <v>174</v>
      </c>
      <c r="O4" s="25" t="s">
        <v>175</v>
      </c>
      <c r="P4" s="27" t="s">
        <v>176</v>
      </c>
      <c r="Q4" s="23" t="s">
        <v>177</v>
      </c>
    </row>
    <row r="5" spans="1:17" ht="18.75">
      <c r="A5" s="28" t="s">
        <v>178</v>
      </c>
      <c r="B5" s="29">
        <v>0.17949999999999999</v>
      </c>
      <c r="C5" s="30">
        <v>0.17949999999999999</v>
      </c>
      <c r="D5" s="31">
        <f>C5-B5</f>
        <v>0</v>
      </c>
      <c r="E5" s="29">
        <v>9.4200000000000006E-2</v>
      </c>
      <c r="F5" s="30">
        <v>9.4200000000000006E-2</v>
      </c>
      <c r="G5" s="32">
        <f>F5-E5</f>
        <v>0</v>
      </c>
      <c r="H5" s="29">
        <v>8.9700000000000002E-2</v>
      </c>
      <c r="I5" s="30">
        <v>9.4200000000000006E-2</v>
      </c>
      <c r="J5" s="33">
        <f>I5-H5</f>
        <v>4.500000000000004E-3</v>
      </c>
      <c r="K5" s="34">
        <v>8.9700000000000002E-2</v>
      </c>
      <c r="L5" s="35">
        <v>8.9700000000000002E-2</v>
      </c>
      <c r="M5" s="33">
        <f>L5-K5</f>
        <v>0</v>
      </c>
      <c r="N5" s="34">
        <v>8.9700000000000002E-2</v>
      </c>
      <c r="O5" s="35">
        <v>9.4200000000000006E-2</v>
      </c>
      <c r="P5" s="33">
        <f>O5-N5</f>
        <v>4.500000000000004E-3</v>
      </c>
      <c r="Q5" s="36">
        <f>SUM(D5,G5,J5,M5,P5)</f>
        <v>9.000000000000008E-3</v>
      </c>
    </row>
    <row r="6" spans="1:17" ht="18.75">
      <c r="A6" s="37" t="s">
        <v>179</v>
      </c>
      <c r="B6" s="29">
        <v>0.16669999999999999</v>
      </c>
      <c r="C6" s="30">
        <v>0.1341</v>
      </c>
      <c r="D6" s="38">
        <f t="shared" ref="D6:D13" si="0">C6-B6</f>
        <v>-3.259999999999999E-2</v>
      </c>
      <c r="E6" s="29">
        <v>8.3299999999999999E-2</v>
      </c>
      <c r="F6" s="39">
        <v>7.3499999999999996E-2</v>
      </c>
      <c r="G6" s="40">
        <f t="shared" ref="G6:G13" si="1">F6-E6</f>
        <v>-9.8000000000000032E-3</v>
      </c>
      <c r="H6" s="29">
        <v>8.3299999999999999E-2</v>
      </c>
      <c r="I6" s="39">
        <v>8.2699999999999996E-2</v>
      </c>
      <c r="J6" s="40">
        <f t="shared" ref="J6:J13" si="2">I6-H6</f>
        <v>-6.0000000000000331E-4</v>
      </c>
      <c r="K6" s="29">
        <v>8.3299999999999999E-2</v>
      </c>
      <c r="L6" s="39">
        <v>0.32</v>
      </c>
      <c r="M6" s="33">
        <f t="shared" ref="M6:M13" si="3">L6-K6</f>
        <v>0.23670000000000002</v>
      </c>
      <c r="N6" s="29">
        <v>8.3299999999999999E-2</v>
      </c>
      <c r="O6" s="39">
        <v>0.35039999999999999</v>
      </c>
      <c r="P6" s="33">
        <f t="shared" ref="P6:P13" si="4">O6-N6</f>
        <v>0.2671</v>
      </c>
      <c r="Q6" s="41">
        <f t="shared" ref="Q6:Q13" si="5">SUM(D6,G6,J6,M6,P6)</f>
        <v>0.46080000000000004</v>
      </c>
    </row>
    <row r="7" spans="1:17" ht="18.75">
      <c r="A7" s="37" t="s">
        <v>180</v>
      </c>
      <c r="B7" s="29">
        <v>0.16669999999999999</v>
      </c>
      <c r="C7" s="30">
        <v>4.1000000000000003E-3</v>
      </c>
      <c r="D7" s="38">
        <f t="shared" si="0"/>
        <v>-0.16259999999999999</v>
      </c>
      <c r="E7" s="29">
        <v>8.3299999999999999E-2</v>
      </c>
      <c r="F7" s="39">
        <v>3.1399999999999997E-2</v>
      </c>
      <c r="G7" s="40">
        <f t="shared" si="1"/>
        <v>-5.1900000000000002E-2</v>
      </c>
      <c r="H7" s="29">
        <v>8.3299999999999999E-2</v>
      </c>
      <c r="I7" s="39">
        <v>1.15E-2</v>
      </c>
      <c r="J7" s="40">
        <f t="shared" si="2"/>
        <v>-7.1800000000000003E-2</v>
      </c>
      <c r="K7" s="29">
        <v>8.3299999999999999E-2</v>
      </c>
      <c r="L7" s="39">
        <v>6.8599999999999994E-2</v>
      </c>
      <c r="M7" s="33">
        <f t="shared" si="3"/>
        <v>-1.4700000000000005E-2</v>
      </c>
      <c r="N7" s="29">
        <v>8.3299999999999999E-2</v>
      </c>
      <c r="O7" s="39">
        <v>0</v>
      </c>
      <c r="P7" s="40">
        <f t="shared" si="4"/>
        <v>-8.3299999999999999E-2</v>
      </c>
      <c r="Q7" s="41">
        <f t="shared" si="5"/>
        <v>-0.38429999999999997</v>
      </c>
    </row>
    <row r="8" spans="1:17" ht="18.75">
      <c r="A8" s="37" t="s">
        <v>181</v>
      </c>
      <c r="B8" s="29">
        <v>0.16669999999999999</v>
      </c>
      <c r="C8" s="30">
        <v>0.20710000000000001</v>
      </c>
      <c r="D8" s="31">
        <f t="shared" si="0"/>
        <v>4.0400000000000019E-2</v>
      </c>
      <c r="E8" s="29">
        <v>8.3299999999999999E-2</v>
      </c>
      <c r="F8" s="39">
        <v>5.9799999999999999E-2</v>
      </c>
      <c r="G8" s="40">
        <f t="shared" si="1"/>
        <v>-2.35E-2</v>
      </c>
      <c r="H8" s="29">
        <v>8.3299999999999999E-2</v>
      </c>
      <c r="I8" s="39">
        <v>6.6600000000000006E-2</v>
      </c>
      <c r="J8" s="40">
        <f t="shared" si="2"/>
        <v>-1.6699999999999993E-2</v>
      </c>
      <c r="K8" s="29">
        <v>8.3299999999999999E-2</v>
      </c>
      <c r="L8" s="39">
        <v>0.15190000000000001</v>
      </c>
      <c r="M8" s="33">
        <f t="shared" si="3"/>
        <v>6.8600000000000008E-2</v>
      </c>
      <c r="N8" s="29">
        <v>8.3299999999999999E-2</v>
      </c>
      <c r="O8" s="39">
        <v>0.1115</v>
      </c>
      <c r="P8" s="33">
        <f t="shared" si="4"/>
        <v>2.8200000000000003E-2</v>
      </c>
      <c r="Q8" s="42">
        <f t="shared" si="5"/>
        <v>9.7000000000000031E-2</v>
      </c>
    </row>
    <row r="9" spans="1:17" ht="18.75">
      <c r="A9" s="37" t="s">
        <v>182</v>
      </c>
      <c r="B9" s="29">
        <v>0</v>
      </c>
      <c r="C9" s="30">
        <v>0</v>
      </c>
      <c r="D9" s="31">
        <f t="shared" si="0"/>
        <v>0</v>
      </c>
      <c r="E9" s="29">
        <v>0</v>
      </c>
      <c r="F9" s="39">
        <v>0</v>
      </c>
      <c r="G9" s="32">
        <f t="shared" si="1"/>
        <v>0</v>
      </c>
      <c r="H9" s="29">
        <v>0</v>
      </c>
      <c r="I9" s="39">
        <v>0</v>
      </c>
      <c r="J9" s="33">
        <f t="shared" si="2"/>
        <v>0</v>
      </c>
      <c r="K9" s="34">
        <v>0.14560000000000001</v>
      </c>
      <c r="L9" s="39">
        <v>0</v>
      </c>
      <c r="M9" s="33">
        <f t="shared" si="3"/>
        <v>-0.14560000000000001</v>
      </c>
      <c r="N9" s="34">
        <v>0</v>
      </c>
      <c r="O9" s="39">
        <v>0</v>
      </c>
      <c r="P9" s="33">
        <f t="shared" si="4"/>
        <v>0</v>
      </c>
      <c r="Q9" s="36">
        <f t="shared" si="5"/>
        <v>-0.14560000000000001</v>
      </c>
    </row>
    <row r="10" spans="1:17" ht="18.75">
      <c r="A10" s="37" t="s">
        <v>183</v>
      </c>
      <c r="B10" s="29">
        <v>0</v>
      </c>
      <c r="C10" s="30">
        <v>0</v>
      </c>
      <c r="D10" s="31">
        <f t="shared" si="0"/>
        <v>0</v>
      </c>
      <c r="E10" s="29">
        <v>0</v>
      </c>
      <c r="F10" s="39">
        <v>0</v>
      </c>
      <c r="G10" s="32">
        <f t="shared" si="1"/>
        <v>0</v>
      </c>
      <c r="H10" s="29">
        <v>0</v>
      </c>
      <c r="I10" s="39">
        <v>0</v>
      </c>
      <c r="J10" s="32">
        <f t="shared" si="2"/>
        <v>0</v>
      </c>
      <c r="K10" s="29">
        <v>0</v>
      </c>
      <c r="L10" s="39">
        <v>0</v>
      </c>
      <c r="M10" s="32">
        <f t="shared" si="3"/>
        <v>0</v>
      </c>
      <c r="N10" s="29">
        <v>0</v>
      </c>
      <c r="O10" s="39">
        <v>0</v>
      </c>
      <c r="P10" s="32">
        <f t="shared" si="4"/>
        <v>0</v>
      </c>
      <c r="Q10" s="36">
        <f t="shared" si="5"/>
        <v>0</v>
      </c>
    </row>
    <row r="11" spans="1:17" ht="18.75">
      <c r="A11" s="37" t="s">
        <v>184</v>
      </c>
      <c r="B11" s="29">
        <v>0.16669999999999999</v>
      </c>
      <c r="C11" s="30">
        <v>0</v>
      </c>
      <c r="D11" s="38">
        <f t="shared" si="0"/>
        <v>-0.16669999999999999</v>
      </c>
      <c r="E11" s="29">
        <v>0.1</v>
      </c>
      <c r="F11" s="39">
        <v>0</v>
      </c>
      <c r="G11" s="40">
        <f t="shared" si="1"/>
        <v>-0.1</v>
      </c>
      <c r="H11" s="29">
        <v>0.1</v>
      </c>
      <c r="I11" s="39">
        <v>0</v>
      </c>
      <c r="J11" s="40">
        <f t="shared" si="2"/>
        <v>-0.1</v>
      </c>
      <c r="K11" s="34">
        <v>0.1</v>
      </c>
      <c r="L11" s="39">
        <v>0</v>
      </c>
      <c r="M11" s="33">
        <f t="shared" si="3"/>
        <v>-0.1</v>
      </c>
      <c r="N11" s="34">
        <v>0.1</v>
      </c>
      <c r="O11" s="39">
        <v>0</v>
      </c>
      <c r="P11" s="40">
        <f>O11-N11</f>
        <v>-0.1</v>
      </c>
      <c r="Q11" s="41">
        <f t="shared" si="5"/>
        <v>-0.56669999999999998</v>
      </c>
    </row>
    <row r="12" spans="1:17" ht="18.75">
      <c r="A12" s="37" t="s">
        <v>185</v>
      </c>
      <c r="B12" s="29">
        <v>0.16669999999999999</v>
      </c>
      <c r="C12" s="30">
        <v>0</v>
      </c>
      <c r="D12" s="38">
        <f t="shared" si="0"/>
        <v>-0.16669999999999999</v>
      </c>
      <c r="E12" s="29">
        <v>0.1</v>
      </c>
      <c r="F12" s="39">
        <v>0</v>
      </c>
      <c r="G12" s="40">
        <f t="shared" si="1"/>
        <v>-0.1</v>
      </c>
      <c r="H12" s="29">
        <v>0.1</v>
      </c>
      <c r="I12" s="39">
        <v>0</v>
      </c>
      <c r="J12" s="40">
        <f t="shared" si="2"/>
        <v>-0.1</v>
      </c>
      <c r="K12" s="34">
        <v>0.1</v>
      </c>
      <c r="L12" s="39">
        <v>0</v>
      </c>
      <c r="M12" s="33">
        <f t="shared" si="3"/>
        <v>-0.1</v>
      </c>
      <c r="N12" s="34">
        <v>0.1</v>
      </c>
      <c r="O12" s="39">
        <v>0</v>
      </c>
      <c r="P12" s="40">
        <f t="shared" si="4"/>
        <v>-0.1</v>
      </c>
      <c r="Q12" s="41">
        <f t="shared" si="5"/>
        <v>-0.56669999999999998</v>
      </c>
    </row>
    <row r="13" spans="1:17" ht="18.75">
      <c r="A13" s="43" t="s">
        <v>186</v>
      </c>
      <c r="B13" s="44">
        <v>0.16669999999999999</v>
      </c>
      <c r="C13" s="45">
        <v>0</v>
      </c>
      <c r="D13" s="46">
        <f t="shared" si="0"/>
        <v>-0.16669999999999999</v>
      </c>
      <c r="E13" s="44">
        <v>0.1</v>
      </c>
      <c r="F13" s="47">
        <v>0</v>
      </c>
      <c r="G13" s="48">
        <f t="shared" si="1"/>
        <v>-0.1</v>
      </c>
      <c r="H13" s="44">
        <v>0.1</v>
      </c>
      <c r="I13" s="47">
        <v>0</v>
      </c>
      <c r="J13" s="48">
        <f t="shared" si="2"/>
        <v>-0.1</v>
      </c>
      <c r="K13" s="49">
        <v>0.1</v>
      </c>
      <c r="L13" s="39">
        <v>0</v>
      </c>
      <c r="M13" s="50">
        <f t="shared" si="3"/>
        <v>-0.1</v>
      </c>
      <c r="N13" s="49">
        <v>0.1</v>
      </c>
      <c r="O13" s="39">
        <v>0</v>
      </c>
      <c r="P13" s="48">
        <f t="shared" si="4"/>
        <v>-0.1</v>
      </c>
      <c r="Q13" s="41">
        <f t="shared" si="5"/>
        <v>-0.56669999999999998</v>
      </c>
    </row>
    <row r="14" spans="1:17" ht="18.75">
      <c r="A14" s="51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3"/>
    </row>
    <row r="15" spans="1:17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ht="26.25">
      <c r="A16" s="559" t="s">
        <v>187</v>
      </c>
      <c r="B16" s="559"/>
      <c r="C16" s="559"/>
      <c r="D16" s="559"/>
      <c r="E16" s="559"/>
      <c r="F16" s="559"/>
      <c r="G16" s="559"/>
      <c r="H16" s="559"/>
      <c r="I16" s="559"/>
      <c r="J16" s="559"/>
      <c r="K16" s="559"/>
      <c r="L16" s="559"/>
      <c r="M16" s="559"/>
      <c r="N16" s="559"/>
      <c r="O16" s="559"/>
      <c r="P16" s="559"/>
      <c r="Q16" s="21"/>
    </row>
    <row r="17" spans="1:17" ht="18.75">
      <c r="A17" s="22"/>
      <c r="B17" s="560" t="s">
        <v>172</v>
      </c>
      <c r="C17" s="560"/>
      <c r="D17" s="560"/>
      <c r="E17" s="560" t="s">
        <v>36</v>
      </c>
      <c r="F17" s="560"/>
      <c r="G17" s="560"/>
      <c r="H17" s="560" t="s">
        <v>37</v>
      </c>
      <c r="I17" s="560"/>
      <c r="J17" s="560"/>
      <c r="K17" s="560" t="s">
        <v>38</v>
      </c>
      <c r="L17" s="560"/>
      <c r="M17" s="560"/>
      <c r="N17" s="560" t="s">
        <v>39</v>
      </c>
      <c r="O17" s="560"/>
      <c r="P17" s="560"/>
      <c r="Q17" s="21"/>
    </row>
    <row r="18" spans="1:17" ht="18.75">
      <c r="A18" s="23" t="s">
        <v>173</v>
      </c>
      <c r="B18" s="24" t="s">
        <v>174</v>
      </c>
      <c r="C18" s="25" t="s">
        <v>175</v>
      </c>
      <c r="D18" s="26" t="s">
        <v>176</v>
      </c>
      <c r="E18" s="24" t="s">
        <v>174</v>
      </c>
      <c r="F18" s="25" t="s">
        <v>175</v>
      </c>
      <c r="G18" s="27" t="s">
        <v>176</v>
      </c>
      <c r="H18" s="24" t="s">
        <v>174</v>
      </c>
      <c r="I18" s="25" t="s">
        <v>175</v>
      </c>
      <c r="J18" s="27" t="s">
        <v>176</v>
      </c>
      <c r="K18" s="24" t="s">
        <v>174</v>
      </c>
      <c r="L18" s="25" t="s">
        <v>175</v>
      </c>
      <c r="M18" s="27" t="s">
        <v>176</v>
      </c>
      <c r="N18" s="24" t="s">
        <v>174</v>
      </c>
      <c r="O18" s="25" t="s">
        <v>175</v>
      </c>
      <c r="P18" s="27" t="s">
        <v>176</v>
      </c>
      <c r="Q18" s="23" t="s">
        <v>177</v>
      </c>
    </row>
    <row r="19" spans="1:17" ht="18.75">
      <c r="A19" s="28" t="s">
        <v>188</v>
      </c>
      <c r="B19" s="29">
        <v>0.1333</v>
      </c>
      <c r="C19" s="30">
        <v>0.106</v>
      </c>
      <c r="D19" s="31">
        <f>B19-C19</f>
        <v>2.7300000000000005E-2</v>
      </c>
      <c r="E19" s="29">
        <v>8.6699999999999999E-2</v>
      </c>
      <c r="F19" s="30">
        <v>5.8999999999999997E-2</v>
      </c>
      <c r="G19" s="32">
        <f>E19-F19</f>
        <v>2.7700000000000002E-2</v>
      </c>
      <c r="H19" s="29">
        <v>8.6699999999999999E-2</v>
      </c>
      <c r="I19" s="30">
        <v>6.1600000000000002E-2</v>
      </c>
      <c r="J19" s="33">
        <f>H19-I19</f>
        <v>2.5099999999999997E-2</v>
      </c>
      <c r="K19" s="29">
        <v>0.26390000000000002</v>
      </c>
      <c r="L19" s="30">
        <v>0.1706</v>
      </c>
      <c r="M19" s="40">
        <f>L19-K19</f>
        <v>-9.3300000000000022E-2</v>
      </c>
      <c r="N19" s="170">
        <v>0.26390000000000002</v>
      </c>
      <c r="O19" s="30">
        <v>0.1396</v>
      </c>
      <c r="P19" s="33">
        <v>0.1396</v>
      </c>
      <c r="Q19" s="42">
        <f>SUM(D19,G19,J19,M19,P19)</f>
        <v>0.12639999999999998</v>
      </c>
    </row>
    <row r="20" spans="1:17" ht="18.75">
      <c r="A20" s="37" t="s">
        <v>184</v>
      </c>
      <c r="B20" s="29">
        <v>0.1535</v>
      </c>
      <c r="C20" s="30">
        <v>7.1499999999999994E-2</v>
      </c>
      <c r="D20" s="31">
        <f t="shared" ref="D20:D25" si="6">B20-C20</f>
        <v>8.2000000000000003E-2</v>
      </c>
      <c r="E20" s="29">
        <v>0.08</v>
      </c>
      <c r="F20" s="39">
        <v>6.1199999999999997E-2</v>
      </c>
      <c r="G20" s="32">
        <f t="shared" ref="G20:G24" si="7">E20-F20</f>
        <v>1.8800000000000004E-2</v>
      </c>
      <c r="H20" s="29">
        <v>8.5300000000000001E-2</v>
      </c>
      <c r="I20" s="39">
        <v>7.6799999999999993E-2</v>
      </c>
      <c r="J20" s="33">
        <f t="shared" ref="J20:J24" si="8">H20-I20</f>
        <v>8.5000000000000075E-3</v>
      </c>
      <c r="K20" s="34">
        <v>0.1203</v>
      </c>
      <c r="L20" s="39">
        <v>0.11600000000000001</v>
      </c>
      <c r="M20" s="40">
        <f t="shared" ref="M20:M25" si="9">L20-K20</f>
        <v>-4.2999999999999983E-3</v>
      </c>
      <c r="N20" s="171">
        <v>0.124</v>
      </c>
      <c r="O20" s="39">
        <v>0.12239999999999999</v>
      </c>
      <c r="P20" s="33">
        <f t="shared" ref="P20:P24" si="10">N20-O20</f>
        <v>1.6000000000000042E-3</v>
      </c>
      <c r="Q20" s="42">
        <f t="shared" ref="Q20:Q25" si="11">SUM(D20,G20,J20,M20,P20)</f>
        <v>0.10660000000000001</v>
      </c>
    </row>
    <row r="21" spans="1:17" ht="18.75">
      <c r="A21" s="37" t="s">
        <v>186</v>
      </c>
      <c r="B21" s="29">
        <v>0.16669999999999999</v>
      </c>
      <c r="C21" s="30">
        <v>7.2099999999999997E-2</v>
      </c>
      <c r="D21" s="31">
        <f t="shared" si="6"/>
        <v>9.459999999999999E-2</v>
      </c>
      <c r="E21" s="29">
        <v>8.3299999999999999E-2</v>
      </c>
      <c r="F21" s="39">
        <v>4.1799999999999997E-2</v>
      </c>
      <c r="G21" s="32">
        <f t="shared" si="7"/>
        <v>4.1500000000000002E-2</v>
      </c>
      <c r="H21" s="29">
        <v>8.3299999999999999E-2</v>
      </c>
      <c r="I21" s="39">
        <v>4.53E-2</v>
      </c>
      <c r="J21" s="33">
        <f t="shared" si="8"/>
        <v>3.7999999999999999E-2</v>
      </c>
      <c r="K21" s="34">
        <v>0.2339</v>
      </c>
      <c r="L21" s="39">
        <v>0.14000000000000001</v>
      </c>
      <c r="M21" s="40">
        <f t="shared" si="9"/>
        <v>-9.3899999999999983E-2</v>
      </c>
      <c r="N21" s="171">
        <v>0.2339</v>
      </c>
      <c r="O21" s="39">
        <v>0.11119999999999999</v>
      </c>
      <c r="P21" s="33">
        <f t="shared" si="10"/>
        <v>0.1227</v>
      </c>
      <c r="Q21" s="42">
        <f>SUM(D21,G21,J21,M21,P21)</f>
        <v>0.20290000000000002</v>
      </c>
    </row>
    <row r="22" spans="1:17" ht="18.75">
      <c r="A22" s="37" t="s">
        <v>189</v>
      </c>
      <c r="B22" s="29">
        <v>9.6100000000000005E-2</v>
      </c>
      <c r="C22" s="30">
        <v>6.08E-2</v>
      </c>
      <c r="D22" s="31">
        <f t="shared" si="6"/>
        <v>3.5300000000000005E-2</v>
      </c>
      <c r="E22" s="29">
        <v>5.0999999999999997E-2</v>
      </c>
      <c r="F22" s="39">
        <v>3.9600000000000003E-2</v>
      </c>
      <c r="G22" s="32">
        <f t="shared" si="7"/>
        <v>1.1399999999999993E-2</v>
      </c>
      <c r="H22" s="29">
        <v>5.2299999999999999E-2</v>
      </c>
      <c r="I22" s="39">
        <v>4.1300000000000003E-2</v>
      </c>
      <c r="J22" s="33">
        <f t="shared" si="8"/>
        <v>1.0999999999999996E-2</v>
      </c>
      <c r="K22" s="34">
        <v>0.1845</v>
      </c>
      <c r="L22" s="39">
        <v>0.1396</v>
      </c>
      <c r="M22" s="40">
        <f t="shared" si="9"/>
        <v>-4.4899999999999995E-2</v>
      </c>
      <c r="N22" s="171">
        <v>0.16389999999999999</v>
      </c>
      <c r="O22" s="39">
        <v>0.12379999999999999</v>
      </c>
      <c r="P22" s="33">
        <f t="shared" si="10"/>
        <v>4.0099999999999997E-2</v>
      </c>
      <c r="Q22" s="42">
        <f t="shared" si="11"/>
        <v>5.2899999999999996E-2</v>
      </c>
    </row>
    <row r="23" spans="1:17" ht="18.75">
      <c r="A23" s="37" t="s">
        <v>190</v>
      </c>
      <c r="B23" s="29">
        <v>0.1706</v>
      </c>
      <c r="C23" s="30">
        <v>0.14269999999999999</v>
      </c>
      <c r="D23" s="31">
        <f t="shared" si="6"/>
        <v>2.7900000000000008E-2</v>
      </c>
      <c r="E23" s="29">
        <v>8.2699999999999996E-2</v>
      </c>
      <c r="F23" s="39">
        <v>0.1027</v>
      </c>
      <c r="G23" s="40">
        <f t="shared" si="7"/>
        <v>-2.0000000000000004E-2</v>
      </c>
      <c r="H23" s="29">
        <v>8.3599999999999994E-2</v>
      </c>
      <c r="I23" s="39">
        <v>0.13120000000000001</v>
      </c>
      <c r="J23" s="40">
        <f t="shared" si="8"/>
        <v>-4.7600000000000017E-2</v>
      </c>
      <c r="K23" s="34">
        <v>8.2699999999999996E-2</v>
      </c>
      <c r="L23" s="39">
        <v>9.5200000000000007E-2</v>
      </c>
      <c r="M23" s="33">
        <f t="shared" si="9"/>
        <v>1.2500000000000011E-2</v>
      </c>
      <c r="N23" s="171">
        <v>8.2900000000000001E-2</v>
      </c>
      <c r="O23" s="39">
        <v>6.1199999999999997E-2</v>
      </c>
      <c r="P23" s="33">
        <f t="shared" si="10"/>
        <v>2.1700000000000004E-2</v>
      </c>
      <c r="Q23" s="42">
        <f t="shared" si="11"/>
        <v>-5.4999999999999979E-3</v>
      </c>
    </row>
    <row r="24" spans="1:17" ht="18.75">
      <c r="A24" s="37" t="s">
        <v>181</v>
      </c>
      <c r="B24" s="29">
        <v>0.16669999999999999</v>
      </c>
      <c r="C24" s="30">
        <v>0.14180000000000001</v>
      </c>
      <c r="D24" s="31">
        <f t="shared" si="6"/>
        <v>2.4899999999999978E-2</v>
      </c>
      <c r="E24" s="29">
        <v>8.3299999999999999E-2</v>
      </c>
      <c r="F24" s="39">
        <v>6.3899999999999998E-2</v>
      </c>
      <c r="G24" s="32">
        <f t="shared" si="7"/>
        <v>1.9400000000000001E-2</v>
      </c>
      <c r="H24" s="29">
        <v>8.3299999999999999E-2</v>
      </c>
      <c r="I24" s="39">
        <v>9.6699999999999994E-2</v>
      </c>
      <c r="J24" s="40">
        <f t="shared" si="8"/>
        <v>-1.3399999999999995E-2</v>
      </c>
      <c r="K24" s="34">
        <v>8.3299999999999999E-2</v>
      </c>
      <c r="L24" s="39">
        <v>0.47960000000000003</v>
      </c>
      <c r="M24" s="33">
        <f t="shared" si="9"/>
        <v>0.39630000000000004</v>
      </c>
      <c r="N24" s="171">
        <v>8.2199999999999995E-2</v>
      </c>
      <c r="O24" s="39">
        <v>9.8599999999999993E-2</v>
      </c>
      <c r="P24" s="40">
        <f t="shared" si="10"/>
        <v>-1.6399999999999998E-2</v>
      </c>
      <c r="Q24" s="42">
        <f t="shared" si="11"/>
        <v>0.41080000000000005</v>
      </c>
    </row>
    <row r="25" spans="1:17" ht="18.75">
      <c r="A25" s="37" t="s">
        <v>183</v>
      </c>
      <c r="B25" s="29">
        <v>8.2199999999999995E-2</v>
      </c>
      <c r="C25" s="30">
        <v>3.6499999999999998E-2</v>
      </c>
      <c r="D25" s="31">
        <f t="shared" si="6"/>
        <v>4.5699999999999998E-2</v>
      </c>
      <c r="E25" s="29">
        <v>4.1099999999999998E-2</v>
      </c>
      <c r="F25" s="39">
        <v>1.8200000000000001E-2</v>
      </c>
      <c r="G25" s="32">
        <f>E25-F25</f>
        <v>2.2899999999999997E-2</v>
      </c>
      <c r="H25" s="29">
        <v>4.1099999999999998E-2</v>
      </c>
      <c r="I25" s="39">
        <v>0.20519999999999999</v>
      </c>
      <c r="J25" s="40">
        <f>H25-I25</f>
        <v>-0.1641</v>
      </c>
      <c r="K25" s="34">
        <v>4.1099999999999998E-2</v>
      </c>
      <c r="L25" s="39">
        <v>4.19E-2</v>
      </c>
      <c r="M25" s="33">
        <f t="shared" si="9"/>
        <v>8.000000000000021E-4</v>
      </c>
      <c r="N25" s="171">
        <v>4.1099999999999998E-2</v>
      </c>
      <c r="O25" s="39">
        <v>0.45689999999999997</v>
      </c>
      <c r="P25" s="40">
        <f>N25-O25</f>
        <v>-0.41579999999999995</v>
      </c>
      <c r="Q25" s="42">
        <f t="shared" si="11"/>
        <v>-0.51049999999999995</v>
      </c>
    </row>
    <row r="26" spans="1:17" ht="18.75">
      <c r="A26" s="37"/>
      <c r="B26" s="29"/>
      <c r="C26" s="30"/>
      <c r="D26" s="38"/>
      <c r="E26" s="29"/>
      <c r="F26" s="39"/>
      <c r="G26" s="40"/>
      <c r="H26" s="29"/>
      <c r="I26" s="39"/>
      <c r="J26" s="33"/>
      <c r="K26" s="34"/>
      <c r="L26" s="39"/>
      <c r="M26" s="33"/>
      <c r="N26" s="34"/>
      <c r="O26" s="39"/>
      <c r="P26" s="33"/>
      <c r="Q26" s="54"/>
    </row>
    <row r="27" spans="1:17" ht="18.75">
      <c r="A27" s="43"/>
      <c r="B27" s="44"/>
      <c r="C27" s="45"/>
      <c r="D27" s="46"/>
      <c r="E27" s="44"/>
      <c r="F27" s="47"/>
      <c r="G27" s="48"/>
      <c r="H27" s="44"/>
      <c r="I27" s="47"/>
      <c r="J27" s="48"/>
      <c r="K27" s="44"/>
      <c r="L27" s="47"/>
      <c r="M27" s="48"/>
      <c r="N27" s="44"/>
      <c r="O27" s="47"/>
      <c r="P27" s="48"/>
      <c r="Q27" s="21"/>
    </row>
    <row r="28" spans="1:17" ht="18.75">
      <c r="A28" s="55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21"/>
    </row>
    <row r="29" spans="1:17" ht="31.5" customHeight="1">
      <c r="A29" s="23" t="s">
        <v>191</v>
      </c>
      <c r="B29" s="557">
        <v>-0.1356</v>
      </c>
      <c r="C29" s="558"/>
      <c r="D29" s="558"/>
      <c r="E29" s="557">
        <v>-0.14729999999999999</v>
      </c>
      <c r="F29" s="558"/>
      <c r="G29" s="558"/>
      <c r="H29" s="557">
        <v>-0.50970000000000004</v>
      </c>
      <c r="I29" s="558"/>
      <c r="J29" s="558"/>
      <c r="K29" s="557">
        <v>-0.27339999999999998</v>
      </c>
      <c r="L29" s="558"/>
      <c r="M29" s="558"/>
      <c r="N29" s="557">
        <v>-0.14749999999999999</v>
      </c>
      <c r="O29" s="558"/>
      <c r="P29" s="558"/>
      <c r="Q29" s="135">
        <v>-22.93</v>
      </c>
    </row>
    <row r="30" spans="1:17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</sheetData>
  <mergeCells count="18">
    <mergeCell ref="A1:P1"/>
    <mergeCell ref="A2:P2"/>
    <mergeCell ref="B3:D3"/>
    <mergeCell ref="E3:G3"/>
    <mergeCell ref="H3:J3"/>
    <mergeCell ref="K3:M3"/>
    <mergeCell ref="N3:P3"/>
    <mergeCell ref="A16:P16"/>
    <mergeCell ref="B17:D17"/>
    <mergeCell ref="E17:G17"/>
    <mergeCell ref="H17:J17"/>
    <mergeCell ref="K17:M17"/>
    <mergeCell ref="N17:P17"/>
    <mergeCell ref="B29:D29"/>
    <mergeCell ref="E29:G29"/>
    <mergeCell ref="H29:J29"/>
    <mergeCell ref="K29:M29"/>
    <mergeCell ref="N29:P29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84A0-31E5-4C27-8992-5C1916E11735}">
  <dimension ref="A1:J11"/>
  <sheetViews>
    <sheetView workbookViewId="0">
      <selection activeCell="B7" sqref="B7"/>
    </sheetView>
  </sheetViews>
  <sheetFormatPr defaultRowHeight="15"/>
  <cols>
    <col min="1" max="1" width="16.7109375" bestFit="1" customWidth="1"/>
    <col min="2" max="2" width="6.5703125" bestFit="1" customWidth="1"/>
    <col min="3" max="3" width="20.5703125" bestFit="1" customWidth="1"/>
    <col min="4" max="4" width="4.5703125" bestFit="1" customWidth="1"/>
    <col min="5" max="5" width="17.7109375" bestFit="1" customWidth="1"/>
    <col min="6" max="6" width="12.140625" bestFit="1" customWidth="1"/>
    <col min="7" max="7" width="19.7109375" bestFit="1" customWidth="1"/>
    <col min="8" max="8" width="5" bestFit="1" customWidth="1"/>
    <col min="9" max="9" width="21" bestFit="1" customWidth="1"/>
    <col min="10" max="10" width="13.28515625" bestFit="1" customWidth="1"/>
  </cols>
  <sheetData>
    <row r="1" spans="1:10">
      <c r="A1" s="562" t="s">
        <v>192</v>
      </c>
      <c r="B1" s="562"/>
      <c r="C1" s="562"/>
      <c r="D1" s="562"/>
      <c r="E1" s="562"/>
      <c r="F1" s="562"/>
      <c r="G1" s="562"/>
      <c r="H1" s="562"/>
      <c r="I1" s="562"/>
      <c r="J1" s="562"/>
    </row>
    <row r="2" spans="1:10">
      <c r="A2" t="s">
        <v>184</v>
      </c>
      <c r="C2" t="s">
        <v>193</v>
      </c>
      <c r="E2" t="s">
        <v>189</v>
      </c>
      <c r="G2" t="s">
        <v>194</v>
      </c>
      <c r="I2" t="s">
        <v>170</v>
      </c>
      <c r="J2" s="4"/>
    </row>
    <row r="3" spans="1:10">
      <c r="A3" t="s">
        <v>15</v>
      </c>
      <c r="B3" s="2">
        <v>0.85</v>
      </c>
      <c r="C3" t="s">
        <v>15</v>
      </c>
      <c r="D3" s="2">
        <v>0.85</v>
      </c>
      <c r="E3" s="3" t="s">
        <v>195</v>
      </c>
      <c r="F3" s="4">
        <v>6500</v>
      </c>
      <c r="G3" s="3" t="s">
        <v>196</v>
      </c>
      <c r="H3">
        <v>980</v>
      </c>
      <c r="I3" s="5" t="s">
        <v>178</v>
      </c>
      <c r="J3" s="4">
        <v>10000</v>
      </c>
    </row>
    <row r="4" spans="1:10">
      <c r="A4" t="s">
        <v>197</v>
      </c>
      <c r="B4" s="6">
        <v>300</v>
      </c>
      <c r="C4" t="s">
        <v>197</v>
      </c>
      <c r="D4" s="6">
        <v>300</v>
      </c>
      <c r="E4" s="3" t="s">
        <v>80</v>
      </c>
      <c r="F4" s="7">
        <v>10000</v>
      </c>
      <c r="G4" s="8" t="s">
        <v>198</v>
      </c>
      <c r="H4">
        <v>5000</v>
      </c>
      <c r="I4" s="5" t="s">
        <v>179</v>
      </c>
      <c r="J4" s="4">
        <v>10000</v>
      </c>
    </row>
    <row r="5" spans="1:10">
      <c r="A5" t="s">
        <v>199</v>
      </c>
      <c r="B5" s="2">
        <v>0.1</v>
      </c>
      <c r="C5" t="s">
        <v>199</v>
      </c>
      <c r="D5" s="2">
        <v>0.1</v>
      </c>
      <c r="E5" s="3" t="s">
        <v>200</v>
      </c>
      <c r="F5" s="4">
        <v>5000</v>
      </c>
      <c r="I5" s="5" t="s">
        <v>180</v>
      </c>
      <c r="J5" s="4">
        <v>10000</v>
      </c>
    </row>
    <row r="6" spans="1:10">
      <c r="A6" t="s">
        <v>201</v>
      </c>
      <c r="B6" s="2">
        <v>0.9</v>
      </c>
      <c r="C6" t="s">
        <v>159</v>
      </c>
      <c r="D6">
        <v>50</v>
      </c>
      <c r="E6" s="3" t="s">
        <v>202</v>
      </c>
      <c r="F6">
        <v>3</v>
      </c>
      <c r="I6" s="5" t="s">
        <v>181</v>
      </c>
      <c r="J6" s="4">
        <v>10000</v>
      </c>
    </row>
    <row r="7" spans="1:10">
      <c r="C7" t="s">
        <v>160</v>
      </c>
      <c r="D7">
        <v>80</v>
      </c>
      <c r="I7" s="5" t="s">
        <v>182</v>
      </c>
      <c r="J7" s="4">
        <v>10000</v>
      </c>
    </row>
    <row r="8" spans="1:10">
      <c r="I8" s="5" t="s">
        <v>183</v>
      </c>
      <c r="J8" s="4">
        <v>10000</v>
      </c>
    </row>
    <row r="9" spans="1:10">
      <c r="I9" s="5" t="s">
        <v>184</v>
      </c>
      <c r="J9" s="4">
        <v>10000</v>
      </c>
    </row>
    <row r="10" spans="1:10">
      <c r="I10" s="5" t="s">
        <v>185</v>
      </c>
      <c r="J10" s="4">
        <v>10000</v>
      </c>
    </row>
    <row r="11" spans="1:10">
      <c r="I11" s="5" t="s">
        <v>186</v>
      </c>
      <c r="J11" s="4">
        <v>10000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13DB-F897-4035-B259-2F23833B3FF5}">
  <dimension ref="A1:Z85"/>
  <sheetViews>
    <sheetView tabSelected="1" zoomScale="70" zoomScaleNormal="70" workbookViewId="0">
      <pane xSplit="5" ySplit="2" topLeftCell="F23" activePane="bottomRight" state="frozen"/>
      <selection pane="bottomRight" activeCell="C44" sqref="C44"/>
      <selection pane="bottomLeft"/>
      <selection pane="topRight"/>
    </sheetView>
  </sheetViews>
  <sheetFormatPr defaultColWidth="5.7109375" defaultRowHeight="15"/>
  <cols>
    <col min="1" max="1" width="15.42578125" style="1" customWidth="1"/>
    <col min="2" max="2" width="14.7109375" style="1" customWidth="1"/>
    <col min="3" max="3" width="42.140625" style="10" customWidth="1"/>
    <col min="4" max="4" width="15.7109375" style="9" customWidth="1"/>
    <col min="5" max="5" width="18" style="9" customWidth="1"/>
    <col min="6" max="8" width="15.85546875" style="9" customWidth="1"/>
    <col min="9" max="10" width="14.140625" style="471" customWidth="1"/>
    <col min="11" max="11" width="14" style="9" bestFit="1" customWidth="1"/>
    <col min="12" max="12" width="14" style="9" customWidth="1"/>
    <col min="13" max="13" width="19.140625" style="9" customWidth="1"/>
    <col min="14" max="14" width="10.5703125" style="9" customWidth="1"/>
    <col min="15" max="15" width="10.85546875" style="9" customWidth="1"/>
    <col min="16" max="16" width="18" style="9" customWidth="1"/>
    <col min="17" max="18" width="14.42578125" style="9" bestFit="1" customWidth="1"/>
    <col min="19" max="19" width="17" style="9" bestFit="1" customWidth="1"/>
    <col min="20" max="20" width="18.85546875" style="9" customWidth="1"/>
    <col min="21" max="21" width="16.28515625" style="9" customWidth="1"/>
    <col min="22" max="22" width="17.5703125" style="9" bestFit="1" customWidth="1"/>
    <col min="23" max="23" width="17.5703125" style="9" customWidth="1"/>
    <col min="24" max="24" width="17.85546875" style="9" customWidth="1"/>
    <col min="25" max="25" width="20.28515625" style="9" customWidth="1"/>
    <col min="26" max="16384" width="5.7109375" style="1"/>
  </cols>
  <sheetData>
    <row r="1" spans="1:25" ht="27" customHeight="1">
      <c r="A1" s="564" t="s">
        <v>65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  <c r="T1" s="565"/>
      <c r="U1" s="565"/>
      <c r="V1" s="565"/>
      <c r="W1" s="565"/>
      <c r="X1" s="565"/>
      <c r="Y1" s="566"/>
    </row>
    <row r="2" spans="1:25" ht="39" customHeight="1">
      <c r="A2" s="253" t="s">
        <v>203</v>
      </c>
      <c r="B2" s="254" t="s">
        <v>204</v>
      </c>
      <c r="C2" s="255" t="s">
        <v>6</v>
      </c>
      <c r="D2" s="256" t="s">
        <v>205</v>
      </c>
      <c r="E2" s="256" t="s">
        <v>206</v>
      </c>
      <c r="F2" s="257" t="s">
        <v>207</v>
      </c>
      <c r="G2" s="583" t="s">
        <v>35</v>
      </c>
      <c r="H2" s="584"/>
      <c r="I2" s="583" t="s">
        <v>36</v>
      </c>
      <c r="J2" s="584"/>
      <c r="K2" s="583" t="s">
        <v>37</v>
      </c>
      <c r="L2" s="607"/>
      <c r="M2" s="258" t="s">
        <v>208</v>
      </c>
      <c r="N2" s="257" t="s">
        <v>38</v>
      </c>
      <c r="O2" s="259" t="s">
        <v>39</v>
      </c>
      <c r="P2" s="258" t="s">
        <v>209</v>
      </c>
      <c r="Q2" s="260" t="s">
        <v>0</v>
      </c>
      <c r="R2" s="257" t="s">
        <v>1</v>
      </c>
      <c r="S2" s="257" t="s">
        <v>2</v>
      </c>
      <c r="T2" s="258" t="s">
        <v>208</v>
      </c>
      <c r="U2" s="257" t="s">
        <v>3</v>
      </c>
      <c r="V2" s="259" t="s">
        <v>4</v>
      </c>
      <c r="W2" s="261" t="s">
        <v>5</v>
      </c>
      <c r="X2" s="262" t="s">
        <v>209</v>
      </c>
      <c r="Y2" s="263" t="s">
        <v>210</v>
      </c>
    </row>
    <row r="3" spans="1:25" s="131" customFormat="1" ht="21" customHeight="1">
      <c r="B3" s="248"/>
      <c r="C3" s="250"/>
      <c r="D3" s="249"/>
      <c r="E3" s="249"/>
      <c r="F3" s="572" t="s">
        <v>13</v>
      </c>
      <c r="G3" s="572"/>
      <c r="H3" s="572"/>
      <c r="I3" s="572"/>
      <c r="J3" s="572"/>
      <c r="K3" s="572"/>
      <c r="L3" s="475"/>
      <c r="M3" s="249"/>
      <c r="N3" s="572" t="s">
        <v>13</v>
      </c>
      <c r="O3" s="572"/>
      <c r="P3" s="249"/>
      <c r="Q3" s="572" t="s">
        <v>13</v>
      </c>
      <c r="R3" s="572"/>
      <c r="S3" s="572"/>
      <c r="T3" s="249"/>
      <c r="U3" s="563" t="s">
        <v>13</v>
      </c>
      <c r="V3" s="563"/>
      <c r="W3" s="563"/>
      <c r="X3" s="249"/>
      <c r="Y3" s="251"/>
    </row>
    <row r="4" spans="1:25" s="252" customFormat="1" ht="21" customHeight="1">
      <c r="A4" s="570" t="s">
        <v>211</v>
      </c>
      <c r="B4" s="573" t="s">
        <v>212</v>
      </c>
      <c r="C4" s="396" t="s">
        <v>213</v>
      </c>
      <c r="D4" s="318">
        <v>0.85</v>
      </c>
      <c r="E4" s="579" t="s">
        <v>214</v>
      </c>
      <c r="F4" s="574" t="s">
        <v>61</v>
      </c>
      <c r="G4" s="453">
        <v>70.599999999999994</v>
      </c>
      <c r="H4" s="453"/>
      <c r="I4" s="458">
        <v>83</v>
      </c>
      <c r="J4" s="458"/>
      <c r="K4" s="320"/>
      <c r="L4" s="320"/>
      <c r="M4" s="321"/>
      <c r="N4" s="319"/>
      <c r="O4" s="320"/>
      <c r="P4" s="321"/>
      <c r="Q4" s="319"/>
      <c r="R4" s="319"/>
      <c r="S4" s="320"/>
      <c r="T4" s="321"/>
      <c r="U4" s="319"/>
      <c r="V4" s="319"/>
      <c r="W4" s="320"/>
      <c r="X4" s="418"/>
      <c r="Y4" s="426"/>
    </row>
    <row r="5" spans="1:25" s="252" customFormat="1" ht="21" customHeight="1">
      <c r="A5" s="570"/>
      <c r="B5" s="568"/>
      <c r="C5" s="397" t="s">
        <v>28</v>
      </c>
      <c r="D5" s="322" t="s">
        <v>215</v>
      </c>
      <c r="E5" s="580"/>
      <c r="F5" s="574"/>
      <c r="G5" s="454">
        <v>0</v>
      </c>
      <c r="H5" s="454"/>
      <c r="I5" s="472">
        <v>0</v>
      </c>
      <c r="J5" s="472"/>
      <c r="K5" s="325"/>
      <c r="L5" s="325"/>
      <c r="M5" s="326"/>
      <c r="N5" s="324"/>
      <c r="O5" s="325"/>
      <c r="P5" s="326"/>
      <c r="Q5" s="324"/>
      <c r="R5" s="324"/>
      <c r="S5" s="325"/>
      <c r="T5" s="326"/>
      <c r="U5" s="324"/>
      <c r="V5" s="324"/>
      <c r="W5" s="325"/>
      <c r="X5" s="419"/>
      <c r="Y5" s="427"/>
    </row>
    <row r="6" spans="1:25" s="252" customFormat="1" ht="21" customHeight="1">
      <c r="A6" s="570"/>
      <c r="B6" s="568"/>
      <c r="C6" s="397" t="s">
        <v>216</v>
      </c>
      <c r="D6" s="327">
        <v>0.8</v>
      </c>
      <c r="E6" s="323" t="s">
        <v>217</v>
      </c>
      <c r="F6" s="574"/>
      <c r="G6" s="477" t="s">
        <v>61</v>
      </c>
      <c r="H6" s="477"/>
      <c r="I6" s="478" t="s">
        <v>61</v>
      </c>
      <c r="J6" s="478"/>
      <c r="K6" s="325"/>
      <c r="L6" s="325"/>
      <c r="M6" s="326"/>
      <c r="N6" s="324"/>
      <c r="O6" s="325"/>
      <c r="P6" s="326"/>
      <c r="Q6" s="324"/>
      <c r="R6" s="324"/>
      <c r="S6" s="325"/>
      <c r="T6" s="326"/>
      <c r="U6" s="324"/>
      <c r="V6" s="324"/>
      <c r="W6" s="325"/>
      <c r="X6" s="419"/>
      <c r="Y6" s="427"/>
    </row>
    <row r="7" spans="1:25" s="252" customFormat="1" ht="21" customHeight="1">
      <c r="A7" s="570"/>
      <c r="B7" s="568"/>
      <c r="C7" s="397" t="s">
        <v>30</v>
      </c>
      <c r="D7" s="328">
        <v>50</v>
      </c>
      <c r="E7" s="444"/>
      <c r="F7" s="574"/>
      <c r="G7" s="454">
        <v>42</v>
      </c>
      <c r="H7" s="454"/>
      <c r="I7" s="472">
        <v>42</v>
      </c>
      <c r="J7" s="472"/>
      <c r="K7" s="325"/>
      <c r="L7" s="325"/>
      <c r="M7" s="326"/>
      <c r="N7" s="324"/>
      <c r="O7" s="325"/>
      <c r="P7" s="326"/>
      <c r="Q7" s="324"/>
      <c r="R7" s="324"/>
      <c r="S7" s="325"/>
      <c r="T7" s="326"/>
      <c r="U7" s="324"/>
      <c r="V7" s="324"/>
      <c r="W7" s="325"/>
      <c r="X7" s="419"/>
      <c r="Y7" s="427"/>
    </row>
    <row r="8" spans="1:25" s="252" customFormat="1" ht="21" customHeight="1">
      <c r="A8" s="570"/>
      <c r="B8" s="568"/>
      <c r="C8" s="397" t="s">
        <v>34</v>
      </c>
      <c r="D8" s="328">
        <v>50</v>
      </c>
      <c r="E8" s="323" t="s">
        <v>217</v>
      </c>
      <c r="F8" s="575"/>
      <c r="G8" s="477" t="s">
        <v>61</v>
      </c>
      <c r="H8" s="477"/>
      <c r="I8" s="478" t="s">
        <v>61</v>
      </c>
      <c r="J8" s="478"/>
      <c r="K8" s="325"/>
      <c r="L8" s="325"/>
      <c r="M8" s="329"/>
      <c r="N8" s="324"/>
      <c r="O8" s="330"/>
      <c r="P8" s="329"/>
      <c r="Q8" s="324"/>
      <c r="R8" s="324"/>
      <c r="S8" s="330"/>
      <c r="T8" s="329"/>
      <c r="U8" s="324"/>
      <c r="V8" s="331"/>
      <c r="W8" s="332"/>
      <c r="X8" s="420"/>
      <c r="Y8" s="428"/>
    </row>
    <row r="9" spans="1:25" s="131" customFormat="1" ht="22.5" customHeight="1">
      <c r="A9" s="570"/>
      <c r="B9" s="567" t="s">
        <v>218</v>
      </c>
      <c r="C9" s="398" t="s">
        <v>213</v>
      </c>
      <c r="D9" s="333">
        <v>0.85</v>
      </c>
      <c r="E9" s="581" t="s">
        <v>214</v>
      </c>
      <c r="F9" s="576" t="s">
        <v>61</v>
      </c>
      <c r="G9" s="334">
        <v>77.7</v>
      </c>
      <c r="H9" s="334"/>
      <c r="I9" s="334">
        <v>75</v>
      </c>
      <c r="J9" s="334"/>
      <c r="K9" s="335"/>
      <c r="L9" s="334"/>
      <c r="M9" s="336"/>
      <c r="N9" s="334"/>
      <c r="O9" s="335"/>
      <c r="P9" s="334"/>
      <c r="Q9" s="337"/>
      <c r="R9" s="338"/>
      <c r="S9" s="339"/>
      <c r="T9" s="340"/>
      <c r="U9" s="337"/>
      <c r="V9" s="341"/>
      <c r="W9" s="322"/>
      <c r="X9" s="343"/>
      <c r="Y9" s="429" t="e">
        <f>AVERAGE(#REF!,I9,K9,N9,O9,Q9,R9,S9,U9,V9,W9)</f>
        <v>#REF!</v>
      </c>
    </row>
    <row r="10" spans="1:25" s="131" customFormat="1" ht="22.5" customHeight="1">
      <c r="A10" s="570"/>
      <c r="B10" s="568"/>
      <c r="C10" s="397" t="s">
        <v>28</v>
      </c>
      <c r="D10" s="322" t="s">
        <v>219</v>
      </c>
      <c r="E10" s="582"/>
      <c r="F10" s="577"/>
      <c r="G10" s="343">
        <v>0</v>
      </c>
      <c r="H10" s="343"/>
      <c r="I10" s="343">
        <v>0</v>
      </c>
      <c r="J10" s="343"/>
      <c r="K10" s="344"/>
      <c r="L10" s="343"/>
      <c r="M10" s="342"/>
      <c r="N10" s="343"/>
      <c r="O10" s="342"/>
      <c r="P10" s="343"/>
      <c r="Q10" s="345"/>
      <c r="R10" s="341"/>
      <c r="S10" s="322"/>
      <c r="T10" s="346"/>
      <c r="U10" s="345"/>
      <c r="V10" s="341"/>
      <c r="W10" s="322"/>
      <c r="X10" s="341"/>
      <c r="Y10" s="430">
        <f>SUM(F10:K10,N10:O10,Q10:S10,U10:W10)</f>
        <v>0</v>
      </c>
    </row>
    <row r="11" spans="1:25" s="131" customFormat="1" ht="22.5" customHeight="1">
      <c r="A11" s="570"/>
      <c r="B11" s="568"/>
      <c r="C11" s="397" t="s">
        <v>216</v>
      </c>
      <c r="D11" s="327">
        <v>0.8</v>
      </c>
      <c r="E11" s="473" t="s">
        <v>217</v>
      </c>
      <c r="F11" s="577"/>
      <c r="G11" s="479" t="s">
        <v>61</v>
      </c>
      <c r="H11" s="479"/>
      <c r="I11" s="480" t="s">
        <v>61</v>
      </c>
      <c r="J11" s="480"/>
      <c r="K11" s="347"/>
      <c r="L11" s="341"/>
      <c r="M11" s="322"/>
      <c r="N11" s="341"/>
      <c r="O11" s="348"/>
      <c r="P11" s="349"/>
      <c r="Q11" s="345"/>
      <c r="R11" s="341"/>
      <c r="S11" s="322"/>
      <c r="T11" s="346"/>
      <c r="U11" s="345"/>
      <c r="V11" s="341"/>
      <c r="W11" s="322"/>
      <c r="X11" s="341"/>
      <c r="Y11" s="430" t="e">
        <f>AVERAGE(X11,P11)</f>
        <v>#DIV/0!</v>
      </c>
    </row>
    <row r="12" spans="1:25" s="131" customFormat="1" ht="22.5" customHeight="1">
      <c r="A12" s="570"/>
      <c r="B12" s="568"/>
      <c r="C12" s="397" t="s">
        <v>30</v>
      </c>
      <c r="D12" s="328">
        <v>180</v>
      </c>
      <c r="E12" s="350"/>
      <c r="F12" s="577"/>
      <c r="G12" s="341">
        <v>165</v>
      </c>
      <c r="H12" s="341"/>
      <c r="I12" s="341">
        <v>165</v>
      </c>
      <c r="J12" s="341"/>
      <c r="K12" s="347"/>
      <c r="L12" s="341"/>
      <c r="M12" s="322"/>
      <c r="N12" s="341"/>
      <c r="O12" s="322"/>
      <c r="P12" s="341"/>
      <c r="Q12" s="345"/>
      <c r="R12" s="341"/>
      <c r="S12" s="322"/>
      <c r="T12" s="346"/>
      <c r="U12" s="345"/>
      <c r="V12" s="341"/>
      <c r="W12" s="322"/>
      <c r="X12" s="341"/>
      <c r="Y12" s="430">
        <f>W12</f>
        <v>0</v>
      </c>
    </row>
    <row r="13" spans="1:25" s="131" customFormat="1" ht="22.5" customHeight="1">
      <c r="A13" s="570"/>
      <c r="B13" s="571"/>
      <c r="C13" s="399" t="s">
        <v>34</v>
      </c>
      <c r="D13" s="351">
        <v>70</v>
      </c>
      <c r="E13" s="474" t="s">
        <v>217</v>
      </c>
      <c r="F13" s="578"/>
      <c r="G13" s="481" t="s">
        <v>61</v>
      </c>
      <c r="H13" s="481"/>
      <c r="I13" s="482" t="s">
        <v>61</v>
      </c>
      <c r="J13" s="482"/>
      <c r="K13" s="353"/>
      <c r="L13" s="352"/>
      <c r="M13" s="354"/>
      <c r="N13" s="352"/>
      <c r="O13" s="355"/>
      <c r="P13" s="352"/>
      <c r="Q13" s="356"/>
      <c r="R13" s="352"/>
      <c r="S13" s="354"/>
      <c r="T13" s="357"/>
      <c r="U13" s="356"/>
      <c r="V13" s="352"/>
      <c r="W13" s="354"/>
      <c r="X13" s="352"/>
      <c r="Y13" s="431" t="e">
        <f>AVERAGE(V13,O13)</f>
        <v>#DIV/0!</v>
      </c>
    </row>
    <row r="14" spans="1:25" s="131" customFormat="1" ht="22.5" customHeight="1">
      <c r="A14" s="570"/>
      <c r="B14" s="567" t="s">
        <v>220</v>
      </c>
      <c r="C14" s="397" t="s">
        <v>213</v>
      </c>
      <c r="D14" s="327">
        <v>0.85</v>
      </c>
      <c r="E14" s="581" t="s">
        <v>214</v>
      </c>
      <c r="F14" s="451"/>
      <c r="G14" s="338">
        <v>72.900000000000006</v>
      </c>
      <c r="H14" s="338"/>
      <c r="I14" s="338">
        <v>78</v>
      </c>
      <c r="J14" s="338"/>
      <c r="K14" s="358"/>
      <c r="L14" s="501"/>
      <c r="M14" s="359"/>
      <c r="N14" s="360"/>
      <c r="O14" s="361"/>
      <c r="P14" s="360"/>
      <c r="Q14" s="345"/>
      <c r="R14" s="341"/>
      <c r="S14" s="322"/>
      <c r="T14" s="346"/>
      <c r="U14" s="341"/>
      <c r="V14" s="341"/>
      <c r="W14" s="322"/>
      <c r="X14" s="341"/>
      <c r="Y14" s="430" t="e">
        <f>AVERAGE(Q14:S14,U14:V14,W14)</f>
        <v>#DIV/0!</v>
      </c>
    </row>
    <row r="15" spans="1:25" s="131" customFormat="1" ht="22.5" customHeight="1">
      <c r="A15" s="570"/>
      <c r="B15" s="568"/>
      <c r="C15" s="397" t="s">
        <v>28</v>
      </c>
      <c r="D15" s="328" t="s">
        <v>219</v>
      </c>
      <c r="E15" s="582"/>
      <c r="F15" s="452"/>
      <c r="G15" s="341">
        <v>0</v>
      </c>
      <c r="H15" s="341"/>
      <c r="I15" s="341">
        <v>0</v>
      </c>
      <c r="J15" s="341"/>
      <c r="K15" s="362"/>
      <c r="L15" s="360"/>
      <c r="M15" s="361"/>
      <c r="N15" s="360"/>
      <c r="O15" s="361"/>
      <c r="P15" s="360"/>
      <c r="Q15" s="345"/>
      <c r="R15" s="341"/>
      <c r="S15" s="322"/>
      <c r="T15" s="346"/>
      <c r="U15" s="341"/>
      <c r="V15" s="341"/>
      <c r="W15" s="322"/>
      <c r="X15" s="341"/>
      <c r="Y15" s="430">
        <f>X15</f>
        <v>0</v>
      </c>
    </row>
    <row r="16" spans="1:25" s="131" customFormat="1" ht="22.5" customHeight="1">
      <c r="A16" s="570"/>
      <c r="B16" s="568"/>
      <c r="C16" s="397" t="s">
        <v>216</v>
      </c>
      <c r="D16" s="327">
        <v>0.8</v>
      </c>
      <c r="E16" s="473" t="s">
        <v>217</v>
      </c>
      <c r="F16" s="479" t="s">
        <v>61</v>
      </c>
      <c r="G16" s="479" t="s">
        <v>61</v>
      </c>
      <c r="H16" s="479"/>
      <c r="I16" s="479" t="s">
        <v>61</v>
      </c>
      <c r="J16" s="479"/>
      <c r="K16" s="362"/>
      <c r="L16" s="360"/>
      <c r="M16" s="361"/>
      <c r="N16" s="360"/>
      <c r="O16" s="361"/>
      <c r="P16" s="360"/>
      <c r="Q16" s="345"/>
      <c r="R16" s="341"/>
      <c r="S16" s="322"/>
      <c r="T16" s="346"/>
      <c r="U16" s="341"/>
      <c r="V16" s="341"/>
      <c r="W16" s="322"/>
      <c r="X16" s="341"/>
      <c r="Y16" s="430">
        <f>X16</f>
        <v>0</v>
      </c>
    </row>
    <row r="17" spans="1:26" s="131" customFormat="1" ht="22.5" customHeight="1">
      <c r="A17" s="570"/>
      <c r="B17" s="568"/>
      <c r="C17" s="397" t="s">
        <v>30</v>
      </c>
      <c r="D17" s="328">
        <v>160</v>
      </c>
      <c r="E17" s="350"/>
      <c r="F17" s="452"/>
      <c r="G17" s="341">
        <v>165</v>
      </c>
      <c r="H17" s="341"/>
      <c r="I17" s="341">
        <v>163</v>
      </c>
      <c r="J17" s="341"/>
      <c r="K17" s="362"/>
      <c r="L17" s="360"/>
      <c r="M17" s="361"/>
      <c r="N17" s="360"/>
      <c r="O17" s="361"/>
      <c r="P17" s="360"/>
      <c r="Q17" s="345"/>
      <c r="R17" s="341"/>
      <c r="S17" s="322"/>
      <c r="T17" s="346"/>
      <c r="U17" s="341"/>
      <c r="V17" s="341"/>
      <c r="W17" s="322"/>
      <c r="X17" s="341"/>
      <c r="Y17" s="430">
        <f>X17</f>
        <v>0</v>
      </c>
      <c r="Z17" s="175">
        <f>SUM(Y17,Y12)</f>
        <v>0</v>
      </c>
    </row>
    <row r="18" spans="1:26" s="131" customFormat="1" ht="22.5" customHeight="1">
      <c r="A18" s="570"/>
      <c r="B18" s="569"/>
      <c r="C18" s="397" t="s">
        <v>34</v>
      </c>
      <c r="D18" s="328">
        <v>70</v>
      </c>
      <c r="E18" s="323" t="s">
        <v>217</v>
      </c>
      <c r="F18" s="452"/>
      <c r="G18" s="479" t="s">
        <v>61</v>
      </c>
      <c r="H18" s="479"/>
      <c r="I18" s="479" t="s">
        <v>61</v>
      </c>
      <c r="J18" s="479"/>
      <c r="K18" s="362"/>
      <c r="L18" s="360"/>
      <c r="M18" s="361"/>
      <c r="N18" s="360"/>
      <c r="O18" s="361"/>
      <c r="P18" s="360"/>
      <c r="Q18" s="345"/>
      <c r="R18" s="341"/>
      <c r="S18" s="322"/>
      <c r="T18" s="346"/>
      <c r="U18" s="341"/>
      <c r="V18" s="341"/>
      <c r="W18" s="322"/>
      <c r="X18" s="341"/>
      <c r="Y18" s="430">
        <v>55</v>
      </c>
      <c r="Z18" s="175"/>
    </row>
    <row r="19" spans="1:26" s="131" customFormat="1" ht="22.5" customHeight="1">
      <c r="A19" s="585" t="s">
        <v>221</v>
      </c>
      <c r="B19" s="588" t="s">
        <v>222</v>
      </c>
      <c r="C19" s="363" t="s">
        <v>213</v>
      </c>
      <c r="D19" s="364">
        <v>0.85</v>
      </c>
      <c r="E19" s="608" t="s">
        <v>214</v>
      </c>
      <c r="F19" s="455">
        <v>64</v>
      </c>
      <c r="G19" s="365">
        <v>68</v>
      </c>
      <c r="H19" s="365"/>
      <c r="I19" s="365">
        <v>73.400000000000006</v>
      </c>
      <c r="J19" s="365"/>
      <c r="K19" s="366"/>
      <c r="L19" s="365"/>
      <c r="M19" s="367"/>
      <c r="N19" s="365"/>
      <c r="O19" s="365"/>
      <c r="P19" s="368"/>
      <c r="Q19" s="365"/>
      <c r="R19" s="365"/>
      <c r="S19" s="365"/>
      <c r="T19" s="368"/>
      <c r="U19" s="365"/>
      <c r="V19" s="365"/>
      <c r="W19" s="366"/>
      <c r="X19" s="421"/>
      <c r="Y19" s="432">
        <f>AVERAGE(F19:K19,N19:O19,Q19:S19,U19,V19,W19)</f>
        <v>68.466666666666669</v>
      </c>
    </row>
    <row r="20" spans="1:26" s="131" customFormat="1" ht="22.5" customHeight="1">
      <c r="A20" s="585"/>
      <c r="B20" s="587"/>
      <c r="C20" s="369" t="s">
        <v>28</v>
      </c>
      <c r="D20" s="370" t="s">
        <v>223</v>
      </c>
      <c r="E20" s="609"/>
      <c r="F20" s="456">
        <v>0</v>
      </c>
      <c r="G20" s="371">
        <v>0</v>
      </c>
      <c r="H20" s="371"/>
      <c r="I20" s="459"/>
      <c r="J20" s="459"/>
      <c r="K20" s="372"/>
      <c r="L20" s="371"/>
      <c r="M20" s="373"/>
      <c r="N20" s="374"/>
      <c r="O20" s="374"/>
      <c r="P20" s="375"/>
      <c r="Q20" s="371"/>
      <c r="R20" s="371"/>
      <c r="S20" s="371"/>
      <c r="T20" s="375"/>
      <c r="U20" s="376"/>
      <c r="V20" s="374"/>
      <c r="W20" s="377"/>
      <c r="X20" s="422"/>
      <c r="Y20" s="430">
        <f>SUM(F20:K20,N20:O20,Q20:S20,U20:W20)</f>
        <v>0</v>
      </c>
    </row>
    <row r="21" spans="1:26" s="131" customFormat="1" ht="22.5" customHeight="1">
      <c r="A21" s="585"/>
      <c r="B21" s="587"/>
      <c r="C21" s="369" t="s">
        <v>216</v>
      </c>
      <c r="D21" s="378">
        <v>0.9</v>
      </c>
      <c r="E21" s="379"/>
      <c r="F21" s="483" t="s">
        <v>61</v>
      </c>
      <c r="G21" s="483" t="s">
        <v>61</v>
      </c>
      <c r="H21" s="483"/>
      <c r="I21" s="459"/>
      <c r="J21" s="459"/>
      <c r="K21" s="372"/>
      <c r="L21" s="371"/>
      <c r="M21" s="380"/>
      <c r="N21" s="371"/>
      <c r="O21" s="371"/>
      <c r="P21" s="375"/>
      <c r="Q21" s="371"/>
      <c r="R21" s="371"/>
      <c r="S21" s="376"/>
      <c r="T21" s="375"/>
      <c r="U21" s="371"/>
      <c r="V21" s="371"/>
      <c r="W21" s="372"/>
      <c r="X21" s="422"/>
      <c r="Y21" s="430" t="e">
        <f>AVERAGE(X21,P21)</f>
        <v>#DIV/0!</v>
      </c>
    </row>
    <row r="22" spans="1:26" s="131" customFormat="1" ht="22.5" customHeight="1">
      <c r="A22" s="585"/>
      <c r="B22" s="587"/>
      <c r="C22" s="369" t="s">
        <v>30</v>
      </c>
      <c r="D22" s="381">
        <v>60</v>
      </c>
      <c r="E22" s="500" t="s">
        <v>214</v>
      </c>
      <c r="F22" s="456">
        <v>57</v>
      </c>
      <c r="G22" s="371">
        <v>57</v>
      </c>
      <c r="H22" s="371"/>
      <c r="I22" s="459"/>
      <c r="J22" s="459"/>
      <c r="K22" s="372"/>
      <c r="L22" s="371"/>
      <c r="M22" s="380"/>
      <c r="N22" s="371"/>
      <c r="O22" s="371"/>
      <c r="P22" s="375"/>
      <c r="Q22" s="371"/>
      <c r="R22" s="371"/>
      <c r="S22" s="371"/>
      <c r="T22" s="375"/>
      <c r="U22" s="371"/>
      <c r="V22" s="371"/>
      <c r="W22" s="372"/>
      <c r="X22" s="422"/>
      <c r="Y22" s="430">
        <f>SUM(F22:K22,N22:O22,Q22:S22,U22,V22,W22)</f>
        <v>114</v>
      </c>
      <c r="Z22" s="175"/>
    </row>
    <row r="23" spans="1:26" s="131" customFormat="1" ht="22.5" customHeight="1">
      <c r="A23" s="585"/>
      <c r="B23" s="587"/>
      <c r="C23" s="369" t="s">
        <v>34</v>
      </c>
      <c r="D23" s="381">
        <v>70</v>
      </c>
      <c r="E23" s="500" t="s">
        <v>224</v>
      </c>
      <c r="F23" s="484" t="s">
        <v>61</v>
      </c>
      <c r="G23" s="483" t="s">
        <v>61</v>
      </c>
      <c r="H23" s="483"/>
      <c r="I23" s="459"/>
      <c r="J23" s="459"/>
      <c r="K23" s="372"/>
      <c r="L23" s="371"/>
      <c r="M23" s="380"/>
      <c r="N23" s="371"/>
      <c r="O23" s="371"/>
      <c r="P23" s="375"/>
      <c r="Q23" s="371"/>
      <c r="R23" s="371"/>
      <c r="S23" s="371"/>
      <c r="T23" s="375"/>
      <c r="U23" s="371"/>
      <c r="V23" s="371"/>
      <c r="W23" s="372"/>
      <c r="X23" s="422"/>
      <c r="Y23" s="430" t="e">
        <f>AVERAGE(X23,P23)</f>
        <v>#DIV/0!</v>
      </c>
      <c r="Z23" s="175">
        <f>SUM(Y24:Y24)</f>
        <v>0</v>
      </c>
    </row>
    <row r="24" spans="1:26" s="131" customFormat="1" ht="22.5" customHeight="1">
      <c r="A24" s="585"/>
      <c r="B24" s="589"/>
      <c r="C24" s="382" t="s">
        <v>159</v>
      </c>
      <c r="D24" s="383">
        <v>21</v>
      </c>
      <c r="E24" s="384"/>
      <c r="F24" s="457">
        <v>0</v>
      </c>
      <c r="G24" s="385">
        <v>21</v>
      </c>
      <c r="H24" s="385"/>
      <c r="I24" s="460"/>
      <c r="J24" s="460"/>
      <c r="K24" s="386"/>
      <c r="L24" s="385"/>
      <c r="M24" s="387"/>
      <c r="N24" s="385"/>
      <c r="O24" s="385"/>
      <c r="P24" s="388"/>
      <c r="Q24" s="385"/>
      <c r="R24" s="385"/>
      <c r="S24" s="385"/>
      <c r="T24" s="388"/>
      <c r="U24" s="385"/>
      <c r="V24" s="385"/>
      <c r="W24" s="386"/>
      <c r="X24" s="423"/>
      <c r="Y24" s="433">
        <f>SUM(P24,X24)</f>
        <v>0</v>
      </c>
    </row>
    <row r="25" spans="1:26" s="131" customFormat="1" ht="22.5" customHeight="1">
      <c r="A25" s="585"/>
      <c r="B25" s="587" t="s">
        <v>225</v>
      </c>
      <c r="C25" s="369" t="s">
        <v>213</v>
      </c>
      <c r="D25" s="378">
        <v>0.85</v>
      </c>
      <c r="E25" s="610" t="s">
        <v>214</v>
      </c>
      <c r="F25" s="622" t="s">
        <v>61</v>
      </c>
      <c r="G25" s="613" t="s">
        <v>61</v>
      </c>
      <c r="H25" s="483"/>
      <c r="I25" s="459"/>
      <c r="J25" s="459"/>
      <c r="K25" s="372"/>
      <c r="L25" s="371"/>
      <c r="M25" s="380"/>
      <c r="N25" s="371"/>
      <c r="O25" s="371"/>
      <c r="P25" s="375"/>
      <c r="Q25" s="371"/>
      <c r="R25" s="371"/>
      <c r="S25" s="371"/>
      <c r="T25" s="375"/>
      <c r="U25" s="371"/>
      <c r="V25" s="371"/>
      <c r="W25" s="372"/>
      <c r="X25" s="422"/>
      <c r="Y25" s="430" t="e">
        <f>AVERAGE(F25:K25,N25:O25,Q25:S25,U25,V25,W25)</f>
        <v>#DIV/0!</v>
      </c>
    </row>
    <row r="26" spans="1:26" s="131" customFormat="1" ht="22.5" customHeight="1">
      <c r="A26" s="585"/>
      <c r="B26" s="587"/>
      <c r="C26" s="369" t="s">
        <v>28</v>
      </c>
      <c r="D26" s="370" t="s">
        <v>226</v>
      </c>
      <c r="E26" s="611"/>
      <c r="F26" s="623"/>
      <c r="G26" s="614"/>
      <c r="H26" s="483"/>
      <c r="I26" s="459"/>
      <c r="J26" s="459"/>
      <c r="K26" s="372"/>
      <c r="L26" s="371"/>
      <c r="M26" s="373"/>
      <c r="N26" s="374"/>
      <c r="O26" s="374"/>
      <c r="P26" s="375"/>
      <c r="Q26" s="371"/>
      <c r="R26" s="371"/>
      <c r="S26" s="371"/>
      <c r="T26" s="375"/>
      <c r="U26" s="376"/>
      <c r="V26" s="374"/>
      <c r="W26" s="377"/>
      <c r="X26" s="422"/>
      <c r="Y26" s="430">
        <f>SUM(F26:K26,N26:O26,Q26:S26,U26:W26)</f>
        <v>0</v>
      </c>
    </row>
    <row r="27" spans="1:26" s="131" customFormat="1" ht="22.5" customHeight="1">
      <c r="A27" s="585"/>
      <c r="B27" s="587"/>
      <c r="C27" s="369" t="s">
        <v>216</v>
      </c>
      <c r="D27" s="378">
        <v>0.8</v>
      </c>
      <c r="E27" s="611"/>
      <c r="F27" s="623"/>
      <c r="G27" s="614"/>
      <c r="H27" s="483"/>
      <c r="I27" s="459"/>
      <c r="J27" s="459"/>
      <c r="K27" s="372"/>
      <c r="L27" s="371"/>
      <c r="M27" s="380"/>
      <c r="N27" s="371"/>
      <c r="O27" s="371"/>
      <c r="P27" s="375"/>
      <c r="Q27" s="371"/>
      <c r="R27" s="371"/>
      <c r="S27" s="376"/>
      <c r="T27" s="375"/>
      <c r="U27" s="371"/>
      <c r="V27" s="371"/>
      <c r="W27" s="372"/>
      <c r="X27" s="422"/>
      <c r="Y27" s="430" t="e">
        <f>AVERAGE(X27,P27)</f>
        <v>#DIV/0!</v>
      </c>
    </row>
    <row r="28" spans="1:26" s="131" customFormat="1" ht="22.5" customHeight="1">
      <c r="A28" s="585"/>
      <c r="B28" s="587"/>
      <c r="C28" s="369" t="s">
        <v>30</v>
      </c>
      <c r="D28" s="381">
        <v>400</v>
      </c>
      <c r="E28" s="611"/>
      <c r="F28" s="623"/>
      <c r="G28" s="614"/>
      <c r="H28" s="483"/>
      <c r="I28" s="459"/>
      <c r="J28" s="459"/>
      <c r="K28" s="372"/>
      <c r="L28" s="371"/>
      <c r="M28" s="380"/>
      <c r="N28" s="371"/>
      <c r="O28" s="371"/>
      <c r="P28" s="375"/>
      <c r="Q28" s="371"/>
      <c r="R28" s="371"/>
      <c r="S28" s="371"/>
      <c r="T28" s="375"/>
      <c r="U28" s="371"/>
      <c r="V28" s="371"/>
      <c r="W28" s="372"/>
      <c r="X28" s="422"/>
      <c r="Y28" s="430">
        <f>SUM(F28:K28,N28:O28,Q28:S28,U28,V28,W28)</f>
        <v>0</v>
      </c>
      <c r="Z28" s="175"/>
    </row>
    <row r="29" spans="1:26" s="131" customFormat="1" ht="22.5" customHeight="1">
      <c r="A29" s="585"/>
      <c r="B29" s="587"/>
      <c r="C29" s="382" t="s">
        <v>34</v>
      </c>
      <c r="D29" s="383">
        <v>70</v>
      </c>
      <c r="E29" s="612"/>
      <c r="F29" s="624"/>
      <c r="G29" s="615"/>
      <c r="H29" s="485"/>
      <c r="I29" s="460"/>
      <c r="J29" s="460"/>
      <c r="K29" s="386"/>
      <c r="L29" s="385"/>
      <c r="M29" s="387"/>
      <c r="N29" s="385"/>
      <c r="O29" s="385"/>
      <c r="P29" s="388"/>
      <c r="Q29" s="385"/>
      <c r="R29" s="385"/>
      <c r="S29" s="385"/>
      <c r="T29" s="388"/>
      <c r="U29" s="385"/>
      <c r="V29" s="385"/>
      <c r="W29" s="386"/>
      <c r="X29" s="423"/>
      <c r="Y29" s="430">
        <f>SUM(P29,X29)</f>
        <v>0</v>
      </c>
    </row>
    <row r="30" spans="1:26" s="131" customFormat="1" ht="22.5" customHeight="1">
      <c r="A30" s="585"/>
      <c r="B30" s="593" t="s">
        <v>227</v>
      </c>
      <c r="C30" s="369" t="s">
        <v>213</v>
      </c>
      <c r="D30" s="378">
        <v>0.85</v>
      </c>
      <c r="E30" s="610" t="s">
        <v>214</v>
      </c>
      <c r="F30" s="622" t="s">
        <v>61</v>
      </c>
      <c r="G30" s="371">
        <v>100</v>
      </c>
      <c r="H30" s="371"/>
      <c r="I30" s="459"/>
      <c r="J30" s="459"/>
      <c r="K30" s="372"/>
      <c r="L30" s="371"/>
      <c r="M30" s="380"/>
      <c r="N30" s="371"/>
      <c r="O30" s="371"/>
      <c r="P30" s="375"/>
      <c r="Q30" s="371"/>
      <c r="R30" s="371"/>
      <c r="S30" s="371"/>
      <c r="T30" s="375"/>
      <c r="U30" s="371"/>
      <c r="V30" s="371"/>
      <c r="W30" s="372"/>
      <c r="X30" s="422"/>
      <c r="Y30" s="434">
        <f>AVERAGE(F30:K30,N30:O30,Q30:S30,U30,V30,W30)</f>
        <v>100</v>
      </c>
    </row>
    <row r="31" spans="1:26" s="131" customFormat="1" ht="22.5" customHeight="1">
      <c r="A31" s="585"/>
      <c r="B31" s="587"/>
      <c r="C31" s="369" t="s">
        <v>28</v>
      </c>
      <c r="D31" s="370" t="s">
        <v>228</v>
      </c>
      <c r="E31" s="611"/>
      <c r="F31" s="623"/>
      <c r="G31" s="371">
        <v>0</v>
      </c>
      <c r="H31" s="371"/>
      <c r="I31" s="459"/>
      <c r="J31" s="459"/>
      <c r="K31" s="372"/>
      <c r="L31" s="371"/>
      <c r="M31" s="373"/>
      <c r="N31" s="374"/>
      <c r="O31" s="374"/>
      <c r="P31" s="375"/>
      <c r="Q31" s="371"/>
      <c r="R31" s="371"/>
      <c r="S31" s="371"/>
      <c r="T31" s="375"/>
      <c r="U31" s="376"/>
      <c r="V31" s="374"/>
      <c r="W31" s="377"/>
      <c r="X31" s="422"/>
      <c r="Y31" s="430">
        <f>SUM(F31:K31,N31:O31,Q31:S31,U31:W31)</f>
        <v>0</v>
      </c>
    </row>
    <row r="32" spans="1:26" s="131" customFormat="1" ht="22.5" customHeight="1">
      <c r="A32" s="585"/>
      <c r="B32" s="587"/>
      <c r="C32" s="369" t="s">
        <v>30</v>
      </c>
      <c r="D32" s="381">
        <v>200</v>
      </c>
      <c r="E32" s="611"/>
      <c r="F32" s="623"/>
      <c r="G32" s="371">
        <v>14</v>
      </c>
      <c r="H32" s="371"/>
      <c r="I32" s="459"/>
      <c r="J32" s="459"/>
      <c r="K32" s="372"/>
      <c r="L32" s="371"/>
      <c r="M32" s="380"/>
      <c r="N32" s="371"/>
      <c r="O32" s="371"/>
      <c r="P32" s="375"/>
      <c r="Q32" s="371"/>
      <c r="R32" s="371"/>
      <c r="S32" s="371"/>
      <c r="T32" s="375"/>
      <c r="U32" s="371"/>
      <c r="V32" s="371"/>
      <c r="W32" s="372"/>
      <c r="X32" s="422"/>
      <c r="Y32" s="430">
        <f>SUM(F32:K32,N32:O32,Q32:S32,U32,V32,W32)</f>
        <v>14</v>
      </c>
    </row>
    <row r="33" spans="1:25" s="131" customFormat="1" ht="22.5" customHeight="1">
      <c r="A33" s="585"/>
      <c r="B33" s="594"/>
      <c r="C33" s="389" t="s">
        <v>34</v>
      </c>
      <c r="D33" s="390">
        <v>70</v>
      </c>
      <c r="E33" s="391"/>
      <c r="F33" s="625"/>
      <c r="G33" s="486" t="s">
        <v>61</v>
      </c>
      <c r="H33" s="486"/>
      <c r="I33" s="461"/>
      <c r="J33" s="461"/>
      <c r="K33" s="393"/>
      <c r="L33" s="392"/>
      <c r="M33" s="394"/>
      <c r="N33" s="392"/>
      <c r="O33" s="392"/>
      <c r="P33" s="395"/>
      <c r="Q33" s="392"/>
      <c r="R33" s="392"/>
      <c r="S33" s="392"/>
      <c r="T33" s="395"/>
      <c r="U33" s="392"/>
      <c r="V33" s="392"/>
      <c r="W33" s="393"/>
      <c r="X33" s="424"/>
      <c r="Y33" s="435">
        <f>SUM(P33,X33)</f>
        <v>0</v>
      </c>
    </row>
    <row r="34" spans="1:25" s="131" customFormat="1" ht="22.5" customHeight="1">
      <c r="A34" s="586" t="s">
        <v>194</v>
      </c>
      <c r="B34" s="591" t="s">
        <v>229</v>
      </c>
      <c r="C34" s="265" t="s">
        <v>230</v>
      </c>
      <c r="D34" s="266">
        <v>3</v>
      </c>
      <c r="E34" s="267"/>
      <c r="F34" s="626" t="s">
        <v>61</v>
      </c>
      <c r="G34" s="616" t="s">
        <v>61</v>
      </c>
      <c r="H34" s="487"/>
      <c r="I34" s="618" t="s">
        <v>61</v>
      </c>
      <c r="J34" s="489"/>
      <c r="K34" s="270"/>
      <c r="L34" s="269"/>
      <c r="M34" s="269"/>
      <c r="N34" s="268"/>
      <c r="O34" s="269"/>
      <c r="P34" s="271"/>
      <c r="Q34" s="269"/>
      <c r="R34" s="269"/>
      <c r="S34" s="270"/>
      <c r="T34" s="269"/>
      <c r="U34" s="268"/>
      <c r="V34" s="269"/>
      <c r="W34" s="272"/>
      <c r="X34" s="269"/>
      <c r="Y34" s="432"/>
    </row>
    <row r="35" spans="1:25" s="131" customFormat="1" ht="22.5" customHeight="1">
      <c r="A35" s="586"/>
      <c r="B35" s="592"/>
      <c r="C35" s="288" t="s">
        <v>231</v>
      </c>
      <c r="D35" s="292">
        <v>300</v>
      </c>
      <c r="E35" s="293"/>
      <c r="F35" s="627"/>
      <c r="G35" s="617"/>
      <c r="H35" s="488"/>
      <c r="I35" s="619"/>
      <c r="J35" s="490"/>
      <c r="K35" s="296"/>
      <c r="L35" s="296"/>
      <c r="M35" s="296"/>
      <c r="N35" s="294"/>
      <c r="O35" s="295"/>
      <c r="P35" s="297"/>
      <c r="Q35" s="295"/>
      <c r="R35" s="295"/>
      <c r="S35" s="296"/>
      <c r="T35" s="294"/>
      <c r="U35" s="294"/>
      <c r="V35" s="295"/>
      <c r="W35" s="298"/>
      <c r="X35" s="295"/>
      <c r="Y35" s="433"/>
    </row>
    <row r="36" spans="1:25" s="131" customFormat="1" ht="22.5" customHeight="1">
      <c r="A36" s="586"/>
      <c r="B36" s="603" t="s">
        <v>232</v>
      </c>
      <c r="C36" s="290" t="s">
        <v>233</v>
      </c>
      <c r="D36" s="289">
        <v>60</v>
      </c>
      <c r="E36" s="282"/>
      <c r="F36" s="628" t="s">
        <v>61</v>
      </c>
      <c r="G36" s="493" t="s">
        <v>61</v>
      </c>
      <c r="H36" s="493"/>
      <c r="I36" s="492" t="s">
        <v>61</v>
      </c>
      <c r="J36" s="492"/>
      <c r="K36" s="491" t="s">
        <v>61</v>
      </c>
      <c r="L36" s="493"/>
      <c r="M36" s="284"/>
      <c r="N36" s="283"/>
      <c r="O36" s="284"/>
      <c r="P36" s="286"/>
      <c r="Q36" s="284"/>
      <c r="R36" s="284"/>
      <c r="S36" s="285"/>
      <c r="T36" s="284"/>
      <c r="U36" s="283"/>
      <c r="V36" s="284"/>
      <c r="W36" s="287"/>
      <c r="X36" s="284"/>
      <c r="Y36" s="430"/>
    </row>
    <row r="37" spans="1:25" s="131" customFormat="1" ht="22.5" customHeight="1">
      <c r="A37" s="586"/>
      <c r="B37" s="604"/>
      <c r="C37" s="288" t="s">
        <v>234</v>
      </c>
      <c r="D37" s="289">
        <v>10</v>
      </c>
      <c r="E37" s="282"/>
      <c r="F37" s="629"/>
      <c r="G37" s="284"/>
      <c r="H37" s="284"/>
      <c r="I37" s="462"/>
      <c r="J37" s="462"/>
      <c r="K37" s="285"/>
      <c r="L37" s="284"/>
      <c r="M37" s="284"/>
      <c r="N37" s="283"/>
      <c r="O37" s="284"/>
      <c r="P37" s="286"/>
      <c r="Q37" s="284"/>
      <c r="R37" s="284"/>
      <c r="S37" s="285"/>
      <c r="T37" s="284"/>
      <c r="U37" s="283"/>
      <c r="V37" s="284"/>
      <c r="W37" s="287"/>
      <c r="X37" s="284"/>
      <c r="Y37" s="430"/>
    </row>
    <row r="38" spans="1:25" s="131" customFormat="1" ht="22.5" customHeight="1">
      <c r="A38" s="586"/>
      <c r="B38" s="604"/>
      <c r="C38" s="291" t="s">
        <v>235</v>
      </c>
      <c r="D38" s="292">
        <v>10</v>
      </c>
      <c r="E38" s="299"/>
      <c r="F38" s="627"/>
      <c r="G38" s="295">
        <v>1</v>
      </c>
      <c r="H38" s="295"/>
      <c r="I38" s="463">
        <v>1</v>
      </c>
      <c r="J38" s="463"/>
      <c r="K38" s="296"/>
      <c r="L38" s="295"/>
      <c r="M38" s="294"/>
      <c r="N38" s="294"/>
      <c r="O38" s="295"/>
      <c r="P38" s="297"/>
      <c r="Q38" s="295"/>
      <c r="R38" s="295"/>
      <c r="S38" s="296"/>
      <c r="T38" s="294"/>
      <c r="U38" s="294"/>
      <c r="V38" s="295"/>
      <c r="W38" s="298"/>
      <c r="X38" s="295"/>
      <c r="Y38" s="433"/>
    </row>
    <row r="39" spans="1:25" s="131" customFormat="1" ht="22.5" customHeight="1">
      <c r="A39" s="586"/>
      <c r="B39" s="604"/>
      <c r="C39" s="288" t="s">
        <v>236</v>
      </c>
      <c r="D39" s="289">
        <v>20</v>
      </c>
      <c r="E39" s="282"/>
      <c r="F39" s="628" t="s">
        <v>61</v>
      </c>
      <c r="G39" s="620">
        <v>34</v>
      </c>
      <c r="H39" s="284"/>
      <c r="I39" s="462"/>
      <c r="J39" s="462"/>
      <c r="K39" s="285"/>
      <c r="L39" s="284"/>
      <c r="M39" s="284"/>
      <c r="N39" s="283"/>
      <c r="O39" s="284"/>
      <c r="P39" s="286"/>
      <c r="Q39" s="284"/>
      <c r="R39" s="284"/>
      <c r="S39" s="285"/>
      <c r="T39" s="284"/>
      <c r="U39" s="283"/>
      <c r="V39" s="284"/>
      <c r="W39" s="287"/>
      <c r="X39" s="284"/>
      <c r="Y39" s="430"/>
    </row>
    <row r="40" spans="1:25" s="131" customFormat="1" ht="22.5" customHeight="1">
      <c r="A40" s="586"/>
      <c r="B40" s="604"/>
      <c r="C40" s="288" t="s">
        <v>237</v>
      </c>
      <c r="D40" s="289">
        <v>20</v>
      </c>
      <c r="E40" s="282"/>
      <c r="F40" s="629"/>
      <c r="G40" s="621"/>
      <c r="H40" s="284"/>
      <c r="I40" s="462"/>
      <c r="J40" s="462"/>
      <c r="K40" s="285"/>
      <c r="L40" s="284"/>
      <c r="M40" s="284"/>
      <c r="N40" s="283"/>
      <c r="O40" s="284"/>
      <c r="P40" s="286"/>
      <c r="Q40" s="284"/>
      <c r="R40" s="284"/>
      <c r="S40" s="285"/>
      <c r="T40" s="284"/>
      <c r="U40" s="283"/>
      <c r="V40" s="284"/>
      <c r="W40" s="287"/>
      <c r="X40" s="284"/>
      <c r="Y40" s="430"/>
    </row>
    <row r="41" spans="1:25" s="131" customFormat="1" ht="22.5" customHeight="1" thickBot="1">
      <c r="A41" s="586"/>
      <c r="B41" s="605"/>
      <c r="C41" s="273" t="s">
        <v>238</v>
      </c>
      <c r="D41" s="274"/>
      <c r="E41" s="275"/>
      <c r="F41" s="630"/>
      <c r="G41" s="277">
        <v>409</v>
      </c>
      <c r="H41" s="277"/>
      <c r="I41" s="464">
        <v>159</v>
      </c>
      <c r="J41" s="464"/>
      <c r="K41" s="278"/>
      <c r="L41" s="277"/>
      <c r="M41" s="277"/>
      <c r="N41" s="276"/>
      <c r="O41" s="277"/>
      <c r="P41" s="279"/>
      <c r="Q41" s="277"/>
      <c r="R41" s="277"/>
      <c r="S41" s="278"/>
      <c r="T41" s="277"/>
      <c r="U41" s="276"/>
      <c r="V41" s="280"/>
      <c r="W41" s="281"/>
      <c r="X41" s="425"/>
      <c r="Y41" s="436"/>
    </row>
    <row r="42" spans="1:25" s="131" customFormat="1" ht="22.5" customHeight="1">
      <c r="A42" s="602" t="s">
        <v>189</v>
      </c>
      <c r="B42" s="590" t="s">
        <v>79</v>
      </c>
      <c r="C42" s="300" t="s">
        <v>239</v>
      </c>
      <c r="D42" s="301">
        <v>15000</v>
      </c>
      <c r="E42" s="316">
        <v>500</v>
      </c>
      <c r="F42" s="302">
        <v>1096</v>
      </c>
      <c r="G42" s="316">
        <v>73</v>
      </c>
      <c r="H42" s="316"/>
      <c r="I42" s="465"/>
      <c r="J42" s="465"/>
      <c r="K42" s="303"/>
      <c r="L42" s="502"/>
      <c r="M42" s="304"/>
      <c r="N42" s="304"/>
      <c r="O42" s="305"/>
      <c r="P42" s="304"/>
      <c r="Q42" s="306"/>
      <c r="R42" s="304"/>
      <c r="S42" s="305"/>
      <c r="T42" s="304"/>
      <c r="U42" s="306"/>
      <c r="V42" s="304"/>
      <c r="W42" s="307"/>
      <c r="X42" s="304"/>
      <c r="Y42" s="430">
        <f>SUM(P42,X42)</f>
        <v>0</v>
      </c>
    </row>
    <row r="43" spans="1:25" s="131" customFormat="1" ht="22.5" customHeight="1" thickBot="1">
      <c r="A43" s="602"/>
      <c r="B43" s="590"/>
      <c r="C43" s="300" t="s">
        <v>81</v>
      </c>
      <c r="D43" s="308"/>
      <c r="E43" s="309"/>
      <c r="F43" s="310"/>
      <c r="G43" s="309"/>
      <c r="H43" s="309"/>
      <c r="I43" s="466"/>
      <c r="J43" s="466"/>
      <c r="K43" s="311"/>
      <c r="L43" s="309"/>
      <c r="M43" s="312"/>
      <c r="N43" s="312"/>
      <c r="O43" s="313"/>
      <c r="P43" s="304"/>
      <c r="Q43" s="314"/>
      <c r="R43" s="312"/>
      <c r="S43" s="313"/>
      <c r="T43" s="312"/>
      <c r="U43" s="314"/>
      <c r="V43" s="312"/>
      <c r="W43" s="315"/>
      <c r="X43" s="312"/>
      <c r="Y43" s="437">
        <f>SUM(P43,X43)</f>
        <v>0</v>
      </c>
    </row>
    <row r="44" spans="1:25" ht="22.5" customHeight="1">
      <c r="A44" s="599" t="s">
        <v>240</v>
      </c>
      <c r="B44" s="606" t="s">
        <v>241</v>
      </c>
      <c r="C44" s="400"/>
      <c r="D44" s="401">
        <v>250</v>
      </c>
      <c r="E44" s="401"/>
      <c r="F44" s="402">
        <v>238</v>
      </c>
      <c r="G44" s="402">
        <v>219</v>
      </c>
      <c r="H44" s="402"/>
      <c r="I44" s="467"/>
      <c r="J44" s="467"/>
      <c r="K44" s="402"/>
      <c r="L44" s="402"/>
      <c r="M44" s="401"/>
      <c r="N44" s="402"/>
      <c r="O44" s="402"/>
      <c r="P44" s="401"/>
      <c r="Q44" s="402"/>
      <c r="R44" s="402"/>
      <c r="S44" s="402"/>
      <c r="T44" s="401"/>
      <c r="U44" s="402"/>
      <c r="V44" s="402"/>
      <c r="W44" s="402"/>
      <c r="X44" s="446"/>
      <c r="Y44" s="438"/>
    </row>
    <row r="45" spans="1:25" ht="22.5" customHeight="1">
      <c r="A45" s="600"/>
      <c r="B45" s="596"/>
      <c r="C45" s="403" t="s">
        <v>242</v>
      </c>
      <c r="D45" s="404">
        <v>3000</v>
      </c>
      <c r="E45" s="404">
        <v>300</v>
      </c>
      <c r="F45" s="494">
        <v>276</v>
      </c>
      <c r="G45" s="447">
        <v>305</v>
      </c>
      <c r="H45" s="447"/>
      <c r="I45" s="468"/>
      <c r="J45" s="468"/>
      <c r="K45" s="447"/>
      <c r="L45" s="447"/>
      <c r="M45" s="404"/>
      <c r="N45" s="447"/>
      <c r="O45" s="447"/>
      <c r="P45" s="404"/>
      <c r="Q45" s="447"/>
      <c r="R45" s="447"/>
      <c r="S45" s="447"/>
      <c r="T45" s="404"/>
      <c r="U45" s="447"/>
      <c r="V45" s="447"/>
      <c r="W45" s="447"/>
      <c r="X45" s="448"/>
      <c r="Y45" s="439"/>
    </row>
    <row r="46" spans="1:25" ht="22.5" customHeight="1">
      <c r="A46" s="600"/>
      <c r="B46" s="597"/>
      <c r="C46" s="403" t="s">
        <v>243</v>
      </c>
      <c r="D46" s="443">
        <v>1160</v>
      </c>
      <c r="E46" s="404">
        <v>116</v>
      </c>
      <c r="F46" s="447">
        <v>10</v>
      </c>
      <c r="G46" s="447">
        <v>39</v>
      </c>
      <c r="H46" s="447"/>
      <c r="I46" s="468"/>
      <c r="J46" s="468"/>
      <c r="K46" s="447"/>
      <c r="L46" s="447"/>
      <c r="M46" s="404"/>
      <c r="N46" s="405"/>
      <c r="O46" s="447"/>
      <c r="P46" s="404"/>
      <c r="Q46" s="447"/>
      <c r="R46" s="447"/>
      <c r="S46" s="447"/>
      <c r="T46" s="406"/>
      <c r="U46" s="405"/>
      <c r="V46" s="407"/>
      <c r="W46" s="408"/>
      <c r="X46" s="449"/>
      <c r="Y46" s="439"/>
    </row>
    <row r="47" spans="1:25" ht="22.5" customHeight="1">
      <c r="A47" s="600"/>
      <c r="B47" s="595" t="s">
        <v>244</v>
      </c>
      <c r="C47" s="409" t="s">
        <v>245</v>
      </c>
      <c r="D47" s="410">
        <v>480</v>
      </c>
      <c r="E47" s="410">
        <v>48</v>
      </c>
      <c r="F47" s="411">
        <v>47</v>
      </c>
      <c r="G47" s="411">
        <v>60</v>
      </c>
      <c r="H47" s="411"/>
      <c r="I47" s="469"/>
      <c r="J47" s="469"/>
      <c r="K47" s="411"/>
      <c r="L47" s="411"/>
      <c r="M47" s="410"/>
      <c r="N47" s="447"/>
      <c r="O47" s="412"/>
      <c r="P47" s="410"/>
      <c r="Q47" s="413"/>
      <c r="R47" s="411"/>
      <c r="S47" s="412"/>
      <c r="T47" s="404"/>
      <c r="U47" s="447"/>
      <c r="V47" s="447"/>
      <c r="W47" s="447"/>
      <c r="X47" s="448"/>
      <c r="Y47" s="440"/>
    </row>
    <row r="48" spans="1:25" ht="22.5" customHeight="1">
      <c r="A48" s="600"/>
      <c r="B48" s="596"/>
      <c r="C48" s="403" t="s">
        <v>246</v>
      </c>
      <c r="D48" s="404">
        <v>12</v>
      </c>
      <c r="E48" s="404">
        <v>12</v>
      </c>
      <c r="F48" s="447">
        <v>0</v>
      </c>
      <c r="G48" s="447">
        <v>1</v>
      </c>
      <c r="H48" s="447"/>
      <c r="I48" s="468"/>
      <c r="J48" s="468"/>
      <c r="K48" s="447"/>
      <c r="L48" s="447"/>
      <c r="M48" s="404"/>
      <c r="N48" s="447"/>
      <c r="O48" s="447"/>
      <c r="P48" s="404"/>
      <c r="Q48" s="447"/>
      <c r="R48" s="447"/>
      <c r="S48" s="447"/>
      <c r="T48" s="404"/>
      <c r="U48" s="447"/>
      <c r="V48" s="447"/>
      <c r="W48" s="447"/>
      <c r="X48" s="448"/>
      <c r="Y48" s="439"/>
    </row>
    <row r="49" spans="1:25" ht="22.5" customHeight="1">
      <c r="A49" s="600"/>
      <c r="B49" s="596"/>
      <c r="C49" s="403" t="s">
        <v>247</v>
      </c>
      <c r="D49" s="404">
        <v>12</v>
      </c>
      <c r="E49" s="404">
        <v>12</v>
      </c>
      <c r="F49" s="447">
        <v>1</v>
      </c>
      <c r="G49" s="447">
        <v>1</v>
      </c>
      <c r="H49" s="447"/>
      <c r="I49" s="468"/>
      <c r="J49" s="468"/>
      <c r="K49" s="447"/>
      <c r="L49" s="447"/>
      <c r="M49" s="404"/>
      <c r="N49" s="447"/>
      <c r="O49" s="447"/>
      <c r="P49" s="404"/>
      <c r="Q49" s="447"/>
      <c r="R49" s="447"/>
      <c r="S49" s="447"/>
      <c r="T49" s="404"/>
      <c r="U49" s="447"/>
      <c r="V49" s="447"/>
      <c r="W49" s="447"/>
      <c r="X49" s="448"/>
      <c r="Y49" s="439"/>
    </row>
    <row r="50" spans="1:25" ht="22.5" customHeight="1">
      <c r="A50" s="600"/>
      <c r="B50" s="596"/>
      <c r="C50" s="403" t="s">
        <v>248</v>
      </c>
      <c r="D50" s="404">
        <v>24</v>
      </c>
      <c r="E50" s="404">
        <v>2</v>
      </c>
      <c r="F50" s="447">
        <v>1</v>
      </c>
      <c r="G50" s="447">
        <v>2</v>
      </c>
      <c r="H50" s="447"/>
      <c r="I50" s="468"/>
      <c r="J50" s="468"/>
      <c r="K50" s="447"/>
      <c r="L50" s="447"/>
      <c r="M50" s="404"/>
      <c r="N50" s="447"/>
      <c r="O50" s="447"/>
      <c r="P50" s="404"/>
      <c r="Q50" s="447"/>
      <c r="R50" s="447"/>
      <c r="S50" s="447"/>
      <c r="T50" s="404"/>
      <c r="U50" s="447"/>
      <c r="V50" s="447"/>
      <c r="W50" s="447"/>
      <c r="X50" s="448"/>
      <c r="Y50" s="439"/>
    </row>
    <row r="51" spans="1:25" ht="22.5" customHeight="1">
      <c r="A51" s="600"/>
      <c r="B51" s="596"/>
      <c r="C51" s="403" t="s">
        <v>249</v>
      </c>
      <c r="D51" s="404">
        <v>6</v>
      </c>
      <c r="E51" s="404"/>
      <c r="F51" s="447">
        <v>1</v>
      </c>
      <c r="G51" s="495" t="s">
        <v>61</v>
      </c>
      <c r="H51" s="495"/>
      <c r="I51" s="468">
        <v>1</v>
      </c>
      <c r="J51" s="468"/>
      <c r="K51" s="495" t="s">
        <v>61</v>
      </c>
      <c r="L51" s="495"/>
      <c r="M51" s="404"/>
      <c r="N51" s="447"/>
      <c r="O51" s="495" t="s">
        <v>61</v>
      </c>
      <c r="P51" s="404"/>
      <c r="Q51" s="447"/>
      <c r="R51" s="495" t="s">
        <v>61</v>
      </c>
      <c r="S51" s="447"/>
      <c r="T51" s="404"/>
      <c r="U51" s="495" t="s">
        <v>61</v>
      </c>
      <c r="V51" s="447"/>
      <c r="W51" s="495" t="s">
        <v>61</v>
      </c>
      <c r="X51" s="448"/>
      <c r="Y51" s="439"/>
    </row>
    <row r="52" spans="1:25" ht="22.5" customHeight="1">
      <c r="A52" s="600"/>
      <c r="B52" s="597"/>
      <c r="C52" s="414" t="s">
        <v>250</v>
      </c>
      <c r="D52" s="406">
        <v>6</v>
      </c>
      <c r="E52" s="406"/>
      <c r="F52" s="496" t="s">
        <v>61</v>
      </c>
      <c r="G52" s="407">
        <v>1</v>
      </c>
      <c r="H52" s="407"/>
      <c r="I52" s="497" t="s">
        <v>61</v>
      </c>
      <c r="J52" s="497"/>
      <c r="K52" s="407"/>
      <c r="L52" s="407"/>
      <c r="M52" s="406"/>
      <c r="N52" s="498" t="s">
        <v>61</v>
      </c>
      <c r="O52" s="408"/>
      <c r="P52" s="406"/>
      <c r="Q52" s="495" t="s">
        <v>61</v>
      </c>
      <c r="R52" s="447"/>
      <c r="S52" s="496" t="s">
        <v>61</v>
      </c>
      <c r="T52" s="406"/>
      <c r="U52" s="407"/>
      <c r="V52" s="496" t="s">
        <v>61</v>
      </c>
      <c r="W52" s="407"/>
      <c r="X52" s="449"/>
      <c r="Y52" s="441"/>
    </row>
    <row r="53" spans="1:25" ht="22.5" customHeight="1">
      <c r="A53" s="600"/>
      <c r="B53" s="595" t="s">
        <v>251</v>
      </c>
      <c r="C53" s="403" t="s">
        <v>252</v>
      </c>
      <c r="D53" s="404">
        <v>100</v>
      </c>
      <c r="E53" s="410">
        <v>10</v>
      </c>
      <c r="F53" s="447">
        <v>0</v>
      </c>
      <c r="G53" s="447">
        <v>0</v>
      </c>
      <c r="H53" s="447"/>
      <c r="I53" s="468"/>
      <c r="J53" s="468"/>
      <c r="K53" s="447"/>
      <c r="L53" s="447"/>
      <c r="M53" s="404"/>
      <c r="N53" s="447"/>
      <c r="O53" s="447"/>
      <c r="P53" s="404"/>
      <c r="Q53" s="413"/>
      <c r="R53" s="411"/>
      <c r="S53" s="447"/>
      <c r="T53" s="404"/>
      <c r="U53" s="447"/>
      <c r="V53" s="447"/>
      <c r="W53" s="447"/>
      <c r="X53" s="448"/>
      <c r="Y53" s="439"/>
    </row>
    <row r="54" spans="1:25" ht="52.5" customHeight="1">
      <c r="A54" s="600"/>
      <c r="B54" s="596"/>
      <c r="C54" s="403" t="s">
        <v>253</v>
      </c>
      <c r="D54" s="445" t="s">
        <v>254</v>
      </c>
      <c r="E54" s="404"/>
      <c r="F54" s="447">
        <v>0</v>
      </c>
      <c r="G54" s="447">
        <v>0</v>
      </c>
      <c r="H54" s="447"/>
      <c r="I54" s="468"/>
      <c r="J54" s="468"/>
      <c r="K54" s="447"/>
      <c r="L54" s="447"/>
      <c r="M54" s="404"/>
      <c r="N54" s="447"/>
      <c r="O54" s="447"/>
      <c r="P54" s="404"/>
      <c r="Q54" s="447"/>
      <c r="R54" s="447"/>
      <c r="S54" s="447"/>
      <c r="T54" s="404"/>
      <c r="U54" s="447"/>
      <c r="V54" s="447"/>
      <c r="W54" s="447"/>
      <c r="X54" s="448"/>
      <c r="Y54" s="439"/>
    </row>
    <row r="55" spans="1:25" ht="22.5" customHeight="1">
      <c r="A55" s="600"/>
      <c r="B55" s="597"/>
      <c r="C55" s="414" t="s">
        <v>255</v>
      </c>
      <c r="D55" s="406">
        <v>10</v>
      </c>
      <c r="E55" s="406">
        <v>1</v>
      </c>
      <c r="F55" s="405">
        <v>0</v>
      </c>
      <c r="G55" s="499">
        <v>1</v>
      </c>
      <c r="H55" s="447"/>
      <c r="I55" s="468"/>
      <c r="J55" s="468"/>
      <c r="K55" s="408"/>
      <c r="L55" s="503"/>
      <c r="M55" s="404"/>
      <c r="N55" s="405"/>
      <c r="O55" s="447"/>
      <c r="P55" s="406"/>
      <c r="Q55" s="405"/>
      <c r="R55" s="407"/>
      <c r="S55" s="407"/>
      <c r="T55" s="406"/>
      <c r="U55" s="407"/>
      <c r="V55" s="407"/>
      <c r="W55" s="407"/>
      <c r="X55" s="449"/>
      <c r="Y55" s="441"/>
    </row>
    <row r="56" spans="1:25" ht="22.5" customHeight="1">
      <c r="A56" s="600"/>
      <c r="B56" s="476"/>
      <c r="C56" s="403"/>
      <c r="D56" s="404"/>
      <c r="E56" s="404"/>
      <c r="F56" s="447"/>
      <c r="G56" s="447"/>
      <c r="H56" s="447"/>
      <c r="I56" s="468"/>
      <c r="J56" s="468"/>
      <c r="K56" s="447"/>
      <c r="L56" s="447"/>
      <c r="M56" s="404"/>
      <c r="N56" s="447"/>
      <c r="O56" s="447"/>
      <c r="P56" s="404"/>
      <c r="Q56" s="447"/>
      <c r="R56" s="447"/>
      <c r="S56" s="447"/>
      <c r="T56" s="404"/>
      <c r="U56" s="447"/>
      <c r="V56" s="447"/>
      <c r="W56" s="447"/>
      <c r="X56" s="448"/>
      <c r="Y56" s="439"/>
    </row>
    <row r="57" spans="1:25" ht="22.5" customHeight="1">
      <c r="A57" s="600"/>
      <c r="B57" s="595" t="s">
        <v>256</v>
      </c>
      <c r="C57" s="403" t="s">
        <v>257</v>
      </c>
      <c r="D57" s="404">
        <v>4</v>
      </c>
      <c r="E57" s="404"/>
      <c r="F57" s="447">
        <v>0</v>
      </c>
      <c r="G57" s="447">
        <v>1</v>
      </c>
      <c r="H57" s="447"/>
      <c r="I57" s="469"/>
      <c r="J57" s="468"/>
      <c r="K57" s="447"/>
      <c r="L57" s="447"/>
      <c r="M57" s="410"/>
      <c r="N57" s="447"/>
      <c r="O57" s="412"/>
      <c r="P57" s="404"/>
      <c r="Q57" s="447"/>
      <c r="R57" s="447"/>
      <c r="S57" s="447"/>
      <c r="T57" s="404"/>
      <c r="U57" s="447"/>
      <c r="V57" s="447"/>
      <c r="W57" s="447"/>
      <c r="X57" s="448"/>
      <c r="Y57" s="439"/>
    </row>
    <row r="58" spans="1:25" ht="22.5" customHeight="1" thickBot="1">
      <c r="A58" s="601"/>
      <c r="B58" s="598"/>
      <c r="C58" s="415" t="s">
        <v>258</v>
      </c>
      <c r="D58" s="416">
        <v>50</v>
      </c>
      <c r="E58" s="416">
        <v>5</v>
      </c>
      <c r="F58" s="417">
        <v>0</v>
      </c>
      <c r="G58" s="417">
        <v>0</v>
      </c>
      <c r="H58" s="417"/>
      <c r="I58" s="470"/>
      <c r="J58" s="470"/>
      <c r="K58" s="417"/>
      <c r="L58" s="417"/>
      <c r="M58" s="416"/>
      <c r="N58" s="417"/>
      <c r="O58" s="417"/>
      <c r="P58" s="416"/>
      <c r="Q58" s="417"/>
      <c r="R58" s="417"/>
      <c r="S58" s="417"/>
      <c r="T58" s="416"/>
      <c r="U58" s="417"/>
      <c r="V58" s="417"/>
      <c r="W58" s="417"/>
      <c r="X58" s="450"/>
      <c r="Y58" s="442"/>
    </row>
    <row r="61" spans="1:25">
      <c r="C61" s="10" t="s">
        <v>259</v>
      </c>
    </row>
    <row r="79" spans="6:6">
      <c r="F79" s="317"/>
    </row>
    <row r="85" spans="3:3">
      <c r="C85" s="264"/>
    </row>
  </sheetData>
  <mergeCells count="43">
    <mergeCell ref="K2:L2"/>
    <mergeCell ref="E19:E20"/>
    <mergeCell ref="E30:E32"/>
    <mergeCell ref="E25:E29"/>
    <mergeCell ref="B47:B52"/>
    <mergeCell ref="G25:G29"/>
    <mergeCell ref="G34:G35"/>
    <mergeCell ref="I34:I35"/>
    <mergeCell ref="G39:G40"/>
    <mergeCell ref="F25:F29"/>
    <mergeCell ref="F30:F33"/>
    <mergeCell ref="F34:F35"/>
    <mergeCell ref="F39:F41"/>
    <mergeCell ref="F36:F38"/>
    <mergeCell ref="B53:B55"/>
    <mergeCell ref="B57:B58"/>
    <mergeCell ref="A44:A58"/>
    <mergeCell ref="A42:A43"/>
    <mergeCell ref="B36:B41"/>
    <mergeCell ref="B44:B46"/>
    <mergeCell ref="A19:A33"/>
    <mergeCell ref="A34:A41"/>
    <mergeCell ref="B25:B29"/>
    <mergeCell ref="B19:B24"/>
    <mergeCell ref="B42:B43"/>
    <mergeCell ref="B34:B35"/>
    <mergeCell ref="B30:B33"/>
    <mergeCell ref="U3:W3"/>
    <mergeCell ref="A1:Y1"/>
    <mergeCell ref="B14:B18"/>
    <mergeCell ref="A4:A18"/>
    <mergeCell ref="B9:B13"/>
    <mergeCell ref="F3:K3"/>
    <mergeCell ref="Q3:S3"/>
    <mergeCell ref="N3:O3"/>
    <mergeCell ref="B4:B8"/>
    <mergeCell ref="F4:F8"/>
    <mergeCell ref="F9:F13"/>
    <mergeCell ref="E4:E5"/>
    <mergeCell ref="E9:E10"/>
    <mergeCell ref="E14:E15"/>
    <mergeCell ref="G2:H2"/>
    <mergeCell ref="I2:J2"/>
  </mergeCells>
  <phoneticPr fontId="4" type="noConversion"/>
  <conditionalFormatting sqref="F51">
    <cfRule type="iconSet" priority="5">
      <iconSet iconSet="3Symbols">
        <cfvo type="percent" val="0"/>
        <cfvo type="num" val="1"/>
        <cfvo type="num" val="1"/>
      </iconSet>
    </cfRule>
  </conditionalFormatting>
  <conditionalFormatting sqref="F22:L22">
    <cfRule type="iconSet" priority="16">
      <iconSet iconSet="3Symbols">
        <cfvo type="percent" val="0"/>
        <cfvo type="num" val="60"/>
        <cfvo type="num" val="60"/>
      </iconSet>
    </cfRule>
  </conditionalFormatting>
  <conditionalFormatting sqref="F24:L24">
    <cfRule type="iconSet" priority="15">
      <iconSet iconSet="3Symbols">
        <cfvo type="percent" val="0"/>
        <cfvo type="num" val="0"/>
        <cfvo type="num" val="0"/>
      </iconSet>
    </cfRule>
  </conditionalFormatting>
  <conditionalFormatting sqref="F44:L44 N44:O44 Q44:S44 U44:W44">
    <cfRule type="iconSet" priority="13">
      <iconSet iconSet="3Symbols">
        <cfvo type="percent" val="0"/>
        <cfvo type="num" val="250"/>
        <cfvo type="num" val="250"/>
      </iconSet>
    </cfRule>
  </conditionalFormatting>
  <conditionalFormatting sqref="F45:L45 N45:O45 Q45:S45 U45:W45">
    <cfRule type="iconSet" priority="12">
      <iconSet iconSet="3Symbols">
        <cfvo type="percent" val="0"/>
        <cfvo type="num" val="300"/>
        <cfvo type="num" val="300"/>
      </iconSet>
    </cfRule>
  </conditionalFormatting>
  <conditionalFormatting sqref="F46:L46 N46:O46 Q46:S46 U46:W46">
    <cfRule type="iconSet" priority="11">
      <iconSet iconSet="3Symbols">
        <cfvo type="percent" val="0"/>
        <cfvo type="num" val="116"/>
        <cfvo type="num" val="116"/>
      </iconSet>
    </cfRule>
  </conditionalFormatting>
  <conditionalFormatting sqref="F47:L47 N47:O47 Q47:S47 U47:W47">
    <cfRule type="iconSet" priority="10">
      <iconSet iconSet="3Symbols">
        <cfvo type="percent" val="0"/>
        <cfvo type="num" val="48"/>
        <cfvo type="num" val="48"/>
      </iconSet>
    </cfRule>
  </conditionalFormatting>
  <conditionalFormatting sqref="F48:L48 N48:O48 Q48:S48 U48:W48">
    <cfRule type="iconSet" priority="9">
      <iconSet iconSet="3Symbols">
        <cfvo type="percent" val="0"/>
        <cfvo type="num" val="1"/>
        <cfvo type="num" val="1"/>
      </iconSet>
    </cfRule>
  </conditionalFormatting>
  <conditionalFormatting sqref="F49:L49 N49:O49 Q49:S49 U49:W49">
    <cfRule type="iconSet" priority="8">
      <iconSet iconSet="3Symbols">
        <cfvo type="percent" val="0"/>
        <cfvo type="num" val="1"/>
        <cfvo type="num" val="1"/>
      </iconSet>
    </cfRule>
  </conditionalFormatting>
  <conditionalFormatting sqref="F50:L50 N50:O50 Q50:S50 U50:W50">
    <cfRule type="iconSet" priority="7">
      <iconSet iconSet="3Symbols">
        <cfvo type="percent" val="0"/>
        <cfvo type="num" val="2"/>
        <cfvo type="num" val="2"/>
      </iconSet>
    </cfRule>
  </conditionalFormatting>
  <conditionalFormatting sqref="F53:L53 N53:O53 Q53:S53 U53:W53">
    <cfRule type="iconSet" priority="2">
      <iconSet iconSet="3Symbols">
        <cfvo type="percent" val="0"/>
        <cfvo type="num" val="10"/>
        <cfvo type="num" val="10"/>
      </iconSet>
    </cfRule>
  </conditionalFormatting>
  <conditionalFormatting sqref="F55:L56 N55:O56 Q55:S56 U55:W56">
    <cfRule type="iconSet" priority="1">
      <iconSet iconSet="3Symbols">
        <cfvo type="percent" val="0"/>
        <cfvo type="num" val="1"/>
        <cfvo type="num" val="1"/>
      </iconSet>
    </cfRule>
  </conditionalFormatting>
  <conditionalFormatting sqref="G52:H52">
    <cfRule type="iconSet" priority="4">
      <iconSet iconSet="3Symbols">
        <cfvo type="percent" val="0"/>
        <cfvo type="num" val="1"/>
        <cfvo type="num" val="1"/>
      </iconSet>
    </cfRule>
  </conditionalFormatting>
  <conditionalFormatting sqref="G4:L4">
    <cfRule type="iconSet" priority="23">
      <iconSet iconSet="3Symbols">
        <cfvo type="percent" val="0"/>
        <cfvo type="num" val="85"/>
        <cfvo type="num" val="85"/>
      </iconSet>
    </cfRule>
  </conditionalFormatting>
  <conditionalFormatting sqref="G7:L7">
    <cfRule type="iconSet" priority="21">
      <iconSet iconSet="3Symbols">
        <cfvo type="percent" val="0"/>
        <cfvo type="num" val="50"/>
        <cfvo type="num" val="50"/>
      </iconSet>
    </cfRule>
  </conditionalFormatting>
  <conditionalFormatting sqref="G12:L12">
    <cfRule type="iconSet" priority="18">
      <iconSet iconSet="3Symbols">
        <cfvo type="percent" val="0"/>
        <cfvo type="num" val="180"/>
        <cfvo type="num" val="180"/>
      </iconSet>
    </cfRule>
  </conditionalFormatting>
  <conditionalFormatting sqref="G17:L17">
    <cfRule type="iconSet" priority="17">
      <iconSet iconSet="3Symbols">
        <cfvo type="percent" val="0"/>
        <cfvo type="num" val="160"/>
        <cfvo type="num" val="160"/>
      </iconSet>
    </cfRule>
  </conditionalFormatting>
  <conditionalFormatting sqref="G38:L38">
    <cfRule type="iconSet" priority="14">
      <iconSet iconSet="3Symbols">
        <cfvo type="percent" val="0"/>
        <cfvo type="num" val="1"/>
        <cfvo type="num" val="1"/>
      </iconSet>
    </cfRule>
  </conditionalFormatting>
  <conditionalFormatting sqref="I51:J51 N51 Q52 R51 S52 U51 V52 W51">
    <cfRule type="iconSet" priority="6">
      <iconSet iconSet="3Symbols">
        <cfvo type="percent" val="0"/>
        <cfvo type="num" val="1"/>
        <cfvo type="num" val="1"/>
      </iconSet>
    </cfRule>
  </conditionalFormatting>
  <conditionalFormatting sqref="K25:L25 F19:L19 G14:L14 G9:L9 G30:L30">
    <cfRule type="iconSet" priority="20">
      <iconSet iconSet="3Symbols">
        <cfvo type="percent" val="0"/>
        <cfvo type="num" val="85"/>
        <cfvo type="num" val="85"/>
      </iconSet>
    </cfRule>
  </conditionalFormatting>
  <conditionalFormatting sqref="K52:L52 O52 Q51 R52 S51 U52 V51 W52">
    <cfRule type="iconSet" priority="3">
      <iconSet iconSet="3Symbols">
        <cfvo type="percent" val="0"/>
        <cfvo type="num" val="1"/>
        <cfvo type="num" val="1"/>
      </iconSet>
    </cfRule>
  </conditionalFormatting>
  <pageMargins left="0.11811023622047245" right="0.11811023622047245" top="0.78740157480314965" bottom="0.78740157480314965" header="0.31496062992125984" footer="0.31496062992125984"/>
  <pageSetup paperSize="9" scale="60" orientation="landscape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BF56683A-4913-44F3-8A1F-25FC1DDBC34D}">
            <x14:iconSet iconSet="3Symbols" custom="1">
              <x14:cfvo type="percent">
                <xm:f>0</xm:f>
              </x14:cfvo>
              <x14:cfvo type="num">
                <xm:f>11</xm:f>
              </x14:cfvo>
              <x14:cfvo type="num">
                <xm:f>11</xm:f>
              </x14:cfvo>
              <x14:cfIcon iconSet="3Symbols" iconId="2"/>
              <x14:cfIcon iconSet="3Symbols" iconId="2"/>
              <x14:cfIcon iconSet="3Symbols" iconId="0"/>
            </x14:iconSet>
          </x14:cfRule>
          <xm:sqref>G5:L5</xm:sqref>
        </x14:conditionalFormatting>
        <x14:conditionalFormatting xmlns:xm="http://schemas.microsoft.com/office/excel/2006/main">
          <x14:cfRule type="iconSet" priority="19" id="{C3B0814D-901A-4B55-9E2E-F38F453905C2}">
            <x14:iconSet iconSet="3Symbols" custom="1">
              <x14:cfvo type="percent">
                <xm:f>0</xm:f>
              </x14:cfvo>
              <x14:cfvo type="num">
                <xm:f>11</xm:f>
              </x14:cfvo>
              <x14:cfvo type="num">
                <xm:f>11</xm:f>
              </x14:cfvo>
              <x14:cfIcon iconSet="3Symbols" iconId="2"/>
              <x14:cfIcon iconSet="3Symbols" iconId="2"/>
              <x14:cfIcon iconSet="3Symbols" iconId="0"/>
            </x14:iconSet>
          </x14:cfRule>
          <xm:sqref>G10:L10 G15:L15 F20:L20 K26:L26 G31:L31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 Grito - ADM 4</dc:creator>
  <cp:keywords/>
  <dc:description/>
  <cp:lastModifiedBy/>
  <cp:revision/>
  <dcterms:created xsi:type="dcterms:W3CDTF">2022-05-17T01:37:34Z</dcterms:created>
  <dcterms:modified xsi:type="dcterms:W3CDTF">2025-07-08T20:21:47Z</dcterms:modified>
  <cp:category/>
  <cp:contentStatus/>
</cp:coreProperties>
</file>